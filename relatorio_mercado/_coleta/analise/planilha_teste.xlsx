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indicadores_por_area" sheetId="2" state="visible" r:id="rId2"/>
    <sheet name="exclusoes" sheetId="3" state="visible" r:id="rId3"/>
    <sheet name="custos_referencia" sheetId="4" state="visible" r:id="rId4"/>
    <sheet name="fo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ncp.gov.br/app/editais/00394452000103/2026/15739" TargetMode="External" Id="rId1" /><Relationship Type="http://schemas.openxmlformats.org/officeDocument/2006/relationships/hyperlink" Target="https://pncp.gov.br/app/editais/02382067000163/2026/336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lanalto.gov.br/ccivil_03/_ato2023-2026/2025/decreto/d12797.htm" TargetMode="External" Id="rId1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2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3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4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5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6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7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8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9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10" /><Relationship Type="http://schemas.openxmlformats.org/officeDocument/2006/relationships/hyperlink" Target="https://www.planalto.gov.br/ccivil_03/leis/l4950a.htm" TargetMode="External" Id="rId11" /><Relationship Type="http://schemas.openxmlformats.org/officeDocument/2006/relationships/hyperlink" Target="https://www.planalto.gov.br/ccivil_03/leis/l4950a.htm" TargetMode="External" Id="rId12" /><Relationship Type="http://schemas.openxmlformats.org/officeDocument/2006/relationships/hyperlink" Target="https://goias.gov.br/seinfra/wp-content/uploads/sites/6/2025/09/ANEXO-3.pdf" TargetMode="External" Id="rId13" /><Relationship Type="http://schemas.openxmlformats.org/officeDocument/2006/relationships/hyperlink" Target="https://goias.gov.br/seinfra/wp-content/uploads/sites/6/2025/09/ANEXO-3.pdf" TargetMode="External" Id="rId14" /><Relationship Type="http://schemas.openxmlformats.org/officeDocument/2006/relationships/hyperlink" Target="https://goias.gov.br/seinfra/wp-content/uploads/sites/6/2025/09/ANEXO-3.pdf" TargetMode="External" Id="rId15" /><Relationship Type="http://schemas.openxmlformats.org/officeDocument/2006/relationships/hyperlink" Target="https://goias.gov.br/seinfra/wp-content/uploads/sites/6/2025/09/ANEXO-3.pdf" TargetMode="External" Id="rId16" /><Relationship Type="http://schemas.openxmlformats.org/officeDocument/2006/relationships/hyperlink" Target="https://goias.gov.br/seinfra/wp-content/uploads/sites/6/2025/09/ANEXO-3.pdf" TargetMode="External" Id="rId17" /><Relationship Type="http://schemas.openxmlformats.org/officeDocument/2006/relationships/hyperlink" Target="https://febrac.org.br/wp-content/uploads/2026/01/GO001031.2025C-CCT-2026-2027-LIMPEZA-AMBIENTAL-ESTADO-DE-GOIAS-REGISTRADA.pdf" TargetMode="External" Id="rId18" /><Relationship Type="http://schemas.openxmlformats.org/officeDocument/2006/relationships/hyperlink" Target="https://goias.gov.br/seinfra/wp-content/uploads/sites/6/2025/09/ANEXO-3.pdf" TargetMode="External" Id="rId19" /><Relationship Type="http://schemas.openxmlformats.org/officeDocument/2006/relationships/hyperlink" Target="https://goias.gov.br/seinfra/wp-content/uploads/sites/6/2025/09/ANEXO-3.pdf" TargetMode="External" Id="rId20" /><Relationship Type="http://schemas.openxmlformats.org/officeDocument/2006/relationships/hyperlink" Target="https://sindmetalgo.com.br/wp-content/uploads/2024/04/Mediador_-_Extrato_Convencao_Coletiva_SIMELGO_ULTIMA_assinado_assinado.pdf" TargetMode="External" Id="rId21" /><Relationship Type="http://schemas.openxmlformats.org/officeDocument/2006/relationships/hyperlink" Target="https://www.setceg.org.br/wp-content/uploads/2026/05/CCT-CARGA-2026-2028.pdf" TargetMode="External" Id="rId22" /><Relationship Type="http://schemas.openxmlformats.org/officeDocument/2006/relationships/hyperlink" Target="https://www.setceg.org.br/wp-content/uploads/2026/05/CCT-CARGA-2026-2028.pdf" TargetMode="External" Id="rId23" /><Relationship Type="http://schemas.openxmlformats.org/officeDocument/2006/relationships/hyperlink" Target="https://www.setceg.org.br/wp-content/uploads/2026/05/CCT-CARGA-2026-2028.pdf" TargetMode="External" Id="rId24" /><Relationship Type="http://schemas.openxmlformats.org/officeDocument/2006/relationships/hyperlink" Target="https://www.setceg.org.br/wp-content/uploads/2026/05/CCT-CARGA-2026-2028.pdf" TargetMode="External" Id="rId25" /><Relationship Type="http://schemas.openxmlformats.org/officeDocument/2006/relationships/hyperlink" Target="https://sindipesa.org.br/wp-content/uploads/2025/09/CCT-SINDICARGAS-2025.2026-REGISTRADA.pdf" TargetMode="External" Id="rId26" /><Relationship Type="http://schemas.openxmlformats.org/officeDocument/2006/relationships/hyperlink" Target="https://sindipesa.org.br/wp-content/uploads/2025/09/CCT-SINDICARGAS-2025.2026-REGISTRADA.pdf" TargetMode="External" Id="rId27" /><Relationship Type="http://schemas.openxmlformats.org/officeDocument/2006/relationships/hyperlink" Target="https://www.caixa.gov.br/Downloads/sinapi-metodologia/Livro_SINAPI_Calculos_Parametros.pdf" TargetMode="External" Id="rId28" /><Relationship Type="http://schemas.openxmlformats.org/officeDocument/2006/relationships/hyperlink" Target="https://www.caixa.gov.br/Downloads/sinapi-metodologia/Livro_SINAPI_Calculos_Parametros.pdf" TargetMode="External" Id="rId29" /><Relationship Type="http://schemas.openxmlformats.org/officeDocument/2006/relationships/hyperlink" Target="https://www.caixa.gov.br/Downloads/sinapi-metodologia/Livro_SINAPI_Calculos_Parametros.pdf" TargetMode="External" Id="rId30" /><Relationship Type="http://schemas.openxmlformats.org/officeDocument/2006/relationships/hyperlink" Target="https://www.caixa.gov.br/Downloads/sinapi-metodologia/Livro_SINAPI_Calculos_Parametros.pdf" TargetMode="External" Id="rId31" /><Relationship Type="http://schemas.openxmlformats.org/officeDocument/2006/relationships/hyperlink" Target="https://www.caixa.gov.br/Downloads/sinapi-metodologia/Livro_SINAPI_Calculos_Parametros.pdf" TargetMode="External" Id="rId32" /><Relationship Type="http://schemas.openxmlformats.org/officeDocument/2006/relationships/hyperlink" Target="https://www.editais.uff.br/sites/default/files/arquivos/Base%20BDI%20-%20Ac%C3%B3rd%C3%A3o-2622-2013.pdf" TargetMode="External" Id="rId33" /><Relationship Type="http://schemas.openxmlformats.org/officeDocument/2006/relationships/hyperlink" Target="https://www.editais.uff.br/sites/default/files/arquivos/Base%20BDI%20-%20Ac%C3%B3rd%C3%A3o-2622-2013.pdf" TargetMode="External" Id="rId34" /><Relationship Type="http://schemas.openxmlformats.org/officeDocument/2006/relationships/hyperlink" Target="https://www.editais.uff.br/sites/default/files/arquivos/Base%20BDI%20-%20Ac%C3%B3rd%C3%A3o-2622-2013.pdf" TargetMode="External" Id="rId35" /><Relationship Type="http://schemas.openxmlformats.org/officeDocument/2006/relationships/hyperlink" Target="https://www.editais.uff.br/sites/default/files/arquivos/Base%20BDI%20-%20Ac%C3%B3rd%C3%A3o-2622-2013.pdf" TargetMode="External" Id="rId36" /><Relationship Type="http://schemas.openxmlformats.org/officeDocument/2006/relationships/hyperlink" Target="https://www.editais.uff.br/sites/default/files/arquivos/Base%20BDI%20-%20Ac%C3%B3rd%C3%A3o-2622-2013.pdf" TargetMode="External" Id="rId37" /><Relationship Type="http://schemas.openxmlformats.org/officeDocument/2006/relationships/hyperlink" Target="https://www.editais.uff.br/sites/default/files/arquivos/Base%20BDI%20-%20Ac%C3%B3rd%C3%A3o-2622-2013.pdf" TargetMode="External" Id="rId38" /><Relationship Type="http://schemas.openxmlformats.org/officeDocument/2006/relationships/hyperlink" Target="https://www.editais.uff.br/sites/default/files/arquivos/Base%20BDI%20-%20Ac%C3%B3rd%C3%A3o-2622-2013.pdf" TargetMode="External" Id="rId39" /><Relationship Type="http://schemas.openxmlformats.org/officeDocument/2006/relationships/hyperlink" Target="https://www.editais.uff.br/sites/default/files/arquivos/Base%20BDI%20-%20Ac%C3%B3rd%C3%A3o-2622-2013.pdf" TargetMode="External" Id="rId40" /><Relationship Type="http://schemas.openxmlformats.org/officeDocument/2006/relationships/hyperlink" Target="https://www.editais.uff.br/sites/default/files/arquivos/Base%20BDI%20-%20Ac%C3%B3rd%C3%A3o-2622-2013.pdf" TargetMode="External" Id="rId41" /><Relationship Type="http://schemas.openxmlformats.org/officeDocument/2006/relationships/hyperlink" Target="https://www.editais.uff.br/sites/default/files/arquivos/Base%20BDI%20-%20Ac%C3%B3rd%C3%A3o-2622-2013.pdf" TargetMode="External" Id="rId42" /><Relationship Type="http://schemas.openxmlformats.org/officeDocument/2006/relationships/hyperlink" Target="https://www.editais.uff.br/sites/default/files/arquivos/Base%20BDI%20-%20Ac%C3%B3rd%C3%A3o-2622-2013.pdf" TargetMode="External" Id="rId43" /><Relationship Type="http://schemas.openxmlformats.org/officeDocument/2006/relationships/hyperlink" Target="https://www.editais.uff.br/sites/default/files/arquivos/Base%20BDI%20-%20Ac%C3%B3rd%C3%A3o-2622-2013.pdf" TargetMode="External" Id="rId44" /><Relationship Type="http://schemas.openxmlformats.org/officeDocument/2006/relationships/hyperlink" Target="https://www.editais.uff.br/sites/default/files/arquivos/Base%20BDI%20-%20Ac%C3%B3rd%C3%A3o-2622-2013.pdf" TargetMode="External" Id="rId45" /><Relationship Type="http://schemas.openxmlformats.org/officeDocument/2006/relationships/hyperlink" Target="https://www.editais.uff.br/sites/default/files/arquivos/Base%20BDI%20-%20Ac%C3%B3rd%C3%A3o-2622-2013.pdf" TargetMode="External" Id="rId46" /><Relationship Type="http://schemas.openxmlformats.org/officeDocument/2006/relationships/hyperlink" Target="https://www.editais.uff.br/sites/default/files/arquivos/Base%20BDI%20-%20Ac%C3%B3rd%C3%A3o-2622-2013.pdf" TargetMode="External" Id="rId47" /><Relationship Type="http://schemas.openxmlformats.org/officeDocument/2006/relationships/hyperlink" Target="https://www.editais.uff.br/sites/default/files/arquivos/Base%20BDI%20-%20Ac%C3%B3rd%C3%A3o-2622-2013.pdf" TargetMode="External" Id="rId48" /><Relationship Type="http://schemas.openxmlformats.org/officeDocument/2006/relationships/hyperlink" Target="https://www.editais.uff.br/sites/default/files/arquivos/Base%20BDI%20-%20Ac%C3%B3rd%C3%A3o-2622-2013.pdf" TargetMode="External" Id="rId49" /><Relationship Type="http://schemas.openxmlformats.org/officeDocument/2006/relationships/hyperlink" Target="https://www.editais.uff.br/sites/default/files/arquivos/Base%20BDI%20-%20Ac%C3%B3rd%C3%A3o-2622-2013.pdf" TargetMode="External" Id="rId50" /><Relationship Type="http://schemas.openxmlformats.org/officeDocument/2006/relationships/hyperlink" Target="https://www.editais.uff.br/sites/default/files/arquivos/Base%20BDI%20-%20Ac%C3%B3rd%C3%A3o-2622-2013.pdf" TargetMode="External" Id="rId51" /><Relationship Type="http://schemas.openxmlformats.org/officeDocument/2006/relationships/hyperlink" Target="https://www.editais.uff.br/sites/default/files/arquivos/Base%20BDI%20-%20Ac%C3%B3rd%C3%A3o-2622-2013.pdf" TargetMode="External" Id="rId52" /><Relationship Type="http://schemas.openxmlformats.org/officeDocument/2006/relationships/hyperlink" Target="https://www.editais.uff.br/sites/default/files/arquivos/Base%20BDI%20-%20Ac%C3%B3rd%C3%A3o-2622-2013.pdf" TargetMode="External" Id="rId53" /><Relationship Type="http://schemas.openxmlformats.org/officeDocument/2006/relationships/hyperlink" Target="https://www.goiania.go.gov.br/download/financas/novoctm.pdf" TargetMode="External" Id="rId54" /><Relationship Type="http://schemas.openxmlformats.org/officeDocument/2006/relationships/hyperlink" Target="https://www.marciobalduchi.com.br/diversos-servicos-de-instalacao-e-manutencao-tributados-no-anexo-iii-do-simples-nacional/" TargetMode="External" Id="rId55" /><Relationship Type="http://schemas.openxmlformats.org/officeDocument/2006/relationships/hyperlink" Target="https://www.multifrioshop.com/fluidos-refrigerantes/gas-r410a-botija-11-35kg-r410-410a-refrigerante" TargetMode="External" Id="rId56" /><Relationship Type="http://schemas.openxmlformats.org/officeDocument/2006/relationships/hyperlink" Target="https://www.frigelar.com.br/gas-refrigerante-r410a-eos-cilindro-de-1134kg/p/kit5357" TargetMode="External" Id="rId57" /><Relationship Type="http://schemas.openxmlformats.org/officeDocument/2006/relationships/hyperlink" Target="https://www.rlrefrigeracao.com.br/produto/botija-gas-r410a-113kg.html" TargetMode="External" Id="rId58" /><Relationship Type="http://schemas.openxmlformats.org/officeDocument/2006/relationships/hyperlink" Target="ver 2 itens acima (Multifrio R$961,28 tabela / R$865,15 Pix; Frigelar ~R$890 Pix)" TargetMode="External" Id="rId59" /><Relationship Type="http://schemas.openxmlformats.org/officeDocument/2006/relationships/hyperlink" Target="https://www.multifrioshop.com/fluidos-refrigerantes/gas-r22-refrigerante-original-botija-13-6kg-generico" TargetMode="External" Id="rId60" /><Relationship Type="http://schemas.openxmlformats.org/officeDocument/2006/relationships/hyperlink" Target="https://www.refricenter.com.br/linha-da-gases/fluido-refrigerante-ou-gas-eos-r22-cilindro-13-62-kg" TargetMode="External" Id="rId61" /><Relationship Type="http://schemas.openxmlformats.org/officeDocument/2006/relationships/hyperlink" Target="https://www.rlrefrigeracao.com.br/produto/gas-r22-cilindro-botija-136kg.html" TargetMode="External" Id="rId62" /><Relationship Type="http://schemas.openxmlformats.org/officeDocument/2006/relationships/hyperlink" Target="ver 3 itens acima" TargetMode="External" Id="rId63" /><Relationship Type="http://schemas.openxmlformats.org/officeDocument/2006/relationships/hyperlink" Target="https://www.eletroarbc.com.br/produtos/tubo-de-cobre-1-4-para-ar-condicionado-preco-de-1-metro/" TargetMode="External" Id="rId64" /><Relationship Type="http://schemas.openxmlformats.org/officeDocument/2006/relationships/hyperlink" Target="-" TargetMode="External" Id="rId65" /><Relationship Type="http://schemas.openxmlformats.org/officeDocument/2006/relationships/hyperlink" Target="https://www.tudoar.com.br/quanto-custa-um-capacitor-de-ar-condicionado ; https://www.friopecas.com.br/pecas-e-servicos/pecas-ar-condicionado/capacitores" TargetMode="External" Id="rId66" /><Relationship Type="http://schemas.openxmlformats.org/officeDocument/2006/relationships/hyperlink" Target="https://www.casaeletropecas.com.br/pecas-geladeira/termostato" TargetMode="External" Id="rId67" /><Relationship Type="http://schemas.openxmlformats.org/officeDocument/2006/relationships/hyperlink" Target="https://www.eletrofrigor.com.br/produto/compressor-1-4-hp-r134a-220v-1f-reciproco-hermetico-embraco-emr80hlr-6975" TargetMode="External" Id="rId68" /><Relationship Type="http://schemas.openxmlformats.org/officeDocument/2006/relationships/hyperlink" Target="https://geofrio.com.br/produtos/gas-refrigerante-r134-ar-condicionado-automotivo-botija-13kg/" TargetMode="External" Id="rId69" /><Relationship Type="http://schemas.openxmlformats.org/officeDocument/2006/relationships/hyperlink" Target="https://www.dsfrio.com.br/gas-refrigerante-r134a-botija-cilindro-de-136kg" TargetMode="External" Id="rId70" /><Relationship Type="http://schemas.openxmlformats.org/officeDocument/2006/relationships/hyperlink" Target="https://www.eletrofrigor.com.br/produto/gas-fluido-refrigerante-r404a-botija-10-9kg-friven-1712" TargetMode="External" Id="rId71" /><Relationship Type="http://schemas.openxmlformats.org/officeDocument/2006/relationships/hyperlink" Target="https://www.lojamincarone.com.br/MLB-3206717017-botija-de-gas-fluido-refrigerante-r404a-genetron-10896kg-_JM" TargetMode="External" Id="rId72" /><Relationship Type="http://schemas.openxmlformats.org/officeDocument/2006/relationships/hyperlink" Target="https://www.refritron.com.br/material-de-instalacao-e-manutencao/produtos-de-limpeza-e-higienizacao" TargetMode="External" Id="rId73" /><Relationship Type="http://schemas.openxmlformats.org/officeDocument/2006/relationships/hyperlink" Target="-" TargetMode="External" Id="rId74" /><Relationship Type="http://schemas.openxmlformats.org/officeDocument/2006/relationships/hyperlink" Target="-" TargetMode="External" Id="rId75" /><Relationship Type="http://schemas.openxmlformats.org/officeDocument/2006/relationships/hyperlink" Target="-" TargetMode="External" Id="rId76" /><Relationship Type="http://schemas.openxmlformats.org/officeDocument/2006/relationships/hyperlink" Target="https://demape.com.br/produto/reator-vapor-de-sodio-70w-externo-galvanizado/" TargetMode="External" Id="rId77" /><Relationship Type="http://schemas.openxmlformats.org/officeDocument/2006/relationships/hyperlink" Target="https://demape.com.br/produto/reator-vapor-de-sodio-150w-externo-galvanizado-ence/" TargetMode="External" Id="rId78" /><Relationship Type="http://schemas.openxmlformats.org/officeDocument/2006/relationships/hyperlink" Target="https://www.vlpcomercial.com.br/iluminacao/reatores/eletromagnetico/para-lampada-sodio.html" TargetMode="External" Id="rId79" /><Relationship Type="http://schemas.openxmlformats.org/officeDocument/2006/relationships/hyperlink" Target="https://www.ourolux.com.br/produtos/iluminac-o/lampadas-de-descarga/vapor-de-sodio.html" TargetMode="External" Id="rId80" /><Relationship Type="http://schemas.openxmlformats.org/officeDocument/2006/relationships/hyperlink" Target="https://lista.mercadolivre.com.br/rele-fotocelula-para-iluminacao-publica" TargetMode="External" Id="rId81" /><Relationship Type="http://schemas.openxmlformats.org/officeDocument/2006/relationships/hyperlink" Target="https://www.sustentaled.com.br/ ; https://lista.mercadolivre.com.br/luminaria-publica-led-60w" TargetMode="External" Id="rId82" /><Relationship Type="http://schemas.openxmlformats.org/officeDocument/2006/relationships/hyperlink" Target="https://www.irmaossoares.com.br/braco-para-luminaria-publica-1m-2-polegadas-reto-eletrometa/p" TargetMode="External" Id="rId83" /><Relationship Type="http://schemas.openxmlformats.org/officeDocument/2006/relationships/hyperlink" Target="-" TargetMode="External" Id="rId84" /><Relationship Type="http://schemas.openxmlformats.org/officeDocument/2006/relationships/hyperlink" Target="https://www.disfer.com.br/disjuntores ; https://www.pjneblina.com.br/produto/disjuntor-mini-din-unipolar-25a-curva-c-3ka-230400v-sdd61c25-steck/5026776" TargetMode="External" Id="rId85" /><Relationship Type="http://schemas.openxmlformats.org/officeDocument/2006/relationships/hyperlink" Target="https://www.casadoeletricistasc.com.br/cabo-flexivel-750v-2-5mm2-antichama-preto-corfio-rolo-100m/p/kit611" TargetMode="External" Id="rId86" /><Relationship Type="http://schemas.openxmlformats.org/officeDocument/2006/relationships/hyperlink" Target="https://www.acsmateriaiseletricos.com.br/produtos/cabo-flexivel-25mm-750v-antichama-azul-100-metros/" TargetMode="External" Id="rId87" /><Relationship Type="http://schemas.openxmlformats.org/officeDocument/2006/relationships/hyperlink" Target="ver 2 itens acima" TargetMode="External" Id="rId88" /><Relationship Type="http://schemas.openxmlformats.org/officeDocument/2006/relationships/hyperlink" Target="-" TargetMode="External" Id="rId89" /><Relationship Type="http://schemas.openxmlformats.org/officeDocument/2006/relationships/hyperlink" Target="https://cetti.com.br/p/cabo-de-cobre-nu-35-mm2-com-7-fios-solidos-para-aterramento-eletrico-1-metro/" TargetMode="External" Id="rId90" /><Relationship Type="http://schemas.openxmlformats.org/officeDocument/2006/relationships/hyperlink" Target="https://www.lojacentraleletrica.com.br/produto/cabo-de-cobre-nu-50mm-para-aterramento" TargetMode="External" Id="rId91" /><Relationship Type="http://schemas.openxmlformats.org/officeDocument/2006/relationships/hyperlink" Target="https://www.wermar.com.br/materiais-eletricos/haste-copperweld-para-aterramento-com-conector-2-40m" TargetMode="External" Id="rId92" /><Relationship Type="http://schemas.openxmlformats.org/officeDocument/2006/relationships/hyperlink" Target="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" TargetMode="External" Id="rId93" /><Relationship Type="http://schemas.openxmlformats.org/officeDocument/2006/relationships/hyperlink" Target="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" TargetMode="External" Id="rId94" /><Relationship Type="http://schemas.openxmlformats.org/officeDocument/2006/relationships/hyperlink" Target="https://buscadorsicro.com.br/go/insumo/E9690" TargetMode="External" Id="rId95" /><Relationship Type="http://schemas.openxmlformats.org/officeDocument/2006/relationships/hyperlink" Target="https://buscadorsicro.com.br/go/insumo/E9686" TargetMode="External" Id="rId96" /><Relationship Type="http://schemas.openxmlformats.org/officeDocument/2006/relationships/hyperlink" Target="https://buscadorsicro.com.br/go/insumo/E9041" TargetMode="External" Id="rId97" /><Relationship Type="http://schemas.openxmlformats.org/officeDocument/2006/relationships/hyperlink" Target="https://www.munk.com.br/locacao-de-caminhao-munck/locacao-de-caminhao-munck-com-operador/valor-de-locacao-de-caminhao-munck-por-hora-osasco" TargetMode="External" Id="rId98" /><Relationship Type="http://schemas.openxmlformats.org/officeDocument/2006/relationships/hyperlink" Target="https://www.csmmuncksp.com.br/blog/categorias/artigos/quanto-custa-a-locacao-de-um-munck-entenda-os-fatores-que-influenciam-o-preco" TargetMode="External" Id="rId99" /><Relationship Type="http://schemas.openxmlformats.org/officeDocument/2006/relationships/hyperlink" Target="https://valorfinal.com.br/calculadora-custo-por-km" TargetMode="External" Id="rId100" /><Relationship Type="http://schemas.openxmlformats.org/officeDocument/2006/relationships/hyperlink" Target="https://www.gov.br/anp/pt-br/assuntos/precos-e-defesa-da-concorrencia/precos/arquivos-lpc/2026/revendas_lpc_2026-09-20_2026-09-26.xlsx" TargetMode="External" Id="rId101" /><Relationship Type="http://schemas.openxmlformats.org/officeDocument/2006/relationships/hyperlink" Target="https://www.gov.br/anp/pt-br/assuntos/precos-e-defesa-da-concorrencia/precos/arquivos-lpc/2026/revendas_lpc_2026-09-20_2026-09-26.xlsx" TargetMode="External" Id="rId102" /><Relationship Type="http://schemas.openxmlformats.org/officeDocument/2006/relationships/hyperlink" Target="https://www.gov.br/anp/pt-br/assuntos/precos-e-defesa-da-concorrencia/precos/arquivos-lpc/2026/revendas_lpc_2026-09-20_2026-09-26.xlsx" TargetMode="External" Id="rId103" /><Relationship Type="http://schemas.openxmlformats.org/officeDocument/2006/relationships/hyperlink" Target="https://www.gov.br/anp/pt-br/assuntos/precos-e-defesa-da-concorrencia/precos/arquivos-lpc/2026/revendas_lpc_2026-09-20_2026-09-26.xlsx" TargetMode="External" Id="rId104" /><Relationship Type="http://schemas.openxmlformats.org/officeDocument/2006/relationships/hyperlink" Target="https://www.gov.br/anp/pt-br/assuntos/precos-e-defesa-da-concorrencia/precos/arquivos-lpc/2026/revendas_lpc_2026-09-20_2026-09-26.xlsx" TargetMode="External" Id="rId105" /><Relationship Type="http://schemas.openxmlformats.org/officeDocument/2006/relationships/hyperlink" Target="https://www.combustiveis-anp.com.br/estado/go" TargetMode="External" Id="rId106" /><Relationship Type="http://schemas.openxmlformats.org/officeDocument/2006/relationships/hyperlink" Target="https://www.planalto.gov.br/ccivil_03/_ato2019-2022/2021/lei/l14133.htm" TargetMode="External" Id="rId107" /><Relationship Type="http://schemas.openxmlformats.org/officeDocument/2006/relationships/hyperlink" Target="https://effecti.com.br/seguro-garantia-licitacoes-publicas/" TargetMode="External" Id="rId108" /><Relationship Type="http://schemas.openxmlformats.org/officeDocument/2006/relationships/hyperlink" Target="https://www.planalto.gov.br/ccivil_03/_ato2019-2022/2021/lei/l14133.htm" TargetMode="External" Id="rId109" /><Relationship Type="http://schemas.openxmlformats.org/officeDocument/2006/relationships/hyperlink" Target="https://www.planalto.gov.br/ccivil_03/_ato2019-2022/2021/lei/l14133.htm" TargetMode="External" Id="rId110" /><Relationship Type="http://schemas.openxmlformats.org/officeDocument/2006/relationships/hyperlink" Target="https://conlicitacao.com.br/prazo-de-pagamento-na-licitacao/" TargetMode="External" Id="rId111" /></Relationships>
</file>

<file path=xl/worksheets/_rels/sheet5.xml.rels><Relationships xmlns="http://schemas.openxmlformats.org/package/2006/relationships"><Relationship Type="http://schemas.openxmlformats.org/officeDocument/2006/relationships/hyperlink" Target="-" TargetMode="External" Id="rId1" /><Relationship Type="http://schemas.openxmlformats.org/officeDocument/2006/relationships/hyperlink" Target="https://buscadorsicro.com.br/go/insumo/E9041" TargetMode="External" Id="rId2" /><Relationship Type="http://schemas.openxmlformats.org/officeDocument/2006/relationships/hyperlink" Target="https://buscadorsicro.com.br/go/insumo/E9686" TargetMode="External" Id="rId3" /><Relationship Type="http://schemas.openxmlformats.org/officeDocument/2006/relationships/hyperlink" Target="https://buscadorsicro.com.br/go/insumo/E9690" TargetMode="External" Id="rId4" /><Relationship Type="http://schemas.openxmlformats.org/officeDocument/2006/relationships/hyperlink" Target="https://cetti.com.br/p/cabo-de-cobre-nu-35-mm2-com-7-fios-solidos-para-aterramento-eletrico-1-metro/" TargetMode="External" Id="rId5" /><Relationship Type="http://schemas.openxmlformats.org/officeDocument/2006/relationships/hyperlink" Target="https://conlicitacao.com.br/prazo-de-pagamento-na-licitacao/" TargetMode="External" Id="rId6" /><Relationship Type="http://schemas.openxmlformats.org/officeDocument/2006/relationships/hyperlink" Target="https://demape.com.br/produto/reator-vapor-de-sodio-150w-externo-galvanizado-ence/" TargetMode="External" Id="rId7" /><Relationship Type="http://schemas.openxmlformats.org/officeDocument/2006/relationships/hyperlink" Target="https://demape.com.br/produto/reator-vapor-de-sodio-70w-externo-galvanizado/" TargetMode="External" Id="rId8" /><Relationship Type="http://schemas.openxmlformats.org/officeDocument/2006/relationships/hyperlink" Target="https://effecti.com.br/seguro-garantia-licitacoes-publicas/" TargetMode="External" Id="rId9" /><Relationship Type="http://schemas.openxmlformats.org/officeDocument/2006/relationships/hyperlink" Target="https://febrac.org.br/wp-content/uploads/2026/01/GO001031.2025C-CCT-2026-2027-LIMPEZA-AMBIENTAL-ESTADO-DE-GOIAS-REGISTRADA.pdf" TargetMode="External" Id="rId10" /><Relationship Type="http://schemas.openxmlformats.org/officeDocument/2006/relationships/hyperlink" Target="https://geofrio.com.br/produtos/gas-refrigerante-r134-ar-condicionado-automotivo-botija-13kg/" TargetMode="External" Id="rId11" /><Relationship Type="http://schemas.openxmlformats.org/officeDocument/2006/relationships/hyperlink" Target="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" TargetMode="External" Id="rId12" /><Relationship Type="http://schemas.openxmlformats.org/officeDocument/2006/relationships/hyperlink" Target="https://goias.gov.br/seinfra/wp-content/uploads/sites/6/2025/09/ANEXO-3.pdf" TargetMode="External" Id="rId13" /><Relationship Type="http://schemas.openxmlformats.org/officeDocument/2006/relationships/hyperlink" Target="https://lista.mercadolivre.com.br/rele-fotocelula-para-iluminacao-publica" TargetMode="External" Id="rId14" /><Relationship Type="http://schemas.openxmlformats.org/officeDocument/2006/relationships/hyperlink" Target="https://sindipesa.org.br/wp-content/uploads/2025/09/CCT-SINDICARGAS-2025.2026-REGISTRADA.pdf" TargetMode="External" Id="rId15" /><Relationship Type="http://schemas.openxmlformats.org/officeDocument/2006/relationships/hyperlink" Target="https://sindmetalgo.com.br/wp-content/uploads/2024/04/Mediador_-_Extrato_Convencao_Coletiva_SIMELGO_ULTIMA_assinado_assinado.pdf" TargetMode="External" Id="rId16" /><Relationship Type="http://schemas.openxmlformats.org/officeDocument/2006/relationships/hyperlink" Target="https://valorfinal.com.br/calculadora-custo-por-km" TargetMode="External" Id="rId17" /><Relationship Type="http://schemas.openxmlformats.org/officeDocument/2006/relationships/hyperlink" Target="https://www.acsmateriaiseletricos.com.br/produtos/cabo-flexivel-25mm-750v-antichama-azul-100-metros/" TargetMode="External" Id="rId18" /><Relationship Type="http://schemas.openxmlformats.org/officeDocument/2006/relationships/hyperlink" Target="https://www.caixa.gov.br/Downloads/sinapi-metodologia/Livro_SINAPI_Calculos_Parametros.pdf" TargetMode="External" Id="rId19" /><Relationship Type="http://schemas.openxmlformats.org/officeDocument/2006/relationships/hyperlink" Target="https://www.casadoeletricistasc.com.br/cabo-flexivel-750v-2-5mm2-antichama-preto-corfio-rolo-100m/p/kit611" TargetMode="External" Id="rId20" /><Relationship Type="http://schemas.openxmlformats.org/officeDocument/2006/relationships/hyperlink" Target="https://www.casaeletropecas.com.br/pecas-geladeira/termostato" TargetMode="External" Id="rId21" /><Relationship Type="http://schemas.openxmlformats.org/officeDocument/2006/relationships/hyperlink" Target="https://www.combustiveis-anp.com.br/estado/go" TargetMode="External" Id="rId22" /><Relationship Type="http://schemas.openxmlformats.org/officeDocument/2006/relationships/hyperlink" Target="https://www.csmmuncksp.com.br/blog/categorias/artigos/quanto-custa-a-locacao-de-um-munck-entenda-os-fatores-que-influenciam-o-preco" TargetMode="External" Id="rId23" /><Relationship Type="http://schemas.openxmlformats.org/officeDocument/2006/relationships/hyperlink" Target="https://www.disfer.com.br/disjuntores ; https://www.pjneblina.com.br/produto/disjuntor-mini-din-unipolar-25a-curva-c-3ka-230400v-sdd61c25-steck/5026776" TargetMode="External" Id="rId24" /><Relationship Type="http://schemas.openxmlformats.org/officeDocument/2006/relationships/hyperlink" Target="https://www.dsfrio.com.br/gas-refrigerante-r134a-botija-cilindro-de-136kg" TargetMode="External" Id="rId25" /><Relationship Type="http://schemas.openxmlformats.org/officeDocument/2006/relationships/hyperlink" Target="https://www.editais.uff.br/sites/default/files/arquivos/Base%20BDI%20-%20Ac%C3%B3rd%C3%A3o-2622-2013.pdf" TargetMode="External" Id="rId26" /><Relationship Type="http://schemas.openxmlformats.org/officeDocument/2006/relationships/hyperlink" Target="https://www.eletroarbc.com.br/produtos/tubo-de-cobre-1-4-para-ar-condicionado-preco-de-1-metro/" TargetMode="External" Id="rId27" /><Relationship Type="http://schemas.openxmlformats.org/officeDocument/2006/relationships/hyperlink" Target="https://www.eletrofrigor.com.br/produto/compressor-1-4-hp-r134a-220v-1f-reciproco-hermetico-embraco-emr80hlr-6975" TargetMode="External" Id="rId28" /><Relationship Type="http://schemas.openxmlformats.org/officeDocument/2006/relationships/hyperlink" Target="https://www.eletrofrigor.com.br/produto/gas-fluido-refrigerante-r404a-botija-10-9kg-friven-1712" TargetMode="External" Id="rId29" /><Relationship Type="http://schemas.openxmlformats.org/officeDocument/2006/relationships/hyperlink" Target="https://www.frigelar.com.br/gas-refrigerante-r410a-eos-cilindro-de-1134kg/p/kit5357" TargetMode="External" Id="rId30" /><Relationship Type="http://schemas.openxmlformats.org/officeDocument/2006/relationships/hyperlink" Target="https://www.goiania.go.gov.br/download/financas/novoctm.pdf" TargetMode="External" Id="rId31" /><Relationship Type="http://schemas.openxmlformats.org/officeDocument/2006/relationships/hyperlink" Target="https://www.gov.br/anp/pt-br/assuntos/precos-e-defesa-da-concorrencia/precos/arquivos-lpc/2026/revendas_lpc_2026-09-20_2026-09-26.xlsx" TargetMode="External" Id="rId32" /><Relationship Type="http://schemas.openxmlformats.org/officeDocument/2006/relationships/hyperlink" Target="https://www.irmaossoares.com.br/braco-para-luminaria-publica-1m-2-polegadas-reto-eletrometa/p" TargetMode="External" Id="rId33" /><Relationship Type="http://schemas.openxmlformats.org/officeDocument/2006/relationships/hyperlink" Target="https://www.lojacentraleletrica.com.br/produto/cabo-de-cobre-nu-50mm-para-aterramento" TargetMode="External" Id="rId34" /><Relationship Type="http://schemas.openxmlformats.org/officeDocument/2006/relationships/hyperlink" Target="https://www.lojamincarone.com.br/MLB-3206717017-botija-de-gas-fluido-refrigerante-r404a-genetron-10896kg-_JM" TargetMode="External" Id="rId35" /><Relationship Type="http://schemas.openxmlformats.org/officeDocument/2006/relationships/hyperlink" Target="https://www.marciobalduchi.com.br/diversos-servicos-de-instalacao-e-manutencao-tributados-no-anexo-iii-do-simples-nacional/" TargetMode="External" Id="rId36" /><Relationship Type="http://schemas.openxmlformats.org/officeDocument/2006/relationships/hyperlink" Target="https://www.multifrioshop.com/fluidos-refrigerantes/gas-r22-refrigerante-original-botija-13-6kg-generico" TargetMode="External" Id="rId37" /><Relationship Type="http://schemas.openxmlformats.org/officeDocument/2006/relationships/hyperlink" Target="https://www.multifrioshop.com/fluidos-refrigerantes/gas-r410a-botija-11-35kg-r410-410a-refrigerante" TargetMode="External" Id="rId38" /><Relationship Type="http://schemas.openxmlformats.org/officeDocument/2006/relationships/hyperlink" Target="https://www.munk.com.br/locacao-de-caminhao-munck/locacao-de-caminhao-munck-com-operador/valor-de-locacao-de-caminhao-munck-por-hora-osasco" TargetMode="External" Id="rId39" /><Relationship Type="http://schemas.openxmlformats.org/officeDocument/2006/relationships/hyperlink" Target="https://www.ourolux.com.br/produtos/iluminac-o/lampadas-de-descarga/vapor-de-sodio.html" TargetMode="External" Id="rId40" /><Relationship Type="http://schemas.openxmlformats.org/officeDocument/2006/relationships/hyperlink" Target="https://www.planalto.gov.br/ccivil_03/_ato2019-2022/2021/lei/l14133.htm" TargetMode="External" Id="rId41" /><Relationship Type="http://schemas.openxmlformats.org/officeDocument/2006/relationships/hyperlink" Target="https://www.planalto.gov.br/ccivil_03/_ato2023-2026/2025/decreto/d12797.htm" TargetMode="External" Id="rId42" /><Relationship Type="http://schemas.openxmlformats.org/officeDocument/2006/relationships/hyperlink" Target="https://www.planalto.gov.br/ccivil_03/leis/l4950a.htm" TargetMode="External" Id="rId43" /><Relationship Type="http://schemas.openxmlformats.org/officeDocument/2006/relationships/hyperlink" Target="https://www.refricenter.com.br/linha-da-gases/fluido-refrigerante-ou-gas-eos-r22-cilindro-13-62-kg" TargetMode="External" Id="rId44" /><Relationship Type="http://schemas.openxmlformats.org/officeDocument/2006/relationships/hyperlink" Target="https://www.refritron.com.br/material-de-instalacao-e-manutencao/produtos-de-limpeza-e-higienizacao" TargetMode="External" Id="rId45" /><Relationship Type="http://schemas.openxmlformats.org/officeDocument/2006/relationships/hyperlink" Target="https://www.rlrefrigeracao.com.br/produto/botija-gas-r410a-113kg.html" TargetMode="External" Id="rId46" /><Relationship Type="http://schemas.openxmlformats.org/officeDocument/2006/relationships/hyperlink" Target="https://www.rlrefrigeracao.com.br/produto/gas-r22-cilindro-botija-136kg.html" TargetMode="External" Id="rId47" /><Relationship Type="http://schemas.openxmlformats.org/officeDocument/2006/relationships/hyperlink" Target="https://www.setceg.org.br/wp-content/uploads/2026/05/CCT-CARGA-2026-2028.pdf" TargetMode="External" Id="rId48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49" /><Relationship Type="http://schemas.openxmlformats.org/officeDocument/2006/relationships/hyperlink" Target="https://www.sustentaled.com.br/ ; https://lista.mercadolivre.com.br/luminaria-publica-led-60w" TargetMode="External" Id="rId50" /><Relationship Type="http://schemas.openxmlformats.org/officeDocument/2006/relationships/hyperlink" Target="https://www.tudoar.com.br/quanto-custa-um-capacitor-de-ar-condicionado ; https://www.friopecas.com.br/pecas-e-servicos/pecas-ar-condicionado/capacitores" TargetMode="External" Id="rId51" /><Relationship Type="http://schemas.openxmlformats.org/officeDocument/2006/relationships/hyperlink" Target="https://www.vlpcomercial.com.br/iluminacao/reatores/eletromagnetico/para-lampada-sodio.html" TargetMode="External" Id="rId52" /><Relationship Type="http://schemas.openxmlformats.org/officeDocument/2006/relationships/hyperlink" Target="https://www.wermar.com.br/materiais-eletricos/haste-copperweld-para-aterramento-com-conector-2-40m" TargetMode="External" Id="rId53" /><Relationship Type="http://schemas.openxmlformats.org/officeDocument/2006/relationships/hyperlink" Target="ver 2 itens acima" TargetMode="External" Id="rId54" /><Relationship Type="http://schemas.openxmlformats.org/officeDocument/2006/relationships/hyperlink" Target="ver 2 itens acima (Multifrio R$961,28 tabela / R$865,15 Pix; Frigelar ~R$890 Pix)" TargetMode="External" Id="rId55" /><Relationship Type="http://schemas.openxmlformats.org/officeDocument/2006/relationships/hyperlink" Target="ver 3 itens acima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2" max="2"/>
    <col width="60" customWidth="1" min="11" max="11"/>
    <col width="40" customWidth="1" min="45" max="45"/>
  </cols>
  <sheetData>
    <row r="1">
      <c r="A1" s="1" t="inlineStr">
        <is>
          <t>id</t>
        </is>
      </c>
      <c r="B1" s="1" t="inlineStr">
        <is>
          <t>link_pncp</t>
        </is>
      </c>
      <c r="C1" s="1" t="inlineStr">
        <is>
          <t>data_acesso</t>
        </is>
      </c>
      <c r="D1" s="1" t="inlineStr">
        <is>
          <t>uf</t>
        </is>
      </c>
      <c r="E1" s="1" t="inlineStr">
        <is>
          <t>grupo_uf</t>
        </is>
      </c>
      <c r="F1" s="1" t="inlineStr">
        <is>
          <t>municipio</t>
        </is>
      </c>
      <c r="G1" s="1" t="inlineStr">
        <is>
          <t>orgao</t>
        </is>
      </c>
      <c r="H1" s="1" t="inlineStr">
        <is>
          <t>esfera</t>
        </is>
      </c>
      <c r="I1" s="1" t="inlineStr">
        <is>
          <t>data_publicacao</t>
        </is>
      </c>
      <c r="J1" s="1" t="inlineStr">
        <is>
          <t>modalidade</t>
        </is>
      </c>
      <c r="K1" s="1" t="inlineStr">
        <is>
          <t>objeto</t>
        </is>
      </c>
      <c r="L1" s="1" t="inlineStr">
        <is>
          <t>srp</t>
        </is>
      </c>
      <c r="M1" s="1" t="inlineStr">
        <is>
          <t>areas</t>
        </is>
      </c>
      <c r="N1" s="1" t="inlineStr">
        <is>
          <t>area_principal</t>
        </is>
      </c>
      <c r="O1" s="1" t="inlineStr">
        <is>
          <t>valor_estimado_total</t>
        </is>
      </c>
      <c r="P1" s="1" t="inlineStr">
        <is>
          <t>valor_homologado_total</t>
        </is>
      </c>
      <c r="Q1" s="1" t="inlineStr">
        <is>
          <t>estimado_itens_com_resultado</t>
        </is>
      </c>
      <c r="R1" s="1" t="inlineStr">
        <is>
          <t>desconto</t>
        </is>
      </c>
      <c r="S1" s="1" t="inlineStr">
        <is>
          <t>desconto_suspeito</t>
        </is>
      </c>
      <c r="T1" s="1" t="inlineStr">
        <is>
          <t>n_itens</t>
        </is>
      </c>
      <c r="U1" s="1" t="inlineStr">
        <is>
          <t>n_com_resultado</t>
        </is>
      </c>
      <c r="V1" s="1" t="inlineStr">
        <is>
          <t>n_homologados</t>
        </is>
      </c>
      <c r="W1" s="1" t="inlineStr">
        <is>
          <t>n_desertos</t>
        </is>
      </c>
      <c r="X1" s="1" t="inlineStr">
        <is>
          <t>n_fracassados</t>
        </is>
      </c>
      <c r="Y1" s="1" t="inlineStr">
        <is>
          <t>n_anulados_cancelados</t>
        </is>
      </c>
      <c r="Z1" s="1" t="inlineStr">
        <is>
          <t>houve_deserta_ou_fracassada</t>
        </is>
      </c>
      <c r="AA1" s="1" t="inlineStr">
        <is>
          <t>exclusiva_total_meepp</t>
        </is>
      </c>
      <c r="AB1" s="1" t="inlineStr">
        <is>
          <t>exclusiva_parcial_meepp</t>
        </is>
      </c>
      <c r="AC1" s="1" t="inlineStr">
        <is>
          <t>cota_meepp</t>
        </is>
      </c>
      <c r="AD1" s="1" t="inlineStr">
        <is>
          <t>aplicou_beneficio_meepp</t>
        </is>
      </c>
      <c r="AE1" s="1" t="inlineStr">
        <is>
          <t>n_fornecedores_vencedores</t>
        </is>
      </c>
      <c r="AF1" s="1" t="inlineStr">
        <is>
          <t>vencedores_resumo</t>
        </is>
      </c>
      <c r="AG1" s="1" t="inlineStr">
        <is>
          <t>n_participantes</t>
        </is>
      </c>
      <c r="AH1" s="1" t="inlineStr">
        <is>
          <t>tipo_contrato</t>
        </is>
      </c>
      <c r="AI1" s="1" t="inlineStr">
        <is>
          <t>vigencia_meses</t>
        </is>
      </c>
      <c r="AJ1" s="1" t="inlineStr">
        <is>
          <t>cesto_aereo</t>
        </is>
      </c>
      <c r="AK1" s="1" t="inlineStr">
        <is>
          <t>munck_guindauto</t>
        </is>
      </c>
      <c r="AL1" s="1" t="inlineStr">
        <is>
          <t>aceita_munck_com_cesto</t>
        </is>
      </c>
      <c r="AM1" s="1" t="inlineStr">
        <is>
          <t>pmoc_responsavel_tecnico</t>
        </is>
      </c>
      <c r="AN1" s="1" t="inlineStr">
        <is>
          <t>crea_cft</t>
        </is>
      </c>
      <c r="AO1" s="1" t="inlineStr">
        <is>
          <t>frota_minima_trecho</t>
        </is>
      </c>
      <c r="AP1" s="1" t="inlineStr">
        <is>
          <t>atestados_trecho</t>
        </is>
      </c>
      <c r="AQ1" s="1" t="inlineStr">
        <is>
          <t>frac_material</t>
        </is>
      </c>
      <c r="AR1" s="1" t="inlineStr">
        <is>
          <t>exclusao_motivo</t>
        </is>
      </c>
      <c r="AS1" s="1" t="inlineStr">
        <is>
          <t>exclusao_evidencia</t>
        </is>
      </c>
      <c r="AT1" s="1" t="inlineStr">
        <is>
          <t>revisao_manual</t>
        </is>
      </c>
      <c r="AU1" s="1" t="inlineStr">
        <is>
          <t>incluido</t>
        </is>
      </c>
    </row>
    <row r="2">
      <c r="A2" t="inlineStr">
        <is>
          <t>00394452000103_2026_15739</t>
        </is>
      </c>
      <c r="B2" s="2" t="inlineStr">
        <is>
          <t>https://pncp.gov.br/app/editais/00394452000103/2026/15739</t>
        </is>
      </c>
      <c r="C2" t="inlineStr">
        <is>
          <t>2026-09-27T01:38:22.124828+00:00</t>
        </is>
      </c>
      <c r="D2" t="inlineStr">
        <is>
          <t>GO</t>
        </is>
      </c>
      <c r="E2" t="inlineStr">
        <is>
          <t>GO</t>
        </is>
      </c>
      <c r="F2" t="inlineStr">
        <is>
          <t>Jataí</t>
        </is>
      </c>
      <c r="G2" t="inlineStr">
        <is>
          <t>COMANDO DO EXERCITO</t>
        </is>
      </c>
      <c r="H2" t="inlineStr">
        <is>
          <t>Federal</t>
        </is>
      </c>
      <c r="I2" t="inlineStr">
        <is>
          <t>2026-08-05T04:00:04</t>
        </is>
      </c>
      <c r="J2" t="inlineStr">
        <is>
          <t>Pregão - Eletrônico</t>
        </is>
      </c>
      <c r="K2" t="inlineStr">
        <is>
          <t>Contratação de serviços de instalação de ar condicionado e manutenção de máquinas e equipamentos.</t>
        </is>
      </c>
      <c r="L2" t="b">
        <v>1</v>
      </c>
      <c r="M2" t="inlineStr">
        <is>
          <t>climatizacao</t>
        </is>
      </c>
      <c r="N2" t="inlineStr">
        <is>
          <t>climatizacao</t>
        </is>
      </c>
      <c r="O2" t="n">
        <v>116783.28</v>
      </c>
      <c r="P2" t="n">
        <v>58382</v>
      </c>
      <c r="Q2" t="n">
        <v>116783.28</v>
      </c>
      <c r="R2" t="n">
        <v>0.5000825460631009</v>
      </c>
      <c r="S2" t="n">
        <v>0</v>
      </c>
      <c r="T2" t="n">
        <v>28</v>
      </c>
      <c r="U2" t="n">
        <v>28</v>
      </c>
      <c r="V2" t="n">
        <v>28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3</v>
      </c>
      <c r="AF2" t="inlineStr">
        <is>
          <t>45.248.096 BRUNO RODRIGUES SILVEIRA ALVES:ME; PALADINI &amp; PALADINI LTDA:ME; FERNANDO COMEL &amp; CIA LTDA:ME</t>
        </is>
      </c>
      <c r="AH2" t="inlineStr">
        <is>
          <t>pontual</t>
        </is>
      </c>
      <c r="AI2" t="n">
        <v>12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Q2" t="n">
        <v>0</v>
      </c>
      <c r="AT2" t="n">
        <v>0</v>
      </c>
      <c r="AU2" t="n">
        <v>1</v>
      </c>
    </row>
    <row r="3">
      <c r="A3" t="inlineStr">
        <is>
          <t>02382067000163_2026_336</t>
        </is>
      </c>
      <c r="B3" s="2" t="inlineStr">
        <is>
          <t>https://pncp.gov.br/app/editais/02382067000163/2026/336</t>
        </is>
      </c>
      <c r="C3" t="inlineStr">
        <is>
          <t>2026-09-27T01:37:51.123881+00:00</t>
        </is>
      </c>
      <c r="D3" t="inlineStr">
        <is>
          <t>GO</t>
        </is>
      </c>
      <c r="E3" t="inlineStr">
        <is>
          <t>GO</t>
        </is>
      </c>
      <c r="F3" t="inlineStr">
        <is>
          <t>Crixás</t>
        </is>
      </c>
      <c r="G3" t="inlineStr">
        <is>
          <t>MUNICIPIO DE CRIXAS</t>
        </is>
      </c>
      <c r="H3" t="inlineStr">
        <is>
          <t>Municipal</t>
        </is>
      </c>
      <c r="I3" t="inlineStr">
        <is>
          <t>2026-08-11T17:43:24</t>
        </is>
      </c>
      <c r="J3" t="inlineStr">
        <is>
          <t>Pregão - Presencial</t>
        </is>
      </c>
      <c r="K3" t="inlineStr">
        <is>
          <t>REGISTRO DE PREÇO PARA PRESTAÇÃO DE SERVIÇOS DE INSTALAÇÃO, MANUTENÇÃO E HIGIENIZAÇÃO DE APARELHOS DE AR CONDICIONADO PARA ATENDER AS DEMANDAS DA SECRETARIA MUNICIPAL DE ADMINISTRAÇÃO, FUNDOS MUNICIPAIS E DEMAIS ÓRGÃOS DO MUNICÍPIO DE CRIXÁS-GO, CONFORME QUANTIDADES E ESPECIFICAÇÕES DO TERMO DE REFERÊNCIA – ANEXO I DO EDITAL, NOS TERMOS DA LEI Nº 14.133/21.</t>
        </is>
      </c>
      <c r="L3" t="b">
        <v>1</v>
      </c>
      <c r="M3" t="inlineStr">
        <is>
          <t>climatizacao</t>
        </is>
      </c>
      <c r="N3" t="inlineStr">
        <is>
          <t>climatizacao</t>
        </is>
      </c>
      <c r="O3" t="n">
        <v>335115.1</v>
      </c>
      <c r="P3" t="n">
        <v>176178.85</v>
      </c>
      <c r="Q3" t="n">
        <v>335115.1</v>
      </c>
      <c r="R3" t="n">
        <v>0.4742736152444339</v>
      </c>
      <c r="S3" t="n">
        <v>0</v>
      </c>
      <c r="T3" t="n">
        <v>7</v>
      </c>
      <c r="U3" t="n">
        <v>7</v>
      </c>
      <c r="V3" t="n">
        <v>6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inlineStr">
        <is>
          <t>ZF SERVICOS LTDA:ME; L D COMERCIO E SERVICOS LTDA:ME</t>
        </is>
      </c>
      <c r="AH3" t="inlineStr">
        <is>
          <t>pontual</t>
        </is>
      </c>
      <c r="AI3" t="n">
        <v>12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Q3" t="n">
        <v>0</v>
      </c>
      <c r="AT3" t="n">
        <v>0</v>
      </c>
      <c r="AU3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area</t>
        </is>
      </c>
      <c r="B1" s="1" t="inlineStr">
        <is>
          <t>grupo_uf</t>
        </is>
      </c>
      <c r="C1" s="1" t="inlineStr">
        <is>
          <t>volume_ano_indice (copiado de indicadores.json)</t>
        </is>
      </c>
      <c r="D1" s="1" t="inlineStr">
        <is>
          <t>n_casos_detalhados (formula)</t>
        </is>
      </c>
      <c r="E1" s="1" t="inlineStr">
        <is>
          <t>valor_total_estimado (formula)</t>
        </is>
      </c>
      <c r="F1" s="1" t="inlineStr">
        <is>
          <t>ticket_mediano (formula)</t>
        </is>
      </c>
      <c r="G1" s="1" t="inlineStr">
        <is>
          <t>mediana_participantes (formula)</t>
        </is>
      </c>
      <c r="H1" s="1" t="inlineStr">
        <is>
          <t>n_amostra_participantes (formula)</t>
        </is>
      </c>
      <c r="I1" s="1" t="inlineStr">
        <is>
          <t>desconto_mediana (formula)</t>
        </is>
      </c>
      <c r="J1" s="1" t="inlineStr">
        <is>
          <t>desconto_q1 (formula)</t>
        </is>
      </c>
      <c r="K1" s="1" t="inlineStr">
        <is>
          <t>desconto_q3 (formula)</t>
        </is>
      </c>
      <c r="L1" s="1" t="inlineStr">
        <is>
          <t>n_amostra_desconto (formula)</t>
        </is>
      </c>
      <c r="M1" s="1" t="inlineStr">
        <is>
          <t>pct_deserta_ou_fracassada (formula)</t>
        </is>
      </c>
      <c r="N1" s="1" t="inlineStr">
        <is>
          <t>pct_exclusiva_meepp (formula)</t>
        </is>
      </c>
      <c r="O1" s="1" t="inlineStr">
        <is>
          <t>pct_exclusiva_parcial_meepp (formula)</t>
        </is>
      </c>
      <c r="P1" s="1" t="inlineStr">
        <is>
          <t>pct_cota_meepp (formula)</t>
        </is>
      </c>
      <c r="Q1" s="1" t="inlineStr">
        <is>
          <t>pct_continuado (formula)</t>
        </is>
      </c>
    </row>
    <row r="2">
      <c r="A2" t="inlineStr">
        <is>
          <t>climatizacao</t>
        </is>
      </c>
      <c r="B2" t="inlineStr">
        <is>
          <t>GO</t>
        </is>
      </c>
      <c r="C2" t="n">
        <v>12.5</v>
      </c>
      <c r="D2">
        <f>COUNTIFS(dados_brutos!$M$2:$M$3,"*"&amp;"climatizacao"&amp;"*",dados_brutos!$E$2:$E$3,"GO",dados_brutos!$AU$2:$AU$3,1)</f>
        <v/>
      </c>
      <c r="E2">
        <f>IF(SUMPRODUCT((ISNUMBER(SEARCH("climatizacao",dados_brutos!$M$2:$M$3))*(dados_brutos!$E$2:$E$3="GO")*(dados_brutos!$AU$2:$AU$3=1))*ISNUMBER(dados_brutos!$O$2:$O$3))=0,"",SUMIFS(dados_brutos!$O$2:$O$3,dados_brutos!$M$2:$M$3,"*"&amp;"climatizacao"&amp;"*",dados_brutos!$E$2:$E$3,"GO",dados_brutos!$AU$2:$AU$3,1))</f>
        <v/>
      </c>
      <c r="F2">
        <f>IF(SUMPRODUCT((ISNUMBER(SEARCH("climatizacao",dados_brutos!$M$2:$M$3))*(dados_brutos!$E$2:$E$3="GO")*(dados_brutos!$AU$2:$AU$3=1))*ISNUMBER(dados_brutos!$O$2:$O$3))=0,"",_xlfn.AGGREGATE(12,6,dados_brutos!$O$2:$O$3/((ISNUMBER(SEARCH("climatizacao",dados_brutos!$M$2:$M$3))*(dados_brutos!$E$2:$E$3="GO")*(dados_brutos!$AU$2:$AU$3=1))*ISNUMBER(dados_brutos!$O$2:$O$3))))</f>
        <v/>
      </c>
      <c r="G2">
        <f>IF(SUMPRODUCT((ISNUMBER(SEARCH("climatizacao",dados_brutos!$M$2:$M$3))*(dados_brutos!$E$2:$E$3="GO")*(dados_brutos!$AU$2:$AU$3=1))*ISNUMBER(dados_brutos!$AG$2:$AG$3))=0,"",_xlfn.AGGREGATE(12,6,dados_brutos!$AG$2:$AG$3/((ISNUMBER(SEARCH("climatizacao",dados_brutos!$M$2:$M$3))*(dados_brutos!$E$2:$E$3="GO")*(dados_brutos!$AU$2:$AU$3=1))*ISNUMBER(dados_brutos!$AG$2:$AG$3))))</f>
        <v/>
      </c>
      <c r="H2">
        <f>SUMPRODUCT((ISNUMBER(SEARCH("climatizacao",dados_brutos!$M$2:$M$3))*(dados_brutos!$E$2:$E$3="GO")*(dados_brutos!$AU$2:$AU$3=1))*ISNUMBER(dados_brutos!$AG$2:$AG$3))</f>
        <v/>
      </c>
      <c r="I2">
        <f>IF(SUMPRODUCT((ISNUMBER(SEARCH("climatizacao",dados_brutos!$M$2:$M$3))*(dados_brutos!$E$2:$E$3="GO")*(dados_brutos!$AU$2:$AU$3=1))*ISNUMBER(dados_brutos!$R$2:$R$3))=0,"",_xlfn.AGGREGATE(12,6,dados_brutos!$R$2:$R$3/((ISNUMBER(SEARCH("climatizacao",dados_brutos!$M$2:$M$3))*(dados_brutos!$E$2:$E$3="GO")*(dados_brutos!$AU$2:$AU$3=1))*ISNUMBER(dados_brutos!$R$2:$R$3))))</f>
        <v/>
      </c>
      <c r="J2">
        <f>IF(SUMPRODUCT((ISNUMBER(SEARCH("climatizacao",dados_brutos!$M$2:$M$3))*(dados_brutos!$E$2:$E$3="GO")*(dados_brutos!$AU$2:$AU$3=1))*ISNUMBER(dados_brutos!$R$2:$R$3))=0,"",_xlfn.AGGREGATE(17,6,dados_brutos!$R$2:$R$3/((ISNUMBER(SEARCH("climatizacao",dados_brutos!$M$2:$M$3))*(dados_brutos!$E$2:$E$3="GO")*(dados_brutos!$AU$2:$AU$3=1))*ISNUMBER(dados_brutos!$R$2:$R$3)),1))</f>
        <v/>
      </c>
      <c r="K2">
        <f>IF(SUMPRODUCT((ISNUMBER(SEARCH("climatizacao",dados_brutos!$M$2:$M$3))*(dados_brutos!$E$2:$E$3="GO")*(dados_brutos!$AU$2:$AU$3=1))*ISNUMBER(dados_brutos!$R$2:$R$3))=0,"",_xlfn.AGGREGATE(17,6,dados_brutos!$R$2:$R$3/((ISNUMBER(SEARCH("climatizacao",dados_brutos!$M$2:$M$3))*(dados_brutos!$E$2:$E$3="GO")*(dados_brutos!$AU$2:$AU$3=1))*ISNUMBER(dados_brutos!$R$2:$R$3)),3))</f>
        <v/>
      </c>
      <c r="L2">
        <f>SUMPRODUCT((ISNUMBER(SEARCH("climatizacao",dados_brutos!$M$2:$M$3))*(dados_brutos!$E$2:$E$3="GO")*(dados_brutos!$AU$2:$AU$3=1))*ISNUMBER(dados_brutos!$R$2:$R$3))</f>
        <v/>
      </c>
      <c r="M2">
        <f>IF(COUNTIFS(dados_brutos!$M$2:$M$3,"*"&amp;"climatizacao"&amp;"*",dados_brutos!$E$2:$E$3,"GO",dados_brutos!$AU$2:$AU$3,1)=0,"",COUNTIFS(dados_brutos!$M$2:$M$3,"*"&amp;"climatizacao"&amp;"*",dados_brutos!$E$2:$E$3,"GO",dados_brutos!$AU$2:$AU$3,1,dados_brutos!$Z$2:$Z$3,1)/COUNTIFS(dados_brutos!$M$2:$M$3,"*"&amp;"climatizacao"&amp;"*",dados_brutos!$E$2:$E$3,"GO",dados_brutos!$AU$2:$AU$3,1))</f>
        <v/>
      </c>
      <c r="N2">
        <f>IF(COUNTIFS(dados_brutos!$M$2:$M$3,"*"&amp;"climatizacao"&amp;"*",dados_brutos!$E$2:$E$3,"GO",dados_brutos!$AU$2:$AU$3,1)=0,"",COUNTIFS(dados_brutos!$M$2:$M$3,"*"&amp;"climatizacao"&amp;"*",dados_brutos!$E$2:$E$3,"GO",dados_brutos!$AU$2:$AU$3,1,dados_brutos!$AA$2:$AA$3,1)/COUNTIFS(dados_brutos!$M$2:$M$3,"*"&amp;"climatizacao"&amp;"*",dados_brutos!$E$2:$E$3,"GO",dados_brutos!$AU$2:$AU$3,1))</f>
        <v/>
      </c>
      <c r="O2">
        <f>IF(COUNTIFS(dados_brutos!$M$2:$M$3,"*"&amp;"climatizacao"&amp;"*",dados_brutos!$E$2:$E$3,"GO",dados_brutos!$AU$2:$AU$3,1)=0,"",COUNTIFS(dados_brutos!$M$2:$M$3,"*"&amp;"climatizacao"&amp;"*",dados_brutos!$E$2:$E$3,"GO",dados_brutos!$AU$2:$AU$3,1,dados_brutos!$AB$2:$AB$3,1)/COUNTIFS(dados_brutos!$M$2:$M$3,"*"&amp;"climatizacao"&amp;"*",dados_brutos!$E$2:$E$3,"GO",dados_brutos!$AU$2:$AU$3,1))</f>
        <v/>
      </c>
      <c r="P2">
        <f>IF(COUNTIFS(dados_brutos!$M$2:$M$3,"*"&amp;"climatizacao"&amp;"*",dados_brutos!$E$2:$E$3,"GO",dados_brutos!$AU$2:$AU$3,1)=0,"",COUNTIFS(dados_brutos!$M$2:$M$3,"*"&amp;"climatizacao"&amp;"*",dados_brutos!$E$2:$E$3,"GO",dados_brutos!$AU$2:$AU$3,1,dados_brutos!$AC$2:$AC$3,1)/COUNTIFS(dados_brutos!$M$2:$M$3,"*"&amp;"climatizacao"&amp;"*",dados_brutos!$E$2:$E$3,"GO",dados_brutos!$AU$2:$AU$3,1))</f>
        <v/>
      </c>
      <c r="Q2">
        <f>IF(COUNTIFS(dados_brutos!$M$2:$M$3,"*"&amp;"climatizacao"&amp;"*",dados_brutos!$E$2:$E$3,"GO",dados_brutos!$AU$2:$AU$3,1)=0,"",COUNTIFS(dados_brutos!$M$2:$M$3,"*"&amp;"climatizacao"&amp;"*",dados_brutos!$E$2:$E$3,"GO",dados_brutos!$AU$2:$AU$3,1,dados_brutos!$AH$2:$AH$3,"continuado")/COUNTIFS(dados_brutos!$M$2:$M$3,"*"&amp;"climatizacao"&amp;"*",dados_brutos!$E$2:$E$3,"GO",dados_brutos!$AU$2:$AU$3,1))</f>
        <v/>
      </c>
    </row>
    <row r="3">
      <c r="A3" t="inlineStr">
        <is>
          <t>climatizacao</t>
        </is>
      </c>
      <c r="B3" t="inlineStr">
        <is>
          <t>vizinhos</t>
        </is>
      </c>
      <c r="D3">
        <f>COUNTIFS(dados_brutos!$M$2:$M$3,"*"&amp;"climatizacao"&amp;"*",dados_brutos!$E$2:$E$3,"vizinhos",dados_brutos!$AU$2:$AU$3,1)</f>
        <v/>
      </c>
      <c r="E3">
        <f>IF(SUMPRODUCT((ISNUMBER(SEARCH("climatizacao",dados_brutos!$M$2:$M$3))*(dados_brutos!$E$2:$E$3="vizinhos")*(dados_brutos!$AU$2:$AU$3=1))*ISNUMBER(dados_brutos!$O$2:$O$3))=0,"",SUMIFS(dados_brutos!$O$2:$O$3,dados_brutos!$M$2:$M$3,"*"&amp;"climatizacao"&amp;"*",dados_brutos!$E$2:$E$3,"vizinhos",dados_brutos!$AU$2:$AU$3,1))</f>
        <v/>
      </c>
      <c r="F3">
        <f>IF(SUMPRODUCT((ISNUMBER(SEARCH("climatizacao",dados_brutos!$M$2:$M$3))*(dados_brutos!$E$2:$E$3="vizinhos")*(dados_brutos!$AU$2:$AU$3=1))*ISNUMBER(dados_brutos!$O$2:$O$3))=0,"",_xlfn.AGGREGATE(12,6,dados_brutos!$O$2:$O$3/((ISNUMBER(SEARCH("climatizacao",dados_brutos!$M$2:$M$3))*(dados_brutos!$E$2:$E$3="vizinhos")*(dados_brutos!$AU$2:$AU$3=1))*ISNUMBER(dados_brutos!$O$2:$O$3))))</f>
        <v/>
      </c>
      <c r="G3">
        <f>IF(SUMPRODUCT((ISNUMBER(SEARCH("climatizacao",dados_brutos!$M$2:$M$3))*(dados_brutos!$E$2:$E$3="vizinhos")*(dados_brutos!$AU$2:$AU$3=1))*ISNUMBER(dados_brutos!$AG$2:$AG$3))=0,"",_xlfn.AGGREGATE(12,6,dados_brutos!$AG$2:$AG$3/((ISNUMBER(SEARCH("climatizacao",dados_brutos!$M$2:$M$3))*(dados_brutos!$E$2:$E$3="vizinhos")*(dados_brutos!$AU$2:$AU$3=1))*ISNUMBER(dados_brutos!$AG$2:$AG$3))))</f>
        <v/>
      </c>
      <c r="H3">
        <f>SUMPRODUCT((ISNUMBER(SEARCH("climatizacao",dados_brutos!$M$2:$M$3))*(dados_brutos!$E$2:$E$3="vizinhos")*(dados_brutos!$AU$2:$AU$3=1))*ISNUMBER(dados_brutos!$AG$2:$AG$3))</f>
        <v/>
      </c>
      <c r="I3">
        <f>IF(SUMPRODUCT((ISNUMBER(SEARCH("climatizacao",dados_brutos!$M$2:$M$3))*(dados_brutos!$E$2:$E$3="vizinhos")*(dados_brutos!$AU$2:$AU$3=1))*ISNUMBER(dados_brutos!$R$2:$R$3))=0,"",_xlfn.AGGREGATE(12,6,dados_brutos!$R$2:$R$3/((ISNUMBER(SEARCH("climatizacao",dados_brutos!$M$2:$M$3))*(dados_brutos!$E$2:$E$3="vizinhos")*(dados_brutos!$AU$2:$AU$3=1))*ISNUMBER(dados_brutos!$R$2:$R$3))))</f>
        <v/>
      </c>
      <c r="J3">
        <f>IF(SUMPRODUCT((ISNUMBER(SEARCH("climatizacao",dados_brutos!$M$2:$M$3))*(dados_brutos!$E$2:$E$3="vizinhos")*(dados_brutos!$AU$2:$AU$3=1))*ISNUMBER(dados_brutos!$R$2:$R$3))=0,"",_xlfn.AGGREGATE(17,6,dados_brutos!$R$2:$R$3/((ISNUMBER(SEARCH("climatizacao",dados_brutos!$M$2:$M$3))*(dados_brutos!$E$2:$E$3="vizinhos")*(dados_brutos!$AU$2:$AU$3=1))*ISNUMBER(dados_brutos!$R$2:$R$3)),1))</f>
        <v/>
      </c>
      <c r="K3">
        <f>IF(SUMPRODUCT((ISNUMBER(SEARCH("climatizacao",dados_brutos!$M$2:$M$3))*(dados_brutos!$E$2:$E$3="vizinhos")*(dados_brutos!$AU$2:$AU$3=1))*ISNUMBER(dados_brutos!$R$2:$R$3))=0,"",_xlfn.AGGREGATE(17,6,dados_brutos!$R$2:$R$3/((ISNUMBER(SEARCH("climatizacao",dados_brutos!$M$2:$M$3))*(dados_brutos!$E$2:$E$3="vizinhos")*(dados_brutos!$AU$2:$AU$3=1))*ISNUMBER(dados_brutos!$R$2:$R$3)),3))</f>
        <v/>
      </c>
      <c r="L3">
        <f>SUMPRODUCT((ISNUMBER(SEARCH("climatizacao",dados_brutos!$M$2:$M$3))*(dados_brutos!$E$2:$E$3="vizinhos")*(dados_brutos!$AU$2:$AU$3=1))*ISNUMBER(dados_brutos!$R$2:$R$3))</f>
        <v/>
      </c>
      <c r="M3">
        <f>IF(COUNTIFS(dados_brutos!$M$2:$M$3,"*"&amp;"climatizacao"&amp;"*",dados_brutos!$E$2:$E$3,"vizinhos",dados_brutos!$AU$2:$AU$3,1)=0,"",COUNTIFS(dados_brutos!$M$2:$M$3,"*"&amp;"climatizacao"&amp;"*",dados_brutos!$E$2:$E$3,"vizinhos",dados_brutos!$AU$2:$AU$3,1,dados_brutos!$Z$2:$Z$3,1)/COUNTIFS(dados_brutos!$M$2:$M$3,"*"&amp;"climatizacao"&amp;"*",dados_brutos!$E$2:$E$3,"vizinhos",dados_brutos!$AU$2:$AU$3,1))</f>
        <v/>
      </c>
      <c r="N3">
        <f>IF(COUNTIFS(dados_brutos!$M$2:$M$3,"*"&amp;"climatizacao"&amp;"*",dados_brutos!$E$2:$E$3,"vizinhos",dados_brutos!$AU$2:$AU$3,1)=0,"",COUNTIFS(dados_brutos!$M$2:$M$3,"*"&amp;"climatizacao"&amp;"*",dados_brutos!$E$2:$E$3,"vizinhos",dados_brutos!$AU$2:$AU$3,1,dados_brutos!$AA$2:$AA$3,1)/COUNTIFS(dados_brutos!$M$2:$M$3,"*"&amp;"climatizacao"&amp;"*",dados_brutos!$E$2:$E$3,"vizinhos",dados_brutos!$AU$2:$AU$3,1))</f>
        <v/>
      </c>
      <c r="O3">
        <f>IF(COUNTIFS(dados_brutos!$M$2:$M$3,"*"&amp;"climatizacao"&amp;"*",dados_brutos!$E$2:$E$3,"vizinhos",dados_brutos!$AU$2:$AU$3,1)=0,"",COUNTIFS(dados_brutos!$M$2:$M$3,"*"&amp;"climatizacao"&amp;"*",dados_brutos!$E$2:$E$3,"vizinhos",dados_brutos!$AU$2:$AU$3,1,dados_brutos!$AB$2:$AB$3,1)/COUNTIFS(dados_brutos!$M$2:$M$3,"*"&amp;"climatizacao"&amp;"*",dados_brutos!$E$2:$E$3,"vizinhos",dados_brutos!$AU$2:$AU$3,1))</f>
        <v/>
      </c>
      <c r="P3">
        <f>IF(COUNTIFS(dados_brutos!$M$2:$M$3,"*"&amp;"climatizacao"&amp;"*",dados_brutos!$E$2:$E$3,"vizinhos",dados_brutos!$AU$2:$AU$3,1)=0,"",COUNTIFS(dados_brutos!$M$2:$M$3,"*"&amp;"climatizacao"&amp;"*",dados_brutos!$E$2:$E$3,"vizinhos",dados_brutos!$AU$2:$AU$3,1,dados_brutos!$AC$2:$AC$3,1)/COUNTIFS(dados_brutos!$M$2:$M$3,"*"&amp;"climatizacao"&amp;"*",dados_brutos!$E$2:$E$3,"vizinhos",dados_brutos!$AU$2:$AU$3,1))</f>
        <v/>
      </c>
      <c r="Q3">
        <f>IF(COUNTIFS(dados_brutos!$M$2:$M$3,"*"&amp;"climatizacao"&amp;"*",dados_brutos!$E$2:$E$3,"vizinhos",dados_brutos!$AU$2:$AU$3,1)=0,"",COUNTIFS(dados_brutos!$M$2:$M$3,"*"&amp;"climatizacao"&amp;"*",dados_brutos!$E$2:$E$3,"vizinhos",dados_brutos!$AU$2:$AU$3,1,dados_brutos!$AH$2:$AH$3,"continuado")/COUNTIFS(dados_brutos!$M$2:$M$3,"*"&amp;"climatizacao"&amp;"*",dados_brutos!$E$2:$E$3,"vizinhos",dados_brutos!$AU$2:$AU$3,1))</f>
        <v/>
      </c>
    </row>
    <row r="4">
      <c r="A4" t="inlineStr">
        <is>
          <t>refrigeracao</t>
        </is>
      </c>
      <c r="B4" t="inlineStr">
        <is>
          <t>GO</t>
        </is>
      </c>
      <c r="D4">
        <f>COUNTIFS(dados_brutos!$M$2:$M$3,"*"&amp;"refrigeracao"&amp;"*",dados_brutos!$E$2:$E$3,"GO",dados_brutos!$AU$2:$AU$3,1)</f>
        <v/>
      </c>
      <c r="E4">
        <f>IF(SUMPRODUCT((ISNUMBER(SEARCH("refrigeracao",dados_brutos!$M$2:$M$3))*(dados_brutos!$E$2:$E$3="GO")*(dados_brutos!$AU$2:$AU$3=1))*ISNUMBER(dados_brutos!$O$2:$O$3))=0,"",SUMIFS(dados_brutos!$O$2:$O$3,dados_brutos!$M$2:$M$3,"*"&amp;"refrigeracao"&amp;"*",dados_brutos!$E$2:$E$3,"GO",dados_brutos!$AU$2:$AU$3,1))</f>
        <v/>
      </c>
      <c r="F4">
        <f>IF(SUMPRODUCT((ISNUMBER(SEARCH("refrigeracao",dados_brutos!$M$2:$M$3))*(dados_brutos!$E$2:$E$3="GO")*(dados_brutos!$AU$2:$AU$3=1))*ISNUMBER(dados_brutos!$O$2:$O$3))=0,"",_xlfn.AGGREGATE(12,6,dados_brutos!$O$2:$O$3/((ISNUMBER(SEARCH("refrigeracao",dados_brutos!$M$2:$M$3))*(dados_brutos!$E$2:$E$3="GO")*(dados_brutos!$AU$2:$AU$3=1))*ISNUMBER(dados_brutos!$O$2:$O$3))))</f>
        <v/>
      </c>
      <c r="G4">
        <f>IF(SUMPRODUCT((ISNUMBER(SEARCH("refrigeracao",dados_brutos!$M$2:$M$3))*(dados_brutos!$E$2:$E$3="GO")*(dados_brutos!$AU$2:$AU$3=1))*ISNUMBER(dados_brutos!$AG$2:$AG$3))=0,"",_xlfn.AGGREGATE(12,6,dados_brutos!$AG$2:$AG$3/((ISNUMBER(SEARCH("refrigeracao",dados_brutos!$M$2:$M$3))*(dados_brutos!$E$2:$E$3="GO")*(dados_brutos!$AU$2:$AU$3=1))*ISNUMBER(dados_brutos!$AG$2:$AG$3))))</f>
        <v/>
      </c>
      <c r="H4">
        <f>SUMPRODUCT((ISNUMBER(SEARCH("refrigeracao",dados_brutos!$M$2:$M$3))*(dados_brutos!$E$2:$E$3="GO")*(dados_brutos!$AU$2:$AU$3=1))*ISNUMBER(dados_brutos!$AG$2:$AG$3))</f>
        <v/>
      </c>
      <c r="I4">
        <f>IF(SUMPRODUCT((ISNUMBER(SEARCH("refrigeracao",dados_brutos!$M$2:$M$3))*(dados_brutos!$E$2:$E$3="GO")*(dados_brutos!$AU$2:$AU$3=1))*ISNUMBER(dados_brutos!$R$2:$R$3))=0,"",_xlfn.AGGREGATE(12,6,dados_brutos!$R$2:$R$3/((ISNUMBER(SEARCH("refrigeracao",dados_brutos!$M$2:$M$3))*(dados_brutos!$E$2:$E$3="GO")*(dados_brutos!$AU$2:$AU$3=1))*ISNUMBER(dados_brutos!$R$2:$R$3))))</f>
        <v/>
      </c>
      <c r="J4">
        <f>IF(SUMPRODUCT((ISNUMBER(SEARCH("refrigeracao",dados_brutos!$M$2:$M$3))*(dados_brutos!$E$2:$E$3="GO")*(dados_brutos!$AU$2:$AU$3=1))*ISNUMBER(dados_brutos!$R$2:$R$3))=0,"",_xlfn.AGGREGATE(17,6,dados_brutos!$R$2:$R$3/((ISNUMBER(SEARCH("refrigeracao",dados_brutos!$M$2:$M$3))*(dados_brutos!$E$2:$E$3="GO")*(dados_brutos!$AU$2:$AU$3=1))*ISNUMBER(dados_brutos!$R$2:$R$3)),1))</f>
        <v/>
      </c>
      <c r="K4">
        <f>IF(SUMPRODUCT((ISNUMBER(SEARCH("refrigeracao",dados_brutos!$M$2:$M$3))*(dados_brutos!$E$2:$E$3="GO")*(dados_brutos!$AU$2:$AU$3=1))*ISNUMBER(dados_brutos!$R$2:$R$3))=0,"",_xlfn.AGGREGATE(17,6,dados_brutos!$R$2:$R$3/((ISNUMBER(SEARCH("refrigeracao",dados_brutos!$M$2:$M$3))*(dados_brutos!$E$2:$E$3="GO")*(dados_brutos!$AU$2:$AU$3=1))*ISNUMBER(dados_brutos!$R$2:$R$3)),3))</f>
        <v/>
      </c>
      <c r="L4">
        <f>SUMPRODUCT((ISNUMBER(SEARCH("refrigeracao",dados_brutos!$M$2:$M$3))*(dados_brutos!$E$2:$E$3="GO")*(dados_brutos!$AU$2:$AU$3=1))*ISNUMBER(dados_brutos!$R$2:$R$3))</f>
        <v/>
      </c>
      <c r="M4">
        <f>IF(COUNTIFS(dados_brutos!$M$2:$M$3,"*"&amp;"refrigeracao"&amp;"*",dados_brutos!$E$2:$E$3,"GO",dados_brutos!$AU$2:$AU$3,1)=0,"",COUNTIFS(dados_brutos!$M$2:$M$3,"*"&amp;"refrigeracao"&amp;"*",dados_brutos!$E$2:$E$3,"GO",dados_brutos!$AU$2:$AU$3,1,dados_brutos!$Z$2:$Z$3,1)/COUNTIFS(dados_brutos!$M$2:$M$3,"*"&amp;"refrigeracao"&amp;"*",dados_brutos!$E$2:$E$3,"GO",dados_brutos!$AU$2:$AU$3,1))</f>
        <v/>
      </c>
      <c r="N4">
        <f>IF(COUNTIFS(dados_brutos!$M$2:$M$3,"*"&amp;"refrigeracao"&amp;"*",dados_brutos!$E$2:$E$3,"GO",dados_brutos!$AU$2:$AU$3,1)=0,"",COUNTIFS(dados_brutos!$M$2:$M$3,"*"&amp;"refrigeracao"&amp;"*",dados_brutos!$E$2:$E$3,"GO",dados_brutos!$AU$2:$AU$3,1,dados_brutos!$AA$2:$AA$3,1)/COUNTIFS(dados_brutos!$M$2:$M$3,"*"&amp;"refrigeracao"&amp;"*",dados_brutos!$E$2:$E$3,"GO",dados_brutos!$AU$2:$AU$3,1))</f>
        <v/>
      </c>
      <c r="O4">
        <f>IF(COUNTIFS(dados_brutos!$M$2:$M$3,"*"&amp;"refrigeracao"&amp;"*",dados_brutos!$E$2:$E$3,"GO",dados_brutos!$AU$2:$AU$3,1)=0,"",COUNTIFS(dados_brutos!$M$2:$M$3,"*"&amp;"refrigeracao"&amp;"*",dados_brutos!$E$2:$E$3,"GO",dados_brutos!$AU$2:$AU$3,1,dados_brutos!$AB$2:$AB$3,1)/COUNTIFS(dados_brutos!$M$2:$M$3,"*"&amp;"refrigeracao"&amp;"*",dados_brutos!$E$2:$E$3,"GO",dados_brutos!$AU$2:$AU$3,1))</f>
        <v/>
      </c>
      <c r="P4">
        <f>IF(COUNTIFS(dados_brutos!$M$2:$M$3,"*"&amp;"refrigeracao"&amp;"*",dados_brutos!$E$2:$E$3,"GO",dados_brutos!$AU$2:$AU$3,1)=0,"",COUNTIFS(dados_brutos!$M$2:$M$3,"*"&amp;"refrigeracao"&amp;"*",dados_brutos!$E$2:$E$3,"GO",dados_brutos!$AU$2:$AU$3,1,dados_brutos!$AC$2:$AC$3,1)/COUNTIFS(dados_brutos!$M$2:$M$3,"*"&amp;"refrigeracao"&amp;"*",dados_brutos!$E$2:$E$3,"GO",dados_brutos!$AU$2:$AU$3,1))</f>
        <v/>
      </c>
      <c r="Q4">
        <f>IF(COUNTIFS(dados_brutos!$M$2:$M$3,"*"&amp;"refrigeracao"&amp;"*",dados_brutos!$E$2:$E$3,"GO",dados_brutos!$AU$2:$AU$3,1)=0,"",COUNTIFS(dados_brutos!$M$2:$M$3,"*"&amp;"refrigeracao"&amp;"*",dados_brutos!$E$2:$E$3,"GO",dados_brutos!$AU$2:$AU$3,1,dados_brutos!$AH$2:$AH$3,"continuado")/COUNTIFS(dados_brutos!$M$2:$M$3,"*"&amp;"refrigeracao"&amp;"*",dados_brutos!$E$2:$E$3,"GO",dados_brutos!$AU$2:$AU$3,1))</f>
        <v/>
      </c>
    </row>
    <row r="5">
      <c r="A5" t="inlineStr">
        <is>
          <t>refrigeracao</t>
        </is>
      </c>
      <c r="B5" t="inlineStr">
        <is>
          <t>vizinhos</t>
        </is>
      </c>
      <c r="D5">
        <f>COUNTIFS(dados_brutos!$M$2:$M$3,"*"&amp;"refrigeracao"&amp;"*",dados_brutos!$E$2:$E$3,"vizinhos",dados_brutos!$AU$2:$AU$3,1)</f>
        <v/>
      </c>
      <c r="E5">
        <f>IF(SUMPRODUCT((ISNUMBER(SEARCH("refrigeracao",dados_brutos!$M$2:$M$3))*(dados_brutos!$E$2:$E$3="vizinhos")*(dados_brutos!$AU$2:$AU$3=1))*ISNUMBER(dados_brutos!$O$2:$O$3))=0,"",SUMIFS(dados_brutos!$O$2:$O$3,dados_brutos!$M$2:$M$3,"*"&amp;"refrigeracao"&amp;"*",dados_brutos!$E$2:$E$3,"vizinhos",dados_brutos!$AU$2:$AU$3,1))</f>
        <v/>
      </c>
      <c r="F5">
        <f>IF(SUMPRODUCT((ISNUMBER(SEARCH("refrigeracao",dados_brutos!$M$2:$M$3))*(dados_brutos!$E$2:$E$3="vizinhos")*(dados_brutos!$AU$2:$AU$3=1))*ISNUMBER(dados_brutos!$O$2:$O$3))=0,"",_xlfn.AGGREGATE(12,6,dados_brutos!$O$2:$O$3/((ISNUMBER(SEARCH("refrigeracao",dados_brutos!$M$2:$M$3))*(dados_brutos!$E$2:$E$3="vizinhos")*(dados_brutos!$AU$2:$AU$3=1))*ISNUMBER(dados_brutos!$O$2:$O$3))))</f>
        <v/>
      </c>
      <c r="G5">
        <f>IF(SUMPRODUCT((ISNUMBER(SEARCH("refrigeracao",dados_brutos!$M$2:$M$3))*(dados_brutos!$E$2:$E$3="vizinhos")*(dados_brutos!$AU$2:$AU$3=1))*ISNUMBER(dados_brutos!$AG$2:$AG$3))=0,"",_xlfn.AGGREGATE(12,6,dados_brutos!$AG$2:$AG$3/((ISNUMBER(SEARCH("refrigeracao",dados_brutos!$M$2:$M$3))*(dados_brutos!$E$2:$E$3="vizinhos")*(dados_brutos!$AU$2:$AU$3=1))*ISNUMBER(dados_brutos!$AG$2:$AG$3))))</f>
        <v/>
      </c>
      <c r="H5">
        <f>SUMPRODUCT((ISNUMBER(SEARCH("refrigeracao",dados_brutos!$M$2:$M$3))*(dados_brutos!$E$2:$E$3="vizinhos")*(dados_brutos!$AU$2:$AU$3=1))*ISNUMBER(dados_brutos!$AG$2:$AG$3))</f>
        <v/>
      </c>
      <c r="I5">
        <f>IF(SUMPRODUCT((ISNUMBER(SEARCH("refrigeracao",dados_brutos!$M$2:$M$3))*(dados_brutos!$E$2:$E$3="vizinhos")*(dados_brutos!$AU$2:$AU$3=1))*ISNUMBER(dados_brutos!$R$2:$R$3))=0,"",_xlfn.AGGREGATE(12,6,dados_brutos!$R$2:$R$3/((ISNUMBER(SEARCH("refrigeracao",dados_brutos!$M$2:$M$3))*(dados_brutos!$E$2:$E$3="vizinhos")*(dados_brutos!$AU$2:$AU$3=1))*ISNUMBER(dados_brutos!$R$2:$R$3))))</f>
        <v/>
      </c>
      <c r="J5">
        <f>IF(SUMPRODUCT((ISNUMBER(SEARCH("refrigeracao",dados_brutos!$M$2:$M$3))*(dados_brutos!$E$2:$E$3="vizinhos")*(dados_brutos!$AU$2:$AU$3=1))*ISNUMBER(dados_brutos!$R$2:$R$3))=0,"",_xlfn.AGGREGATE(17,6,dados_brutos!$R$2:$R$3/((ISNUMBER(SEARCH("refrigeracao",dados_brutos!$M$2:$M$3))*(dados_brutos!$E$2:$E$3="vizinhos")*(dados_brutos!$AU$2:$AU$3=1))*ISNUMBER(dados_brutos!$R$2:$R$3)),1))</f>
        <v/>
      </c>
      <c r="K5">
        <f>IF(SUMPRODUCT((ISNUMBER(SEARCH("refrigeracao",dados_brutos!$M$2:$M$3))*(dados_brutos!$E$2:$E$3="vizinhos")*(dados_brutos!$AU$2:$AU$3=1))*ISNUMBER(dados_brutos!$R$2:$R$3))=0,"",_xlfn.AGGREGATE(17,6,dados_brutos!$R$2:$R$3/((ISNUMBER(SEARCH("refrigeracao",dados_brutos!$M$2:$M$3))*(dados_brutos!$E$2:$E$3="vizinhos")*(dados_brutos!$AU$2:$AU$3=1))*ISNUMBER(dados_brutos!$R$2:$R$3)),3))</f>
        <v/>
      </c>
      <c r="L5">
        <f>SUMPRODUCT((ISNUMBER(SEARCH("refrigeracao",dados_brutos!$M$2:$M$3))*(dados_brutos!$E$2:$E$3="vizinhos")*(dados_brutos!$AU$2:$AU$3=1))*ISNUMBER(dados_brutos!$R$2:$R$3))</f>
        <v/>
      </c>
      <c r="M5">
        <f>IF(COUNTIFS(dados_brutos!$M$2:$M$3,"*"&amp;"refrigeracao"&amp;"*",dados_brutos!$E$2:$E$3,"vizinhos",dados_brutos!$AU$2:$AU$3,1)=0,"",COUNTIFS(dados_brutos!$M$2:$M$3,"*"&amp;"refrigeracao"&amp;"*",dados_brutos!$E$2:$E$3,"vizinhos",dados_brutos!$AU$2:$AU$3,1,dados_brutos!$Z$2:$Z$3,1)/COUNTIFS(dados_brutos!$M$2:$M$3,"*"&amp;"refrigeracao"&amp;"*",dados_brutos!$E$2:$E$3,"vizinhos",dados_brutos!$AU$2:$AU$3,1))</f>
        <v/>
      </c>
      <c r="N5">
        <f>IF(COUNTIFS(dados_brutos!$M$2:$M$3,"*"&amp;"refrigeracao"&amp;"*",dados_brutos!$E$2:$E$3,"vizinhos",dados_brutos!$AU$2:$AU$3,1)=0,"",COUNTIFS(dados_brutos!$M$2:$M$3,"*"&amp;"refrigeracao"&amp;"*",dados_brutos!$E$2:$E$3,"vizinhos",dados_brutos!$AU$2:$AU$3,1,dados_brutos!$AA$2:$AA$3,1)/COUNTIFS(dados_brutos!$M$2:$M$3,"*"&amp;"refrigeracao"&amp;"*",dados_brutos!$E$2:$E$3,"vizinhos",dados_brutos!$AU$2:$AU$3,1))</f>
        <v/>
      </c>
      <c r="O5">
        <f>IF(COUNTIFS(dados_brutos!$M$2:$M$3,"*"&amp;"refrigeracao"&amp;"*",dados_brutos!$E$2:$E$3,"vizinhos",dados_brutos!$AU$2:$AU$3,1)=0,"",COUNTIFS(dados_brutos!$M$2:$M$3,"*"&amp;"refrigeracao"&amp;"*",dados_brutos!$E$2:$E$3,"vizinhos",dados_brutos!$AU$2:$AU$3,1,dados_brutos!$AB$2:$AB$3,1)/COUNTIFS(dados_brutos!$M$2:$M$3,"*"&amp;"refrigeracao"&amp;"*",dados_brutos!$E$2:$E$3,"vizinhos",dados_brutos!$AU$2:$AU$3,1))</f>
        <v/>
      </c>
      <c r="P5">
        <f>IF(COUNTIFS(dados_brutos!$M$2:$M$3,"*"&amp;"refrigeracao"&amp;"*",dados_brutos!$E$2:$E$3,"vizinhos",dados_brutos!$AU$2:$AU$3,1)=0,"",COUNTIFS(dados_brutos!$M$2:$M$3,"*"&amp;"refrigeracao"&amp;"*",dados_brutos!$E$2:$E$3,"vizinhos",dados_brutos!$AU$2:$AU$3,1,dados_brutos!$AC$2:$AC$3,1)/COUNTIFS(dados_brutos!$M$2:$M$3,"*"&amp;"refrigeracao"&amp;"*",dados_brutos!$E$2:$E$3,"vizinhos",dados_brutos!$AU$2:$AU$3,1))</f>
        <v/>
      </c>
      <c r="Q5">
        <f>IF(COUNTIFS(dados_brutos!$M$2:$M$3,"*"&amp;"refrigeracao"&amp;"*",dados_brutos!$E$2:$E$3,"vizinhos",dados_brutos!$AU$2:$AU$3,1)=0,"",COUNTIFS(dados_brutos!$M$2:$M$3,"*"&amp;"refrigeracao"&amp;"*",dados_brutos!$E$2:$E$3,"vizinhos",dados_brutos!$AU$2:$AU$3,1,dados_brutos!$AH$2:$AH$3,"continuado")/COUNTIFS(dados_brutos!$M$2:$M$3,"*"&amp;"refrigeracao"&amp;"*",dados_brutos!$E$2:$E$3,"vizinhos",dados_brutos!$AU$2:$AU$3,1))</f>
        <v/>
      </c>
    </row>
    <row r="6">
      <c r="A6" t="inlineStr">
        <is>
          <t>iluminacao_publica</t>
        </is>
      </c>
      <c r="B6" t="inlineStr">
        <is>
          <t>GO</t>
        </is>
      </c>
      <c r="D6">
        <f>COUNTIFS(dados_brutos!$M$2:$M$3,"*"&amp;"iluminacao_publica"&amp;"*",dados_brutos!$E$2:$E$3,"GO",dados_brutos!$AU$2:$AU$3,1)</f>
        <v/>
      </c>
      <c r="E6">
        <f>IF(SUMPRODUCT((ISNUMBER(SEARCH("iluminacao_publica",dados_brutos!$M$2:$M$3))*(dados_brutos!$E$2:$E$3="GO")*(dados_brutos!$AU$2:$AU$3=1))*ISNUMBER(dados_brutos!$O$2:$O$3))=0,"",SUMIFS(dados_brutos!$O$2:$O$3,dados_brutos!$M$2:$M$3,"*"&amp;"iluminacao_publica"&amp;"*",dados_brutos!$E$2:$E$3,"GO",dados_brutos!$AU$2:$AU$3,1))</f>
        <v/>
      </c>
      <c r="F6">
        <f>IF(SUMPRODUCT((ISNUMBER(SEARCH("iluminacao_publica",dados_brutos!$M$2:$M$3))*(dados_brutos!$E$2:$E$3="GO")*(dados_brutos!$AU$2:$AU$3=1))*ISNUMBER(dados_brutos!$O$2:$O$3))=0,"",_xlfn.AGGREGATE(12,6,dados_brutos!$O$2:$O$3/((ISNUMBER(SEARCH("iluminacao_publica",dados_brutos!$M$2:$M$3))*(dados_brutos!$E$2:$E$3="GO")*(dados_brutos!$AU$2:$AU$3=1))*ISNUMBER(dados_brutos!$O$2:$O$3))))</f>
        <v/>
      </c>
      <c r="G6">
        <f>IF(SUMPRODUCT((ISNUMBER(SEARCH("iluminacao_publica",dados_brutos!$M$2:$M$3))*(dados_brutos!$E$2:$E$3="GO")*(dados_brutos!$AU$2:$AU$3=1))*ISNUMBER(dados_brutos!$AG$2:$AG$3))=0,"",_xlfn.AGGREGATE(12,6,dados_brutos!$AG$2:$AG$3/((ISNUMBER(SEARCH("iluminacao_publica",dados_brutos!$M$2:$M$3))*(dados_brutos!$E$2:$E$3="GO")*(dados_brutos!$AU$2:$AU$3=1))*ISNUMBER(dados_brutos!$AG$2:$AG$3))))</f>
        <v/>
      </c>
      <c r="H6">
        <f>SUMPRODUCT((ISNUMBER(SEARCH("iluminacao_publica",dados_brutos!$M$2:$M$3))*(dados_brutos!$E$2:$E$3="GO")*(dados_brutos!$AU$2:$AU$3=1))*ISNUMBER(dados_brutos!$AG$2:$AG$3))</f>
        <v/>
      </c>
      <c r="I6">
        <f>IF(SUMPRODUCT((ISNUMBER(SEARCH("iluminacao_publica",dados_brutos!$M$2:$M$3))*(dados_brutos!$E$2:$E$3="GO")*(dados_brutos!$AU$2:$AU$3=1))*ISNUMBER(dados_brutos!$R$2:$R$3))=0,"",_xlfn.AGGREGATE(12,6,dados_brutos!$R$2:$R$3/((ISNUMBER(SEARCH("iluminacao_publica",dados_brutos!$M$2:$M$3))*(dados_brutos!$E$2:$E$3="GO")*(dados_brutos!$AU$2:$AU$3=1))*ISNUMBER(dados_brutos!$R$2:$R$3))))</f>
        <v/>
      </c>
      <c r="J6">
        <f>IF(SUMPRODUCT((ISNUMBER(SEARCH("iluminacao_publica",dados_brutos!$M$2:$M$3))*(dados_brutos!$E$2:$E$3="GO")*(dados_brutos!$AU$2:$AU$3=1))*ISNUMBER(dados_brutos!$R$2:$R$3))=0,"",_xlfn.AGGREGATE(17,6,dados_brutos!$R$2:$R$3/((ISNUMBER(SEARCH("iluminacao_publica",dados_brutos!$M$2:$M$3))*(dados_brutos!$E$2:$E$3="GO")*(dados_brutos!$AU$2:$AU$3=1))*ISNUMBER(dados_brutos!$R$2:$R$3)),1))</f>
        <v/>
      </c>
      <c r="K6">
        <f>IF(SUMPRODUCT((ISNUMBER(SEARCH("iluminacao_publica",dados_brutos!$M$2:$M$3))*(dados_brutos!$E$2:$E$3="GO")*(dados_brutos!$AU$2:$AU$3=1))*ISNUMBER(dados_brutos!$R$2:$R$3))=0,"",_xlfn.AGGREGATE(17,6,dados_brutos!$R$2:$R$3/((ISNUMBER(SEARCH("iluminacao_publica",dados_brutos!$M$2:$M$3))*(dados_brutos!$E$2:$E$3="GO")*(dados_brutos!$AU$2:$AU$3=1))*ISNUMBER(dados_brutos!$R$2:$R$3)),3))</f>
        <v/>
      </c>
      <c r="L6">
        <f>SUMPRODUCT((ISNUMBER(SEARCH("iluminacao_publica",dados_brutos!$M$2:$M$3))*(dados_brutos!$E$2:$E$3="GO")*(dados_brutos!$AU$2:$AU$3=1))*ISNUMBER(dados_brutos!$R$2:$R$3))</f>
        <v/>
      </c>
      <c r="M6">
        <f>IF(COUNTIFS(dados_brutos!$M$2:$M$3,"*"&amp;"iluminacao_publica"&amp;"*",dados_brutos!$E$2:$E$3,"GO",dados_brutos!$AU$2:$AU$3,1)=0,"",COUNTIFS(dados_brutos!$M$2:$M$3,"*"&amp;"iluminacao_publica"&amp;"*",dados_brutos!$E$2:$E$3,"GO",dados_brutos!$AU$2:$AU$3,1,dados_brutos!$Z$2:$Z$3,1)/COUNTIFS(dados_brutos!$M$2:$M$3,"*"&amp;"iluminacao_publica"&amp;"*",dados_brutos!$E$2:$E$3,"GO",dados_brutos!$AU$2:$AU$3,1))</f>
        <v/>
      </c>
      <c r="N6">
        <f>IF(COUNTIFS(dados_brutos!$M$2:$M$3,"*"&amp;"iluminacao_publica"&amp;"*",dados_brutos!$E$2:$E$3,"GO",dados_brutos!$AU$2:$AU$3,1)=0,"",COUNTIFS(dados_brutos!$M$2:$M$3,"*"&amp;"iluminacao_publica"&amp;"*",dados_brutos!$E$2:$E$3,"GO",dados_brutos!$AU$2:$AU$3,1,dados_brutos!$AA$2:$AA$3,1)/COUNTIFS(dados_brutos!$M$2:$M$3,"*"&amp;"iluminacao_publica"&amp;"*",dados_brutos!$E$2:$E$3,"GO",dados_brutos!$AU$2:$AU$3,1))</f>
        <v/>
      </c>
      <c r="O6">
        <f>IF(COUNTIFS(dados_brutos!$M$2:$M$3,"*"&amp;"iluminacao_publica"&amp;"*",dados_brutos!$E$2:$E$3,"GO",dados_brutos!$AU$2:$AU$3,1)=0,"",COUNTIFS(dados_brutos!$M$2:$M$3,"*"&amp;"iluminacao_publica"&amp;"*",dados_brutos!$E$2:$E$3,"GO",dados_brutos!$AU$2:$AU$3,1,dados_brutos!$AB$2:$AB$3,1)/COUNTIFS(dados_brutos!$M$2:$M$3,"*"&amp;"iluminacao_publica"&amp;"*",dados_brutos!$E$2:$E$3,"GO",dados_brutos!$AU$2:$AU$3,1))</f>
        <v/>
      </c>
      <c r="P6">
        <f>IF(COUNTIFS(dados_brutos!$M$2:$M$3,"*"&amp;"iluminacao_publica"&amp;"*",dados_brutos!$E$2:$E$3,"GO",dados_brutos!$AU$2:$AU$3,1)=0,"",COUNTIFS(dados_brutos!$M$2:$M$3,"*"&amp;"iluminacao_publica"&amp;"*",dados_brutos!$E$2:$E$3,"GO",dados_brutos!$AU$2:$AU$3,1,dados_brutos!$AC$2:$AC$3,1)/COUNTIFS(dados_brutos!$M$2:$M$3,"*"&amp;"iluminacao_publica"&amp;"*",dados_brutos!$E$2:$E$3,"GO",dados_brutos!$AU$2:$AU$3,1))</f>
        <v/>
      </c>
      <c r="Q6">
        <f>IF(COUNTIFS(dados_brutos!$M$2:$M$3,"*"&amp;"iluminacao_publica"&amp;"*",dados_brutos!$E$2:$E$3,"GO",dados_brutos!$AU$2:$AU$3,1)=0,"",COUNTIFS(dados_brutos!$M$2:$M$3,"*"&amp;"iluminacao_publica"&amp;"*",dados_brutos!$E$2:$E$3,"GO",dados_brutos!$AU$2:$AU$3,1,dados_brutos!$AH$2:$AH$3,"continuado")/COUNTIFS(dados_brutos!$M$2:$M$3,"*"&amp;"iluminacao_publica"&amp;"*",dados_brutos!$E$2:$E$3,"GO",dados_brutos!$AU$2:$AU$3,1))</f>
        <v/>
      </c>
    </row>
    <row r="7">
      <c r="A7" t="inlineStr">
        <is>
          <t>iluminacao_publica</t>
        </is>
      </c>
      <c r="B7" t="inlineStr">
        <is>
          <t>vizinhos</t>
        </is>
      </c>
      <c r="D7">
        <f>COUNTIFS(dados_brutos!$M$2:$M$3,"*"&amp;"iluminacao_publica"&amp;"*",dados_brutos!$E$2:$E$3,"vizinhos",dados_brutos!$AU$2:$AU$3,1)</f>
        <v/>
      </c>
      <c r="E7">
        <f>IF(SUMPRODUCT((ISNUMBER(SEARCH("iluminacao_publica",dados_brutos!$M$2:$M$3))*(dados_brutos!$E$2:$E$3="vizinhos")*(dados_brutos!$AU$2:$AU$3=1))*ISNUMBER(dados_brutos!$O$2:$O$3))=0,"",SUMIFS(dados_brutos!$O$2:$O$3,dados_brutos!$M$2:$M$3,"*"&amp;"iluminacao_publica"&amp;"*",dados_brutos!$E$2:$E$3,"vizinhos",dados_brutos!$AU$2:$AU$3,1))</f>
        <v/>
      </c>
      <c r="F7">
        <f>IF(SUMPRODUCT((ISNUMBER(SEARCH("iluminacao_publica",dados_brutos!$M$2:$M$3))*(dados_brutos!$E$2:$E$3="vizinhos")*(dados_brutos!$AU$2:$AU$3=1))*ISNUMBER(dados_brutos!$O$2:$O$3))=0,"",_xlfn.AGGREGATE(12,6,dados_brutos!$O$2:$O$3/((ISNUMBER(SEARCH("iluminacao_publica",dados_brutos!$M$2:$M$3))*(dados_brutos!$E$2:$E$3="vizinhos")*(dados_brutos!$AU$2:$AU$3=1))*ISNUMBER(dados_brutos!$O$2:$O$3))))</f>
        <v/>
      </c>
      <c r="G7">
        <f>IF(SUMPRODUCT((ISNUMBER(SEARCH("iluminacao_publica",dados_brutos!$M$2:$M$3))*(dados_brutos!$E$2:$E$3="vizinhos")*(dados_brutos!$AU$2:$AU$3=1))*ISNUMBER(dados_brutos!$AG$2:$AG$3))=0,"",_xlfn.AGGREGATE(12,6,dados_brutos!$AG$2:$AG$3/((ISNUMBER(SEARCH("iluminacao_publica",dados_brutos!$M$2:$M$3))*(dados_brutos!$E$2:$E$3="vizinhos")*(dados_brutos!$AU$2:$AU$3=1))*ISNUMBER(dados_brutos!$AG$2:$AG$3))))</f>
        <v/>
      </c>
      <c r="H7">
        <f>SUMPRODUCT((ISNUMBER(SEARCH("iluminacao_publica",dados_brutos!$M$2:$M$3))*(dados_brutos!$E$2:$E$3="vizinhos")*(dados_brutos!$AU$2:$AU$3=1))*ISNUMBER(dados_brutos!$AG$2:$AG$3))</f>
        <v/>
      </c>
      <c r="I7">
        <f>IF(SUMPRODUCT((ISNUMBER(SEARCH("iluminacao_publica",dados_brutos!$M$2:$M$3))*(dados_brutos!$E$2:$E$3="vizinhos")*(dados_brutos!$AU$2:$AU$3=1))*ISNUMBER(dados_brutos!$R$2:$R$3))=0,"",_xlfn.AGGREGATE(12,6,dados_brutos!$R$2:$R$3/((ISNUMBER(SEARCH("iluminacao_publica",dados_brutos!$M$2:$M$3))*(dados_brutos!$E$2:$E$3="vizinhos")*(dados_brutos!$AU$2:$AU$3=1))*ISNUMBER(dados_brutos!$R$2:$R$3))))</f>
        <v/>
      </c>
      <c r="J7">
        <f>IF(SUMPRODUCT((ISNUMBER(SEARCH("iluminacao_publica",dados_brutos!$M$2:$M$3))*(dados_brutos!$E$2:$E$3="vizinhos")*(dados_brutos!$AU$2:$AU$3=1))*ISNUMBER(dados_brutos!$R$2:$R$3))=0,"",_xlfn.AGGREGATE(17,6,dados_brutos!$R$2:$R$3/((ISNUMBER(SEARCH("iluminacao_publica",dados_brutos!$M$2:$M$3))*(dados_brutos!$E$2:$E$3="vizinhos")*(dados_brutos!$AU$2:$AU$3=1))*ISNUMBER(dados_brutos!$R$2:$R$3)),1))</f>
        <v/>
      </c>
      <c r="K7">
        <f>IF(SUMPRODUCT((ISNUMBER(SEARCH("iluminacao_publica",dados_brutos!$M$2:$M$3))*(dados_brutos!$E$2:$E$3="vizinhos")*(dados_brutos!$AU$2:$AU$3=1))*ISNUMBER(dados_brutos!$R$2:$R$3))=0,"",_xlfn.AGGREGATE(17,6,dados_brutos!$R$2:$R$3/((ISNUMBER(SEARCH("iluminacao_publica",dados_brutos!$M$2:$M$3))*(dados_brutos!$E$2:$E$3="vizinhos")*(dados_brutos!$AU$2:$AU$3=1))*ISNUMBER(dados_brutos!$R$2:$R$3)),3))</f>
        <v/>
      </c>
      <c r="L7">
        <f>SUMPRODUCT((ISNUMBER(SEARCH("iluminacao_publica",dados_brutos!$M$2:$M$3))*(dados_brutos!$E$2:$E$3="vizinhos")*(dados_brutos!$AU$2:$AU$3=1))*ISNUMBER(dados_brutos!$R$2:$R$3))</f>
        <v/>
      </c>
      <c r="M7">
        <f>IF(COUNTIFS(dados_brutos!$M$2:$M$3,"*"&amp;"iluminacao_publica"&amp;"*",dados_brutos!$E$2:$E$3,"vizinhos",dados_brutos!$AU$2:$AU$3,1)=0,"",COUNTIFS(dados_brutos!$M$2:$M$3,"*"&amp;"iluminacao_publica"&amp;"*",dados_brutos!$E$2:$E$3,"vizinhos",dados_brutos!$AU$2:$AU$3,1,dados_brutos!$Z$2:$Z$3,1)/COUNTIFS(dados_brutos!$M$2:$M$3,"*"&amp;"iluminacao_publica"&amp;"*",dados_brutos!$E$2:$E$3,"vizinhos",dados_brutos!$AU$2:$AU$3,1))</f>
        <v/>
      </c>
      <c r="N7">
        <f>IF(COUNTIFS(dados_brutos!$M$2:$M$3,"*"&amp;"iluminacao_publica"&amp;"*",dados_brutos!$E$2:$E$3,"vizinhos",dados_brutos!$AU$2:$AU$3,1)=0,"",COUNTIFS(dados_brutos!$M$2:$M$3,"*"&amp;"iluminacao_publica"&amp;"*",dados_brutos!$E$2:$E$3,"vizinhos",dados_brutos!$AU$2:$AU$3,1,dados_brutos!$AA$2:$AA$3,1)/COUNTIFS(dados_brutos!$M$2:$M$3,"*"&amp;"iluminacao_publica"&amp;"*",dados_brutos!$E$2:$E$3,"vizinhos",dados_brutos!$AU$2:$AU$3,1))</f>
        <v/>
      </c>
      <c r="O7">
        <f>IF(COUNTIFS(dados_brutos!$M$2:$M$3,"*"&amp;"iluminacao_publica"&amp;"*",dados_brutos!$E$2:$E$3,"vizinhos",dados_brutos!$AU$2:$AU$3,1)=0,"",COUNTIFS(dados_brutos!$M$2:$M$3,"*"&amp;"iluminacao_publica"&amp;"*",dados_brutos!$E$2:$E$3,"vizinhos",dados_brutos!$AU$2:$AU$3,1,dados_brutos!$AB$2:$AB$3,1)/COUNTIFS(dados_brutos!$M$2:$M$3,"*"&amp;"iluminacao_publica"&amp;"*",dados_brutos!$E$2:$E$3,"vizinhos",dados_brutos!$AU$2:$AU$3,1))</f>
        <v/>
      </c>
      <c r="P7">
        <f>IF(COUNTIFS(dados_brutos!$M$2:$M$3,"*"&amp;"iluminacao_publica"&amp;"*",dados_brutos!$E$2:$E$3,"vizinhos",dados_brutos!$AU$2:$AU$3,1)=0,"",COUNTIFS(dados_brutos!$M$2:$M$3,"*"&amp;"iluminacao_publica"&amp;"*",dados_brutos!$E$2:$E$3,"vizinhos",dados_brutos!$AU$2:$AU$3,1,dados_brutos!$AC$2:$AC$3,1)/COUNTIFS(dados_brutos!$M$2:$M$3,"*"&amp;"iluminacao_publica"&amp;"*",dados_brutos!$E$2:$E$3,"vizinhos",dados_brutos!$AU$2:$AU$3,1))</f>
        <v/>
      </c>
      <c r="Q7">
        <f>IF(COUNTIFS(dados_brutos!$M$2:$M$3,"*"&amp;"iluminacao_publica"&amp;"*",dados_brutos!$E$2:$E$3,"vizinhos",dados_brutos!$AU$2:$AU$3,1)=0,"",COUNTIFS(dados_brutos!$M$2:$M$3,"*"&amp;"iluminacao_publica"&amp;"*",dados_brutos!$E$2:$E$3,"vizinhos",dados_brutos!$AU$2:$AU$3,1,dados_brutos!$AH$2:$AH$3,"continuado")/COUNTIFS(dados_brutos!$M$2:$M$3,"*"&amp;"iluminacao_publica"&amp;"*",dados_brutos!$E$2:$E$3,"vizinhos",dados_brutos!$AU$2:$AU$3,1))</f>
        <v/>
      </c>
    </row>
    <row r="8">
      <c r="A8" t="inlineStr">
        <is>
          <t>eletrica_predial</t>
        </is>
      </c>
      <c r="B8" t="inlineStr">
        <is>
          <t>GO</t>
        </is>
      </c>
      <c r="D8">
        <f>COUNTIFS(dados_brutos!$M$2:$M$3,"*"&amp;"eletrica_predial"&amp;"*",dados_brutos!$E$2:$E$3,"GO",dados_brutos!$AU$2:$AU$3,1)</f>
        <v/>
      </c>
      <c r="E8">
        <f>IF(SUMPRODUCT((ISNUMBER(SEARCH("eletrica_predial",dados_brutos!$M$2:$M$3))*(dados_brutos!$E$2:$E$3="GO")*(dados_brutos!$AU$2:$AU$3=1))*ISNUMBER(dados_brutos!$O$2:$O$3))=0,"",SUMIFS(dados_brutos!$O$2:$O$3,dados_brutos!$M$2:$M$3,"*"&amp;"eletrica_predial"&amp;"*",dados_brutos!$E$2:$E$3,"GO",dados_brutos!$AU$2:$AU$3,1))</f>
        <v/>
      </c>
      <c r="F8">
        <f>IF(SUMPRODUCT((ISNUMBER(SEARCH("eletrica_predial",dados_brutos!$M$2:$M$3))*(dados_brutos!$E$2:$E$3="GO")*(dados_brutos!$AU$2:$AU$3=1))*ISNUMBER(dados_brutos!$O$2:$O$3))=0,"",_xlfn.AGGREGATE(12,6,dados_brutos!$O$2:$O$3/((ISNUMBER(SEARCH("eletrica_predial",dados_brutos!$M$2:$M$3))*(dados_brutos!$E$2:$E$3="GO")*(dados_brutos!$AU$2:$AU$3=1))*ISNUMBER(dados_brutos!$O$2:$O$3))))</f>
        <v/>
      </c>
      <c r="G8">
        <f>IF(SUMPRODUCT((ISNUMBER(SEARCH("eletrica_predial",dados_brutos!$M$2:$M$3))*(dados_brutos!$E$2:$E$3="GO")*(dados_brutos!$AU$2:$AU$3=1))*ISNUMBER(dados_brutos!$AG$2:$AG$3))=0,"",_xlfn.AGGREGATE(12,6,dados_brutos!$AG$2:$AG$3/((ISNUMBER(SEARCH("eletrica_predial",dados_brutos!$M$2:$M$3))*(dados_brutos!$E$2:$E$3="GO")*(dados_brutos!$AU$2:$AU$3=1))*ISNUMBER(dados_brutos!$AG$2:$AG$3))))</f>
        <v/>
      </c>
      <c r="H8">
        <f>SUMPRODUCT((ISNUMBER(SEARCH("eletrica_predial",dados_brutos!$M$2:$M$3))*(dados_brutos!$E$2:$E$3="GO")*(dados_brutos!$AU$2:$AU$3=1))*ISNUMBER(dados_brutos!$AG$2:$AG$3))</f>
        <v/>
      </c>
      <c r="I8">
        <f>IF(SUMPRODUCT((ISNUMBER(SEARCH("eletrica_predial",dados_brutos!$M$2:$M$3))*(dados_brutos!$E$2:$E$3="GO")*(dados_brutos!$AU$2:$AU$3=1))*ISNUMBER(dados_brutos!$R$2:$R$3))=0,"",_xlfn.AGGREGATE(12,6,dados_brutos!$R$2:$R$3/((ISNUMBER(SEARCH("eletrica_predial",dados_brutos!$M$2:$M$3))*(dados_brutos!$E$2:$E$3="GO")*(dados_brutos!$AU$2:$AU$3=1))*ISNUMBER(dados_brutos!$R$2:$R$3))))</f>
        <v/>
      </c>
      <c r="J8">
        <f>IF(SUMPRODUCT((ISNUMBER(SEARCH("eletrica_predial",dados_brutos!$M$2:$M$3))*(dados_brutos!$E$2:$E$3="GO")*(dados_brutos!$AU$2:$AU$3=1))*ISNUMBER(dados_brutos!$R$2:$R$3))=0,"",_xlfn.AGGREGATE(17,6,dados_brutos!$R$2:$R$3/((ISNUMBER(SEARCH("eletrica_predial",dados_brutos!$M$2:$M$3))*(dados_brutos!$E$2:$E$3="GO")*(dados_brutos!$AU$2:$AU$3=1))*ISNUMBER(dados_brutos!$R$2:$R$3)),1))</f>
        <v/>
      </c>
      <c r="K8">
        <f>IF(SUMPRODUCT((ISNUMBER(SEARCH("eletrica_predial",dados_brutos!$M$2:$M$3))*(dados_brutos!$E$2:$E$3="GO")*(dados_brutos!$AU$2:$AU$3=1))*ISNUMBER(dados_brutos!$R$2:$R$3))=0,"",_xlfn.AGGREGATE(17,6,dados_brutos!$R$2:$R$3/((ISNUMBER(SEARCH("eletrica_predial",dados_brutos!$M$2:$M$3))*(dados_brutos!$E$2:$E$3="GO")*(dados_brutos!$AU$2:$AU$3=1))*ISNUMBER(dados_brutos!$R$2:$R$3)),3))</f>
        <v/>
      </c>
      <c r="L8">
        <f>SUMPRODUCT((ISNUMBER(SEARCH("eletrica_predial",dados_brutos!$M$2:$M$3))*(dados_brutos!$E$2:$E$3="GO")*(dados_brutos!$AU$2:$AU$3=1))*ISNUMBER(dados_brutos!$R$2:$R$3))</f>
        <v/>
      </c>
      <c r="M8">
        <f>IF(COUNTIFS(dados_brutos!$M$2:$M$3,"*"&amp;"eletrica_predial"&amp;"*",dados_brutos!$E$2:$E$3,"GO",dados_brutos!$AU$2:$AU$3,1)=0,"",COUNTIFS(dados_brutos!$M$2:$M$3,"*"&amp;"eletrica_predial"&amp;"*",dados_brutos!$E$2:$E$3,"GO",dados_brutos!$AU$2:$AU$3,1,dados_brutos!$Z$2:$Z$3,1)/COUNTIFS(dados_brutos!$M$2:$M$3,"*"&amp;"eletrica_predial"&amp;"*",dados_brutos!$E$2:$E$3,"GO",dados_brutos!$AU$2:$AU$3,1))</f>
        <v/>
      </c>
      <c r="N8">
        <f>IF(COUNTIFS(dados_brutos!$M$2:$M$3,"*"&amp;"eletrica_predial"&amp;"*",dados_brutos!$E$2:$E$3,"GO",dados_brutos!$AU$2:$AU$3,1)=0,"",COUNTIFS(dados_brutos!$M$2:$M$3,"*"&amp;"eletrica_predial"&amp;"*",dados_brutos!$E$2:$E$3,"GO",dados_brutos!$AU$2:$AU$3,1,dados_brutos!$AA$2:$AA$3,1)/COUNTIFS(dados_brutos!$M$2:$M$3,"*"&amp;"eletrica_predial"&amp;"*",dados_brutos!$E$2:$E$3,"GO",dados_brutos!$AU$2:$AU$3,1))</f>
        <v/>
      </c>
      <c r="O8">
        <f>IF(COUNTIFS(dados_brutos!$M$2:$M$3,"*"&amp;"eletrica_predial"&amp;"*",dados_brutos!$E$2:$E$3,"GO",dados_brutos!$AU$2:$AU$3,1)=0,"",COUNTIFS(dados_brutos!$M$2:$M$3,"*"&amp;"eletrica_predial"&amp;"*",dados_brutos!$E$2:$E$3,"GO",dados_brutos!$AU$2:$AU$3,1,dados_brutos!$AB$2:$AB$3,1)/COUNTIFS(dados_brutos!$M$2:$M$3,"*"&amp;"eletrica_predial"&amp;"*",dados_brutos!$E$2:$E$3,"GO",dados_brutos!$AU$2:$AU$3,1))</f>
        <v/>
      </c>
      <c r="P8">
        <f>IF(COUNTIFS(dados_brutos!$M$2:$M$3,"*"&amp;"eletrica_predial"&amp;"*",dados_brutos!$E$2:$E$3,"GO",dados_brutos!$AU$2:$AU$3,1)=0,"",COUNTIFS(dados_brutos!$M$2:$M$3,"*"&amp;"eletrica_predial"&amp;"*",dados_brutos!$E$2:$E$3,"GO",dados_brutos!$AU$2:$AU$3,1,dados_brutos!$AC$2:$AC$3,1)/COUNTIFS(dados_brutos!$M$2:$M$3,"*"&amp;"eletrica_predial"&amp;"*",dados_brutos!$E$2:$E$3,"GO",dados_brutos!$AU$2:$AU$3,1))</f>
        <v/>
      </c>
      <c r="Q8">
        <f>IF(COUNTIFS(dados_brutos!$M$2:$M$3,"*"&amp;"eletrica_predial"&amp;"*",dados_brutos!$E$2:$E$3,"GO",dados_brutos!$AU$2:$AU$3,1)=0,"",COUNTIFS(dados_brutos!$M$2:$M$3,"*"&amp;"eletrica_predial"&amp;"*",dados_brutos!$E$2:$E$3,"GO",dados_brutos!$AU$2:$AU$3,1,dados_brutos!$AH$2:$AH$3,"continuado")/COUNTIFS(dados_brutos!$M$2:$M$3,"*"&amp;"eletrica_predial"&amp;"*",dados_brutos!$E$2:$E$3,"GO",dados_brutos!$AU$2:$AU$3,1))</f>
        <v/>
      </c>
    </row>
    <row r="9">
      <c r="A9" t="inlineStr">
        <is>
          <t>eletrica_predial</t>
        </is>
      </c>
      <c r="B9" t="inlineStr">
        <is>
          <t>vizinhos</t>
        </is>
      </c>
      <c r="D9">
        <f>COUNTIFS(dados_brutos!$M$2:$M$3,"*"&amp;"eletrica_predial"&amp;"*",dados_brutos!$E$2:$E$3,"vizinhos",dados_brutos!$AU$2:$AU$3,1)</f>
        <v/>
      </c>
      <c r="E9">
        <f>IF(SUMPRODUCT((ISNUMBER(SEARCH("eletrica_predial",dados_brutos!$M$2:$M$3))*(dados_brutos!$E$2:$E$3="vizinhos")*(dados_brutos!$AU$2:$AU$3=1))*ISNUMBER(dados_brutos!$O$2:$O$3))=0,"",SUMIFS(dados_brutos!$O$2:$O$3,dados_brutos!$M$2:$M$3,"*"&amp;"eletrica_predial"&amp;"*",dados_brutos!$E$2:$E$3,"vizinhos",dados_brutos!$AU$2:$AU$3,1))</f>
        <v/>
      </c>
      <c r="F9">
        <f>IF(SUMPRODUCT((ISNUMBER(SEARCH("eletrica_predial",dados_brutos!$M$2:$M$3))*(dados_brutos!$E$2:$E$3="vizinhos")*(dados_brutos!$AU$2:$AU$3=1))*ISNUMBER(dados_brutos!$O$2:$O$3))=0,"",_xlfn.AGGREGATE(12,6,dados_brutos!$O$2:$O$3/((ISNUMBER(SEARCH("eletrica_predial",dados_brutos!$M$2:$M$3))*(dados_brutos!$E$2:$E$3="vizinhos")*(dados_brutos!$AU$2:$AU$3=1))*ISNUMBER(dados_brutos!$O$2:$O$3))))</f>
        <v/>
      </c>
      <c r="G9">
        <f>IF(SUMPRODUCT((ISNUMBER(SEARCH("eletrica_predial",dados_brutos!$M$2:$M$3))*(dados_brutos!$E$2:$E$3="vizinhos")*(dados_brutos!$AU$2:$AU$3=1))*ISNUMBER(dados_brutos!$AG$2:$AG$3))=0,"",_xlfn.AGGREGATE(12,6,dados_brutos!$AG$2:$AG$3/((ISNUMBER(SEARCH("eletrica_predial",dados_brutos!$M$2:$M$3))*(dados_brutos!$E$2:$E$3="vizinhos")*(dados_brutos!$AU$2:$AU$3=1))*ISNUMBER(dados_brutos!$AG$2:$AG$3))))</f>
        <v/>
      </c>
      <c r="H9">
        <f>SUMPRODUCT((ISNUMBER(SEARCH("eletrica_predial",dados_brutos!$M$2:$M$3))*(dados_brutos!$E$2:$E$3="vizinhos")*(dados_brutos!$AU$2:$AU$3=1))*ISNUMBER(dados_brutos!$AG$2:$AG$3))</f>
        <v/>
      </c>
      <c r="I9">
        <f>IF(SUMPRODUCT((ISNUMBER(SEARCH("eletrica_predial",dados_brutos!$M$2:$M$3))*(dados_brutos!$E$2:$E$3="vizinhos")*(dados_brutos!$AU$2:$AU$3=1))*ISNUMBER(dados_brutos!$R$2:$R$3))=0,"",_xlfn.AGGREGATE(12,6,dados_brutos!$R$2:$R$3/((ISNUMBER(SEARCH("eletrica_predial",dados_brutos!$M$2:$M$3))*(dados_brutos!$E$2:$E$3="vizinhos")*(dados_brutos!$AU$2:$AU$3=1))*ISNUMBER(dados_brutos!$R$2:$R$3))))</f>
        <v/>
      </c>
      <c r="J9">
        <f>IF(SUMPRODUCT((ISNUMBER(SEARCH("eletrica_predial",dados_brutos!$M$2:$M$3))*(dados_brutos!$E$2:$E$3="vizinhos")*(dados_brutos!$AU$2:$AU$3=1))*ISNUMBER(dados_brutos!$R$2:$R$3))=0,"",_xlfn.AGGREGATE(17,6,dados_brutos!$R$2:$R$3/((ISNUMBER(SEARCH("eletrica_predial",dados_brutos!$M$2:$M$3))*(dados_brutos!$E$2:$E$3="vizinhos")*(dados_brutos!$AU$2:$AU$3=1))*ISNUMBER(dados_brutos!$R$2:$R$3)),1))</f>
        <v/>
      </c>
      <c r="K9">
        <f>IF(SUMPRODUCT((ISNUMBER(SEARCH("eletrica_predial",dados_brutos!$M$2:$M$3))*(dados_brutos!$E$2:$E$3="vizinhos")*(dados_brutos!$AU$2:$AU$3=1))*ISNUMBER(dados_brutos!$R$2:$R$3))=0,"",_xlfn.AGGREGATE(17,6,dados_brutos!$R$2:$R$3/((ISNUMBER(SEARCH("eletrica_predial",dados_brutos!$M$2:$M$3))*(dados_brutos!$E$2:$E$3="vizinhos")*(dados_brutos!$AU$2:$AU$3=1))*ISNUMBER(dados_brutos!$R$2:$R$3)),3))</f>
        <v/>
      </c>
      <c r="L9">
        <f>SUMPRODUCT((ISNUMBER(SEARCH("eletrica_predial",dados_brutos!$M$2:$M$3))*(dados_brutos!$E$2:$E$3="vizinhos")*(dados_brutos!$AU$2:$AU$3=1))*ISNUMBER(dados_brutos!$R$2:$R$3))</f>
        <v/>
      </c>
      <c r="M9">
        <f>IF(COUNTIFS(dados_brutos!$M$2:$M$3,"*"&amp;"eletrica_predial"&amp;"*",dados_brutos!$E$2:$E$3,"vizinhos",dados_brutos!$AU$2:$AU$3,1)=0,"",COUNTIFS(dados_brutos!$M$2:$M$3,"*"&amp;"eletrica_predial"&amp;"*",dados_brutos!$E$2:$E$3,"vizinhos",dados_brutos!$AU$2:$AU$3,1,dados_brutos!$Z$2:$Z$3,1)/COUNTIFS(dados_brutos!$M$2:$M$3,"*"&amp;"eletrica_predial"&amp;"*",dados_brutos!$E$2:$E$3,"vizinhos",dados_brutos!$AU$2:$AU$3,1))</f>
        <v/>
      </c>
      <c r="N9">
        <f>IF(COUNTIFS(dados_brutos!$M$2:$M$3,"*"&amp;"eletrica_predial"&amp;"*",dados_brutos!$E$2:$E$3,"vizinhos",dados_brutos!$AU$2:$AU$3,1)=0,"",COUNTIFS(dados_brutos!$M$2:$M$3,"*"&amp;"eletrica_predial"&amp;"*",dados_brutos!$E$2:$E$3,"vizinhos",dados_brutos!$AU$2:$AU$3,1,dados_brutos!$AA$2:$AA$3,1)/COUNTIFS(dados_brutos!$M$2:$M$3,"*"&amp;"eletrica_predial"&amp;"*",dados_brutos!$E$2:$E$3,"vizinhos",dados_brutos!$AU$2:$AU$3,1))</f>
        <v/>
      </c>
      <c r="O9">
        <f>IF(COUNTIFS(dados_brutos!$M$2:$M$3,"*"&amp;"eletrica_predial"&amp;"*",dados_brutos!$E$2:$E$3,"vizinhos",dados_brutos!$AU$2:$AU$3,1)=0,"",COUNTIFS(dados_brutos!$M$2:$M$3,"*"&amp;"eletrica_predial"&amp;"*",dados_brutos!$E$2:$E$3,"vizinhos",dados_brutos!$AU$2:$AU$3,1,dados_brutos!$AB$2:$AB$3,1)/COUNTIFS(dados_brutos!$M$2:$M$3,"*"&amp;"eletrica_predial"&amp;"*",dados_brutos!$E$2:$E$3,"vizinhos",dados_brutos!$AU$2:$AU$3,1))</f>
        <v/>
      </c>
      <c r="P9">
        <f>IF(COUNTIFS(dados_brutos!$M$2:$M$3,"*"&amp;"eletrica_predial"&amp;"*",dados_brutos!$E$2:$E$3,"vizinhos",dados_brutos!$AU$2:$AU$3,1)=0,"",COUNTIFS(dados_brutos!$M$2:$M$3,"*"&amp;"eletrica_predial"&amp;"*",dados_brutos!$E$2:$E$3,"vizinhos",dados_brutos!$AU$2:$AU$3,1,dados_brutos!$AC$2:$AC$3,1)/COUNTIFS(dados_brutos!$M$2:$M$3,"*"&amp;"eletrica_predial"&amp;"*",dados_brutos!$E$2:$E$3,"vizinhos",dados_brutos!$AU$2:$AU$3,1))</f>
        <v/>
      </c>
      <c r="Q9">
        <f>IF(COUNTIFS(dados_brutos!$M$2:$M$3,"*"&amp;"eletrica_predial"&amp;"*",dados_brutos!$E$2:$E$3,"vizinhos",dados_brutos!$AU$2:$AU$3,1)=0,"",COUNTIFS(dados_brutos!$M$2:$M$3,"*"&amp;"eletrica_predial"&amp;"*",dados_brutos!$E$2:$E$3,"vizinhos",dados_brutos!$AU$2:$AU$3,1,dados_brutos!$AH$2:$AH$3,"continuado")/COUNTIFS(dados_brutos!$M$2:$M$3,"*"&amp;"eletrica_predial"&amp;"*",dados_brutos!$E$2:$E$3,"vizinhos",dados_brutos!$AU$2:$AU$3,1))</f>
        <v/>
      </c>
    </row>
    <row r="10">
      <c r="A10" t="inlineStr">
        <is>
          <t>munck</t>
        </is>
      </c>
      <c r="B10" t="inlineStr">
        <is>
          <t>GO</t>
        </is>
      </c>
      <c r="D10">
        <f>COUNTIFS(dados_brutos!$M$2:$M$3,"*"&amp;"munck"&amp;"*",dados_brutos!$E$2:$E$3,"GO",dados_brutos!$AU$2:$AU$3,1)</f>
        <v/>
      </c>
      <c r="E10">
        <f>IF(SUMPRODUCT((ISNUMBER(SEARCH("munck",dados_brutos!$M$2:$M$3))*(dados_brutos!$E$2:$E$3="GO")*(dados_brutos!$AU$2:$AU$3=1))*ISNUMBER(dados_brutos!$O$2:$O$3))=0,"",SUMIFS(dados_brutos!$O$2:$O$3,dados_brutos!$M$2:$M$3,"*"&amp;"munck"&amp;"*",dados_brutos!$E$2:$E$3,"GO",dados_brutos!$AU$2:$AU$3,1))</f>
        <v/>
      </c>
      <c r="F10">
        <f>IF(SUMPRODUCT((ISNUMBER(SEARCH("munck",dados_brutos!$M$2:$M$3))*(dados_brutos!$E$2:$E$3="GO")*(dados_brutos!$AU$2:$AU$3=1))*ISNUMBER(dados_brutos!$O$2:$O$3))=0,"",_xlfn.AGGREGATE(12,6,dados_brutos!$O$2:$O$3/((ISNUMBER(SEARCH("munck",dados_brutos!$M$2:$M$3))*(dados_brutos!$E$2:$E$3="GO")*(dados_brutos!$AU$2:$AU$3=1))*ISNUMBER(dados_brutos!$O$2:$O$3))))</f>
        <v/>
      </c>
      <c r="G10">
        <f>IF(SUMPRODUCT((ISNUMBER(SEARCH("munck",dados_brutos!$M$2:$M$3))*(dados_brutos!$E$2:$E$3="GO")*(dados_brutos!$AU$2:$AU$3=1))*ISNUMBER(dados_brutos!$AG$2:$AG$3))=0,"",_xlfn.AGGREGATE(12,6,dados_brutos!$AG$2:$AG$3/((ISNUMBER(SEARCH("munck",dados_brutos!$M$2:$M$3))*(dados_brutos!$E$2:$E$3="GO")*(dados_brutos!$AU$2:$AU$3=1))*ISNUMBER(dados_brutos!$AG$2:$AG$3))))</f>
        <v/>
      </c>
      <c r="H10">
        <f>SUMPRODUCT((ISNUMBER(SEARCH("munck",dados_brutos!$M$2:$M$3))*(dados_brutos!$E$2:$E$3="GO")*(dados_brutos!$AU$2:$AU$3=1))*ISNUMBER(dados_brutos!$AG$2:$AG$3))</f>
        <v/>
      </c>
      <c r="I10">
        <f>IF(SUMPRODUCT((ISNUMBER(SEARCH("munck",dados_brutos!$M$2:$M$3))*(dados_brutos!$E$2:$E$3="GO")*(dados_brutos!$AU$2:$AU$3=1))*ISNUMBER(dados_brutos!$R$2:$R$3))=0,"",_xlfn.AGGREGATE(12,6,dados_brutos!$R$2:$R$3/((ISNUMBER(SEARCH("munck",dados_brutos!$M$2:$M$3))*(dados_brutos!$E$2:$E$3="GO")*(dados_brutos!$AU$2:$AU$3=1))*ISNUMBER(dados_brutos!$R$2:$R$3))))</f>
        <v/>
      </c>
      <c r="J10">
        <f>IF(SUMPRODUCT((ISNUMBER(SEARCH("munck",dados_brutos!$M$2:$M$3))*(dados_brutos!$E$2:$E$3="GO")*(dados_brutos!$AU$2:$AU$3=1))*ISNUMBER(dados_brutos!$R$2:$R$3))=0,"",_xlfn.AGGREGATE(17,6,dados_brutos!$R$2:$R$3/((ISNUMBER(SEARCH("munck",dados_brutos!$M$2:$M$3))*(dados_brutos!$E$2:$E$3="GO")*(dados_brutos!$AU$2:$AU$3=1))*ISNUMBER(dados_brutos!$R$2:$R$3)),1))</f>
        <v/>
      </c>
      <c r="K10">
        <f>IF(SUMPRODUCT((ISNUMBER(SEARCH("munck",dados_brutos!$M$2:$M$3))*(dados_brutos!$E$2:$E$3="GO")*(dados_brutos!$AU$2:$AU$3=1))*ISNUMBER(dados_brutos!$R$2:$R$3))=0,"",_xlfn.AGGREGATE(17,6,dados_brutos!$R$2:$R$3/((ISNUMBER(SEARCH("munck",dados_brutos!$M$2:$M$3))*(dados_brutos!$E$2:$E$3="GO")*(dados_brutos!$AU$2:$AU$3=1))*ISNUMBER(dados_brutos!$R$2:$R$3)),3))</f>
        <v/>
      </c>
      <c r="L10">
        <f>SUMPRODUCT((ISNUMBER(SEARCH("munck",dados_brutos!$M$2:$M$3))*(dados_brutos!$E$2:$E$3="GO")*(dados_brutos!$AU$2:$AU$3=1))*ISNUMBER(dados_brutos!$R$2:$R$3))</f>
        <v/>
      </c>
      <c r="M10">
        <f>IF(COUNTIFS(dados_brutos!$M$2:$M$3,"*"&amp;"munck"&amp;"*",dados_brutos!$E$2:$E$3,"GO",dados_brutos!$AU$2:$AU$3,1)=0,"",COUNTIFS(dados_brutos!$M$2:$M$3,"*"&amp;"munck"&amp;"*",dados_brutos!$E$2:$E$3,"GO",dados_brutos!$AU$2:$AU$3,1,dados_brutos!$Z$2:$Z$3,1)/COUNTIFS(dados_brutos!$M$2:$M$3,"*"&amp;"munck"&amp;"*",dados_brutos!$E$2:$E$3,"GO",dados_brutos!$AU$2:$AU$3,1))</f>
        <v/>
      </c>
      <c r="N10">
        <f>IF(COUNTIFS(dados_brutos!$M$2:$M$3,"*"&amp;"munck"&amp;"*",dados_brutos!$E$2:$E$3,"GO",dados_brutos!$AU$2:$AU$3,1)=0,"",COUNTIFS(dados_brutos!$M$2:$M$3,"*"&amp;"munck"&amp;"*",dados_brutos!$E$2:$E$3,"GO",dados_brutos!$AU$2:$AU$3,1,dados_brutos!$AA$2:$AA$3,1)/COUNTIFS(dados_brutos!$M$2:$M$3,"*"&amp;"munck"&amp;"*",dados_brutos!$E$2:$E$3,"GO",dados_brutos!$AU$2:$AU$3,1))</f>
        <v/>
      </c>
      <c r="O10">
        <f>IF(COUNTIFS(dados_brutos!$M$2:$M$3,"*"&amp;"munck"&amp;"*",dados_brutos!$E$2:$E$3,"GO",dados_brutos!$AU$2:$AU$3,1)=0,"",COUNTIFS(dados_brutos!$M$2:$M$3,"*"&amp;"munck"&amp;"*",dados_brutos!$E$2:$E$3,"GO",dados_brutos!$AU$2:$AU$3,1,dados_brutos!$AB$2:$AB$3,1)/COUNTIFS(dados_brutos!$M$2:$M$3,"*"&amp;"munck"&amp;"*",dados_brutos!$E$2:$E$3,"GO",dados_brutos!$AU$2:$AU$3,1))</f>
        <v/>
      </c>
      <c r="P10">
        <f>IF(COUNTIFS(dados_brutos!$M$2:$M$3,"*"&amp;"munck"&amp;"*",dados_brutos!$E$2:$E$3,"GO",dados_brutos!$AU$2:$AU$3,1)=0,"",COUNTIFS(dados_brutos!$M$2:$M$3,"*"&amp;"munck"&amp;"*",dados_brutos!$E$2:$E$3,"GO",dados_brutos!$AU$2:$AU$3,1,dados_brutos!$AC$2:$AC$3,1)/COUNTIFS(dados_brutos!$M$2:$M$3,"*"&amp;"munck"&amp;"*",dados_brutos!$E$2:$E$3,"GO",dados_brutos!$AU$2:$AU$3,1))</f>
        <v/>
      </c>
      <c r="Q10">
        <f>IF(COUNTIFS(dados_brutos!$M$2:$M$3,"*"&amp;"munck"&amp;"*",dados_brutos!$E$2:$E$3,"GO",dados_brutos!$AU$2:$AU$3,1)=0,"",COUNTIFS(dados_brutos!$M$2:$M$3,"*"&amp;"munck"&amp;"*",dados_brutos!$E$2:$E$3,"GO",dados_brutos!$AU$2:$AU$3,1,dados_brutos!$AH$2:$AH$3,"continuado")/COUNTIFS(dados_brutos!$M$2:$M$3,"*"&amp;"munck"&amp;"*",dados_brutos!$E$2:$E$3,"GO",dados_brutos!$AU$2:$AU$3,1))</f>
        <v/>
      </c>
    </row>
    <row r="11">
      <c r="A11" t="inlineStr">
        <is>
          <t>munck</t>
        </is>
      </c>
      <c r="B11" t="inlineStr">
        <is>
          <t>vizinhos</t>
        </is>
      </c>
      <c r="D11">
        <f>COUNTIFS(dados_brutos!$M$2:$M$3,"*"&amp;"munck"&amp;"*",dados_brutos!$E$2:$E$3,"vizinhos",dados_brutos!$AU$2:$AU$3,1)</f>
        <v/>
      </c>
      <c r="E11">
        <f>IF(SUMPRODUCT((ISNUMBER(SEARCH("munck",dados_brutos!$M$2:$M$3))*(dados_brutos!$E$2:$E$3="vizinhos")*(dados_brutos!$AU$2:$AU$3=1))*ISNUMBER(dados_brutos!$O$2:$O$3))=0,"",SUMIFS(dados_brutos!$O$2:$O$3,dados_brutos!$M$2:$M$3,"*"&amp;"munck"&amp;"*",dados_brutos!$E$2:$E$3,"vizinhos",dados_brutos!$AU$2:$AU$3,1))</f>
        <v/>
      </c>
      <c r="F11">
        <f>IF(SUMPRODUCT((ISNUMBER(SEARCH("munck",dados_brutos!$M$2:$M$3))*(dados_brutos!$E$2:$E$3="vizinhos")*(dados_brutos!$AU$2:$AU$3=1))*ISNUMBER(dados_brutos!$O$2:$O$3))=0,"",_xlfn.AGGREGATE(12,6,dados_brutos!$O$2:$O$3/((ISNUMBER(SEARCH("munck",dados_brutos!$M$2:$M$3))*(dados_brutos!$E$2:$E$3="vizinhos")*(dados_brutos!$AU$2:$AU$3=1))*ISNUMBER(dados_brutos!$O$2:$O$3))))</f>
        <v/>
      </c>
      <c r="G11">
        <f>IF(SUMPRODUCT((ISNUMBER(SEARCH("munck",dados_brutos!$M$2:$M$3))*(dados_brutos!$E$2:$E$3="vizinhos")*(dados_brutos!$AU$2:$AU$3=1))*ISNUMBER(dados_brutos!$AG$2:$AG$3))=0,"",_xlfn.AGGREGATE(12,6,dados_brutos!$AG$2:$AG$3/((ISNUMBER(SEARCH("munck",dados_brutos!$M$2:$M$3))*(dados_brutos!$E$2:$E$3="vizinhos")*(dados_brutos!$AU$2:$AU$3=1))*ISNUMBER(dados_brutos!$AG$2:$AG$3))))</f>
        <v/>
      </c>
      <c r="H11">
        <f>SUMPRODUCT((ISNUMBER(SEARCH("munck",dados_brutos!$M$2:$M$3))*(dados_brutos!$E$2:$E$3="vizinhos")*(dados_brutos!$AU$2:$AU$3=1))*ISNUMBER(dados_brutos!$AG$2:$AG$3))</f>
        <v/>
      </c>
      <c r="I11">
        <f>IF(SUMPRODUCT((ISNUMBER(SEARCH("munck",dados_brutos!$M$2:$M$3))*(dados_brutos!$E$2:$E$3="vizinhos")*(dados_brutos!$AU$2:$AU$3=1))*ISNUMBER(dados_brutos!$R$2:$R$3))=0,"",_xlfn.AGGREGATE(12,6,dados_brutos!$R$2:$R$3/((ISNUMBER(SEARCH("munck",dados_brutos!$M$2:$M$3))*(dados_brutos!$E$2:$E$3="vizinhos")*(dados_brutos!$AU$2:$AU$3=1))*ISNUMBER(dados_brutos!$R$2:$R$3))))</f>
        <v/>
      </c>
      <c r="J11">
        <f>IF(SUMPRODUCT((ISNUMBER(SEARCH("munck",dados_brutos!$M$2:$M$3))*(dados_brutos!$E$2:$E$3="vizinhos")*(dados_brutos!$AU$2:$AU$3=1))*ISNUMBER(dados_brutos!$R$2:$R$3))=0,"",_xlfn.AGGREGATE(17,6,dados_brutos!$R$2:$R$3/((ISNUMBER(SEARCH("munck",dados_brutos!$M$2:$M$3))*(dados_brutos!$E$2:$E$3="vizinhos")*(dados_brutos!$AU$2:$AU$3=1))*ISNUMBER(dados_brutos!$R$2:$R$3)),1))</f>
        <v/>
      </c>
      <c r="K11">
        <f>IF(SUMPRODUCT((ISNUMBER(SEARCH("munck",dados_brutos!$M$2:$M$3))*(dados_brutos!$E$2:$E$3="vizinhos")*(dados_brutos!$AU$2:$AU$3=1))*ISNUMBER(dados_brutos!$R$2:$R$3))=0,"",_xlfn.AGGREGATE(17,6,dados_brutos!$R$2:$R$3/((ISNUMBER(SEARCH("munck",dados_brutos!$M$2:$M$3))*(dados_brutos!$E$2:$E$3="vizinhos")*(dados_brutos!$AU$2:$AU$3=1))*ISNUMBER(dados_brutos!$R$2:$R$3)),3))</f>
        <v/>
      </c>
      <c r="L11">
        <f>SUMPRODUCT((ISNUMBER(SEARCH("munck",dados_brutos!$M$2:$M$3))*(dados_brutos!$E$2:$E$3="vizinhos")*(dados_brutos!$AU$2:$AU$3=1))*ISNUMBER(dados_brutos!$R$2:$R$3))</f>
        <v/>
      </c>
      <c r="M11">
        <f>IF(COUNTIFS(dados_brutos!$M$2:$M$3,"*"&amp;"munck"&amp;"*",dados_brutos!$E$2:$E$3,"vizinhos",dados_brutos!$AU$2:$AU$3,1)=0,"",COUNTIFS(dados_brutos!$M$2:$M$3,"*"&amp;"munck"&amp;"*",dados_brutos!$E$2:$E$3,"vizinhos",dados_brutos!$AU$2:$AU$3,1,dados_brutos!$Z$2:$Z$3,1)/COUNTIFS(dados_brutos!$M$2:$M$3,"*"&amp;"munck"&amp;"*",dados_brutos!$E$2:$E$3,"vizinhos",dados_brutos!$AU$2:$AU$3,1))</f>
        <v/>
      </c>
      <c r="N11">
        <f>IF(COUNTIFS(dados_brutos!$M$2:$M$3,"*"&amp;"munck"&amp;"*",dados_brutos!$E$2:$E$3,"vizinhos",dados_brutos!$AU$2:$AU$3,1)=0,"",COUNTIFS(dados_brutos!$M$2:$M$3,"*"&amp;"munck"&amp;"*",dados_brutos!$E$2:$E$3,"vizinhos",dados_brutos!$AU$2:$AU$3,1,dados_brutos!$AA$2:$AA$3,1)/COUNTIFS(dados_brutos!$M$2:$M$3,"*"&amp;"munck"&amp;"*",dados_brutos!$E$2:$E$3,"vizinhos",dados_brutos!$AU$2:$AU$3,1))</f>
        <v/>
      </c>
      <c r="O11">
        <f>IF(COUNTIFS(dados_brutos!$M$2:$M$3,"*"&amp;"munck"&amp;"*",dados_brutos!$E$2:$E$3,"vizinhos",dados_brutos!$AU$2:$AU$3,1)=0,"",COUNTIFS(dados_brutos!$M$2:$M$3,"*"&amp;"munck"&amp;"*",dados_brutos!$E$2:$E$3,"vizinhos",dados_brutos!$AU$2:$AU$3,1,dados_brutos!$AB$2:$AB$3,1)/COUNTIFS(dados_brutos!$M$2:$M$3,"*"&amp;"munck"&amp;"*",dados_brutos!$E$2:$E$3,"vizinhos",dados_brutos!$AU$2:$AU$3,1))</f>
        <v/>
      </c>
      <c r="P11">
        <f>IF(COUNTIFS(dados_brutos!$M$2:$M$3,"*"&amp;"munck"&amp;"*",dados_brutos!$E$2:$E$3,"vizinhos",dados_brutos!$AU$2:$AU$3,1)=0,"",COUNTIFS(dados_brutos!$M$2:$M$3,"*"&amp;"munck"&amp;"*",dados_brutos!$E$2:$E$3,"vizinhos",dados_brutos!$AU$2:$AU$3,1,dados_brutos!$AC$2:$AC$3,1)/COUNTIFS(dados_brutos!$M$2:$M$3,"*"&amp;"munck"&amp;"*",dados_brutos!$E$2:$E$3,"vizinhos",dados_brutos!$AU$2:$AU$3,1))</f>
        <v/>
      </c>
      <c r="Q11">
        <f>IF(COUNTIFS(dados_brutos!$M$2:$M$3,"*"&amp;"munck"&amp;"*",dados_brutos!$E$2:$E$3,"vizinhos",dados_brutos!$AU$2:$AU$3,1)=0,"",COUNTIFS(dados_brutos!$M$2:$M$3,"*"&amp;"munck"&amp;"*",dados_brutos!$E$2:$E$3,"vizinhos",dados_brutos!$AU$2:$AU$3,1,dados_brutos!$AH$2:$AH$3,"continuado")/COUNTIFS(dados_brutos!$M$2:$M$3,"*"&amp;"munck"&amp;"*",dados_brutos!$E$2:$E$3,"vizinhos",dados_brutos!$AU$2:$AU$3,1))</f>
        <v/>
      </c>
    </row>
    <row r="12">
      <c r="A12" t="inlineStr">
        <is>
          <t>manutencao_predial</t>
        </is>
      </c>
      <c r="B12" t="inlineStr">
        <is>
          <t>GO</t>
        </is>
      </c>
      <c r="D12">
        <f>COUNTIFS(dados_brutos!$M$2:$M$3,"*"&amp;"manutencao_predial"&amp;"*",dados_brutos!$E$2:$E$3,"GO",dados_brutos!$AU$2:$AU$3,1)</f>
        <v/>
      </c>
      <c r="E12">
        <f>IF(SUMPRODUCT((ISNUMBER(SEARCH("manutencao_predial",dados_brutos!$M$2:$M$3))*(dados_brutos!$E$2:$E$3="GO")*(dados_brutos!$AU$2:$AU$3=1))*ISNUMBER(dados_brutos!$O$2:$O$3))=0,"",SUMIFS(dados_brutos!$O$2:$O$3,dados_brutos!$M$2:$M$3,"*"&amp;"manutencao_predial"&amp;"*",dados_brutos!$E$2:$E$3,"GO",dados_brutos!$AU$2:$AU$3,1))</f>
        <v/>
      </c>
      <c r="F12">
        <f>IF(SUMPRODUCT((ISNUMBER(SEARCH("manutencao_predial",dados_brutos!$M$2:$M$3))*(dados_brutos!$E$2:$E$3="GO")*(dados_brutos!$AU$2:$AU$3=1))*ISNUMBER(dados_brutos!$O$2:$O$3))=0,"",_xlfn.AGGREGATE(12,6,dados_brutos!$O$2:$O$3/((ISNUMBER(SEARCH("manutencao_predial",dados_brutos!$M$2:$M$3))*(dados_brutos!$E$2:$E$3="GO")*(dados_brutos!$AU$2:$AU$3=1))*ISNUMBER(dados_brutos!$O$2:$O$3))))</f>
        <v/>
      </c>
      <c r="G12">
        <f>IF(SUMPRODUCT((ISNUMBER(SEARCH("manutencao_predial",dados_brutos!$M$2:$M$3))*(dados_brutos!$E$2:$E$3="GO")*(dados_brutos!$AU$2:$AU$3=1))*ISNUMBER(dados_brutos!$AG$2:$AG$3))=0,"",_xlfn.AGGREGATE(12,6,dados_brutos!$AG$2:$AG$3/((ISNUMBER(SEARCH("manutencao_predial",dados_brutos!$M$2:$M$3))*(dados_brutos!$E$2:$E$3="GO")*(dados_brutos!$AU$2:$AU$3=1))*ISNUMBER(dados_brutos!$AG$2:$AG$3))))</f>
        <v/>
      </c>
      <c r="H12">
        <f>SUMPRODUCT((ISNUMBER(SEARCH("manutencao_predial",dados_brutos!$M$2:$M$3))*(dados_brutos!$E$2:$E$3="GO")*(dados_brutos!$AU$2:$AU$3=1))*ISNUMBER(dados_brutos!$AG$2:$AG$3))</f>
        <v/>
      </c>
      <c r="I12">
        <f>IF(SUMPRODUCT((ISNUMBER(SEARCH("manutencao_predial",dados_brutos!$M$2:$M$3))*(dados_brutos!$E$2:$E$3="GO")*(dados_brutos!$AU$2:$AU$3=1))*ISNUMBER(dados_brutos!$R$2:$R$3))=0,"",_xlfn.AGGREGATE(12,6,dados_brutos!$R$2:$R$3/((ISNUMBER(SEARCH("manutencao_predial",dados_brutos!$M$2:$M$3))*(dados_brutos!$E$2:$E$3="GO")*(dados_brutos!$AU$2:$AU$3=1))*ISNUMBER(dados_brutos!$R$2:$R$3))))</f>
        <v/>
      </c>
      <c r="J12">
        <f>IF(SUMPRODUCT((ISNUMBER(SEARCH("manutencao_predial",dados_brutos!$M$2:$M$3))*(dados_brutos!$E$2:$E$3="GO")*(dados_brutos!$AU$2:$AU$3=1))*ISNUMBER(dados_brutos!$R$2:$R$3))=0,"",_xlfn.AGGREGATE(17,6,dados_brutos!$R$2:$R$3/((ISNUMBER(SEARCH("manutencao_predial",dados_brutos!$M$2:$M$3))*(dados_brutos!$E$2:$E$3="GO")*(dados_brutos!$AU$2:$AU$3=1))*ISNUMBER(dados_brutos!$R$2:$R$3)),1))</f>
        <v/>
      </c>
      <c r="K12">
        <f>IF(SUMPRODUCT((ISNUMBER(SEARCH("manutencao_predial",dados_brutos!$M$2:$M$3))*(dados_brutos!$E$2:$E$3="GO")*(dados_brutos!$AU$2:$AU$3=1))*ISNUMBER(dados_brutos!$R$2:$R$3))=0,"",_xlfn.AGGREGATE(17,6,dados_brutos!$R$2:$R$3/((ISNUMBER(SEARCH("manutencao_predial",dados_brutos!$M$2:$M$3))*(dados_brutos!$E$2:$E$3="GO")*(dados_brutos!$AU$2:$AU$3=1))*ISNUMBER(dados_brutos!$R$2:$R$3)),3))</f>
        <v/>
      </c>
      <c r="L12">
        <f>SUMPRODUCT((ISNUMBER(SEARCH("manutencao_predial",dados_brutos!$M$2:$M$3))*(dados_brutos!$E$2:$E$3="GO")*(dados_brutos!$AU$2:$AU$3=1))*ISNUMBER(dados_brutos!$R$2:$R$3))</f>
        <v/>
      </c>
      <c r="M12">
        <f>IF(COUNTIFS(dados_brutos!$M$2:$M$3,"*"&amp;"manutencao_predial"&amp;"*",dados_brutos!$E$2:$E$3,"GO",dados_brutos!$AU$2:$AU$3,1)=0,"",COUNTIFS(dados_brutos!$M$2:$M$3,"*"&amp;"manutencao_predial"&amp;"*",dados_brutos!$E$2:$E$3,"GO",dados_brutos!$AU$2:$AU$3,1,dados_brutos!$Z$2:$Z$3,1)/COUNTIFS(dados_brutos!$M$2:$M$3,"*"&amp;"manutencao_predial"&amp;"*",dados_brutos!$E$2:$E$3,"GO",dados_brutos!$AU$2:$AU$3,1))</f>
        <v/>
      </c>
      <c r="N12">
        <f>IF(COUNTIFS(dados_brutos!$M$2:$M$3,"*"&amp;"manutencao_predial"&amp;"*",dados_brutos!$E$2:$E$3,"GO",dados_brutos!$AU$2:$AU$3,1)=0,"",COUNTIFS(dados_brutos!$M$2:$M$3,"*"&amp;"manutencao_predial"&amp;"*",dados_brutos!$E$2:$E$3,"GO",dados_brutos!$AU$2:$AU$3,1,dados_brutos!$AA$2:$AA$3,1)/COUNTIFS(dados_brutos!$M$2:$M$3,"*"&amp;"manutencao_predial"&amp;"*",dados_brutos!$E$2:$E$3,"GO",dados_brutos!$AU$2:$AU$3,1))</f>
        <v/>
      </c>
      <c r="O12">
        <f>IF(COUNTIFS(dados_brutos!$M$2:$M$3,"*"&amp;"manutencao_predial"&amp;"*",dados_brutos!$E$2:$E$3,"GO",dados_brutos!$AU$2:$AU$3,1)=0,"",COUNTIFS(dados_brutos!$M$2:$M$3,"*"&amp;"manutencao_predial"&amp;"*",dados_brutos!$E$2:$E$3,"GO",dados_brutos!$AU$2:$AU$3,1,dados_brutos!$AB$2:$AB$3,1)/COUNTIFS(dados_brutos!$M$2:$M$3,"*"&amp;"manutencao_predial"&amp;"*",dados_brutos!$E$2:$E$3,"GO",dados_brutos!$AU$2:$AU$3,1))</f>
        <v/>
      </c>
      <c r="P12">
        <f>IF(COUNTIFS(dados_brutos!$M$2:$M$3,"*"&amp;"manutencao_predial"&amp;"*",dados_brutos!$E$2:$E$3,"GO",dados_brutos!$AU$2:$AU$3,1)=0,"",COUNTIFS(dados_brutos!$M$2:$M$3,"*"&amp;"manutencao_predial"&amp;"*",dados_brutos!$E$2:$E$3,"GO",dados_brutos!$AU$2:$AU$3,1,dados_brutos!$AC$2:$AC$3,1)/COUNTIFS(dados_brutos!$M$2:$M$3,"*"&amp;"manutencao_predial"&amp;"*",dados_brutos!$E$2:$E$3,"GO",dados_brutos!$AU$2:$AU$3,1))</f>
        <v/>
      </c>
      <c r="Q12">
        <f>IF(COUNTIFS(dados_brutos!$M$2:$M$3,"*"&amp;"manutencao_predial"&amp;"*",dados_brutos!$E$2:$E$3,"GO",dados_brutos!$AU$2:$AU$3,1)=0,"",COUNTIFS(dados_brutos!$M$2:$M$3,"*"&amp;"manutencao_predial"&amp;"*",dados_brutos!$E$2:$E$3,"GO",dados_brutos!$AU$2:$AU$3,1,dados_brutos!$AH$2:$AH$3,"continuado")/COUNTIFS(dados_brutos!$M$2:$M$3,"*"&amp;"manutencao_predial"&amp;"*",dados_brutos!$E$2:$E$3,"GO",dados_brutos!$AU$2:$AU$3,1))</f>
        <v/>
      </c>
    </row>
    <row r="13">
      <c r="A13" t="inlineStr">
        <is>
          <t>manutencao_predial</t>
        </is>
      </c>
      <c r="B13" t="inlineStr">
        <is>
          <t>vizinhos</t>
        </is>
      </c>
      <c r="D13">
        <f>COUNTIFS(dados_brutos!$M$2:$M$3,"*"&amp;"manutencao_predial"&amp;"*",dados_brutos!$E$2:$E$3,"vizinhos",dados_brutos!$AU$2:$AU$3,1)</f>
        <v/>
      </c>
      <c r="E13">
        <f>IF(SUMPRODUCT((ISNUMBER(SEARCH("manutencao_predial",dados_brutos!$M$2:$M$3))*(dados_brutos!$E$2:$E$3="vizinhos")*(dados_brutos!$AU$2:$AU$3=1))*ISNUMBER(dados_brutos!$O$2:$O$3))=0,"",SUMIFS(dados_brutos!$O$2:$O$3,dados_brutos!$M$2:$M$3,"*"&amp;"manutencao_predial"&amp;"*",dados_brutos!$E$2:$E$3,"vizinhos",dados_brutos!$AU$2:$AU$3,1))</f>
        <v/>
      </c>
      <c r="F13">
        <f>IF(SUMPRODUCT((ISNUMBER(SEARCH("manutencao_predial",dados_brutos!$M$2:$M$3))*(dados_brutos!$E$2:$E$3="vizinhos")*(dados_brutos!$AU$2:$AU$3=1))*ISNUMBER(dados_brutos!$O$2:$O$3))=0,"",_xlfn.AGGREGATE(12,6,dados_brutos!$O$2:$O$3/((ISNUMBER(SEARCH("manutencao_predial",dados_brutos!$M$2:$M$3))*(dados_brutos!$E$2:$E$3="vizinhos")*(dados_brutos!$AU$2:$AU$3=1))*ISNUMBER(dados_brutos!$O$2:$O$3))))</f>
        <v/>
      </c>
      <c r="G13">
        <f>IF(SUMPRODUCT((ISNUMBER(SEARCH("manutencao_predial",dados_brutos!$M$2:$M$3))*(dados_brutos!$E$2:$E$3="vizinhos")*(dados_brutos!$AU$2:$AU$3=1))*ISNUMBER(dados_brutos!$AG$2:$AG$3))=0,"",_xlfn.AGGREGATE(12,6,dados_brutos!$AG$2:$AG$3/((ISNUMBER(SEARCH("manutencao_predial",dados_brutos!$M$2:$M$3))*(dados_brutos!$E$2:$E$3="vizinhos")*(dados_brutos!$AU$2:$AU$3=1))*ISNUMBER(dados_brutos!$AG$2:$AG$3))))</f>
        <v/>
      </c>
      <c r="H13">
        <f>SUMPRODUCT((ISNUMBER(SEARCH("manutencao_predial",dados_brutos!$M$2:$M$3))*(dados_brutos!$E$2:$E$3="vizinhos")*(dados_brutos!$AU$2:$AU$3=1))*ISNUMBER(dados_brutos!$AG$2:$AG$3))</f>
        <v/>
      </c>
      <c r="I13">
        <f>IF(SUMPRODUCT((ISNUMBER(SEARCH("manutencao_predial",dados_brutos!$M$2:$M$3))*(dados_brutos!$E$2:$E$3="vizinhos")*(dados_brutos!$AU$2:$AU$3=1))*ISNUMBER(dados_brutos!$R$2:$R$3))=0,"",_xlfn.AGGREGATE(12,6,dados_brutos!$R$2:$R$3/((ISNUMBER(SEARCH("manutencao_predial",dados_brutos!$M$2:$M$3))*(dados_brutos!$E$2:$E$3="vizinhos")*(dados_brutos!$AU$2:$AU$3=1))*ISNUMBER(dados_brutos!$R$2:$R$3))))</f>
        <v/>
      </c>
      <c r="J13">
        <f>IF(SUMPRODUCT((ISNUMBER(SEARCH("manutencao_predial",dados_brutos!$M$2:$M$3))*(dados_brutos!$E$2:$E$3="vizinhos")*(dados_brutos!$AU$2:$AU$3=1))*ISNUMBER(dados_brutos!$R$2:$R$3))=0,"",_xlfn.AGGREGATE(17,6,dados_brutos!$R$2:$R$3/((ISNUMBER(SEARCH("manutencao_predial",dados_brutos!$M$2:$M$3))*(dados_brutos!$E$2:$E$3="vizinhos")*(dados_brutos!$AU$2:$AU$3=1))*ISNUMBER(dados_brutos!$R$2:$R$3)),1))</f>
        <v/>
      </c>
      <c r="K13">
        <f>IF(SUMPRODUCT((ISNUMBER(SEARCH("manutencao_predial",dados_brutos!$M$2:$M$3))*(dados_brutos!$E$2:$E$3="vizinhos")*(dados_brutos!$AU$2:$AU$3=1))*ISNUMBER(dados_brutos!$R$2:$R$3))=0,"",_xlfn.AGGREGATE(17,6,dados_brutos!$R$2:$R$3/((ISNUMBER(SEARCH("manutencao_predial",dados_brutos!$M$2:$M$3))*(dados_brutos!$E$2:$E$3="vizinhos")*(dados_brutos!$AU$2:$AU$3=1))*ISNUMBER(dados_brutos!$R$2:$R$3)),3))</f>
        <v/>
      </c>
      <c r="L13">
        <f>SUMPRODUCT((ISNUMBER(SEARCH("manutencao_predial",dados_brutos!$M$2:$M$3))*(dados_brutos!$E$2:$E$3="vizinhos")*(dados_brutos!$AU$2:$AU$3=1))*ISNUMBER(dados_brutos!$R$2:$R$3))</f>
        <v/>
      </c>
      <c r="M13">
        <f>IF(COUNTIFS(dados_brutos!$M$2:$M$3,"*"&amp;"manutencao_predial"&amp;"*",dados_brutos!$E$2:$E$3,"vizinhos",dados_brutos!$AU$2:$AU$3,1)=0,"",COUNTIFS(dados_brutos!$M$2:$M$3,"*"&amp;"manutencao_predial"&amp;"*",dados_brutos!$E$2:$E$3,"vizinhos",dados_brutos!$AU$2:$AU$3,1,dados_brutos!$Z$2:$Z$3,1)/COUNTIFS(dados_brutos!$M$2:$M$3,"*"&amp;"manutencao_predial"&amp;"*",dados_brutos!$E$2:$E$3,"vizinhos",dados_brutos!$AU$2:$AU$3,1))</f>
        <v/>
      </c>
      <c r="N13">
        <f>IF(COUNTIFS(dados_brutos!$M$2:$M$3,"*"&amp;"manutencao_predial"&amp;"*",dados_brutos!$E$2:$E$3,"vizinhos",dados_brutos!$AU$2:$AU$3,1)=0,"",COUNTIFS(dados_brutos!$M$2:$M$3,"*"&amp;"manutencao_predial"&amp;"*",dados_brutos!$E$2:$E$3,"vizinhos",dados_brutos!$AU$2:$AU$3,1,dados_brutos!$AA$2:$AA$3,1)/COUNTIFS(dados_brutos!$M$2:$M$3,"*"&amp;"manutencao_predial"&amp;"*",dados_brutos!$E$2:$E$3,"vizinhos",dados_brutos!$AU$2:$AU$3,1))</f>
        <v/>
      </c>
      <c r="O13">
        <f>IF(COUNTIFS(dados_brutos!$M$2:$M$3,"*"&amp;"manutencao_predial"&amp;"*",dados_brutos!$E$2:$E$3,"vizinhos",dados_brutos!$AU$2:$AU$3,1)=0,"",COUNTIFS(dados_brutos!$M$2:$M$3,"*"&amp;"manutencao_predial"&amp;"*",dados_brutos!$E$2:$E$3,"vizinhos",dados_brutos!$AU$2:$AU$3,1,dados_brutos!$AB$2:$AB$3,1)/COUNTIFS(dados_brutos!$M$2:$M$3,"*"&amp;"manutencao_predial"&amp;"*",dados_brutos!$E$2:$E$3,"vizinhos",dados_brutos!$AU$2:$AU$3,1))</f>
        <v/>
      </c>
      <c r="P13">
        <f>IF(COUNTIFS(dados_brutos!$M$2:$M$3,"*"&amp;"manutencao_predial"&amp;"*",dados_brutos!$E$2:$E$3,"vizinhos",dados_brutos!$AU$2:$AU$3,1)=0,"",COUNTIFS(dados_brutos!$M$2:$M$3,"*"&amp;"manutencao_predial"&amp;"*",dados_brutos!$E$2:$E$3,"vizinhos",dados_brutos!$AU$2:$AU$3,1,dados_brutos!$AC$2:$AC$3,1)/COUNTIFS(dados_brutos!$M$2:$M$3,"*"&amp;"manutencao_predial"&amp;"*",dados_brutos!$E$2:$E$3,"vizinhos",dados_brutos!$AU$2:$AU$3,1))</f>
        <v/>
      </c>
      <c r="Q13">
        <f>IF(COUNTIFS(dados_brutos!$M$2:$M$3,"*"&amp;"manutencao_predial"&amp;"*",dados_brutos!$E$2:$E$3,"vizinhos",dados_brutos!$AU$2:$AU$3,1)=0,"",COUNTIFS(dados_brutos!$M$2:$M$3,"*"&amp;"manutencao_predial"&amp;"*",dados_brutos!$E$2:$E$3,"vizinhos",dados_brutos!$AU$2:$AU$3,1,dados_brutos!$AH$2:$AH$3,"continuado")/COUNTIFS(dados_brutos!$M$2:$M$3,"*"&amp;"manutencao_predial"&amp;"*",dados_brutos!$E$2:$E$3,"vizinhos",dados_brutos!$AU$2:$AU$3,1)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area</t>
        </is>
      </c>
      <c r="B1" s="1" t="inlineStr">
        <is>
          <t>equipamento_alto</t>
        </is>
      </c>
      <c r="C1" s="1" t="inlineStr">
        <is>
          <t>obra_grande</t>
        </is>
      </c>
      <c r="D1" s="1" t="inlineStr">
        <is>
          <t>fornecimento_puro</t>
        </is>
      </c>
      <c r="E1" s="1" t="inlineStr">
        <is>
          <t>mencao_passagem</t>
        </is>
      </c>
      <c r="F1" s="1" t="inlineStr">
        <is>
          <t>total_excluidos</t>
        </is>
      </c>
      <c r="G1" s="1" t="inlineStr">
        <is>
          <t>revisao_manual</t>
        </is>
      </c>
      <c r="H1" s="1" t="inlineStr">
        <is>
          <t>n_casos_area</t>
        </is>
      </c>
    </row>
    <row r="2">
      <c r="A2" t="inlineStr">
        <is>
          <t>climatizacao</t>
        </is>
      </c>
      <c r="B2">
        <f>COUNTIFS(dados_brutos!$M$2:$M$3,"*"&amp;"climatizacao"&amp;"*",dados_brutos!$AR$2:$AR$3,"equipamento_alto")</f>
        <v/>
      </c>
      <c r="C2">
        <f>COUNTIFS(dados_brutos!$M$2:$M$3,"*"&amp;"climatizacao"&amp;"*",dados_brutos!$AR$2:$AR$3,"obra_grande")</f>
        <v/>
      </c>
      <c r="D2">
        <f>COUNTIFS(dados_brutos!$M$2:$M$3,"*"&amp;"climatizacao"&amp;"*",dados_brutos!$AR$2:$AR$3,"fornecimento_puro")</f>
        <v/>
      </c>
      <c r="E2">
        <f>COUNTIFS(dados_brutos!$M$2:$M$3,"*"&amp;"climatizacao"&amp;"*",dados_brutos!$AR$2:$AR$3,"mencao_passagem")</f>
        <v/>
      </c>
      <c r="F2">
        <f>COUNTIFS(dados_brutos!$M$2:$M$3,"*"&amp;"climatizacao"&amp;"*",dados_brutos!$AR$2:$AR$3,"&lt;&gt;")</f>
        <v/>
      </c>
      <c r="G2">
        <f>COUNTIFS(dados_brutos!$M$2:$M$3,"*"&amp;"climatizacao"&amp;"*",dados_brutos!$AT$2:$AT$3,1)</f>
        <v/>
      </c>
      <c r="H2">
        <f>COUNTIFS(dados_brutos!$M$2:$M$3,"*"&amp;"climatizacao"&amp;"*")</f>
        <v/>
      </c>
    </row>
    <row r="3">
      <c r="A3" t="inlineStr">
        <is>
          <t>refrigeracao</t>
        </is>
      </c>
      <c r="B3">
        <f>COUNTIFS(dados_brutos!$M$2:$M$3,"*"&amp;"refrigeracao"&amp;"*",dados_brutos!$AR$2:$AR$3,"equipamento_alto")</f>
        <v/>
      </c>
      <c r="C3">
        <f>COUNTIFS(dados_brutos!$M$2:$M$3,"*"&amp;"refrigeracao"&amp;"*",dados_brutos!$AR$2:$AR$3,"obra_grande")</f>
        <v/>
      </c>
      <c r="D3">
        <f>COUNTIFS(dados_brutos!$M$2:$M$3,"*"&amp;"refrigeracao"&amp;"*",dados_brutos!$AR$2:$AR$3,"fornecimento_puro")</f>
        <v/>
      </c>
      <c r="E3">
        <f>COUNTIFS(dados_brutos!$M$2:$M$3,"*"&amp;"refrigeracao"&amp;"*",dados_brutos!$AR$2:$AR$3,"mencao_passagem")</f>
        <v/>
      </c>
      <c r="F3">
        <f>COUNTIFS(dados_brutos!$M$2:$M$3,"*"&amp;"refrigeracao"&amp;"*",dados_brutos!$AR$2:$AR$3,"&lt;&gt;")</f>
        <v/>
      </c>
      <c r="G3">
        <f>COUNTIFS(dados_brutos!$M$2:$M$3,"*"&amp;"refrigeracao"&amp;"*",dados_brutos!$AT$2:$AT$3,1)</f>
        <v/>
      </c>
      <c r="H3">
        <f>COUNTIFS(dados_brutos!$M$2:$M$3,"*"&amp;"refrigeracao"&amp;"*")</f>
        <v/>
      </c>
    </row>
    <row r="4">
      <c r="A4" t="inlineStr">
        <is>
          <t>iluminacao_publica</t>
        </is>
      </c>
      <c r="B4">
        <f>COUNTIFS(dados_brutos!$M$2:$M$3,"*"&amp;"iluminacao_publica"&amp;"*",dados_brutos!$AR$2:$AR$3,"equipamento_alto")</f>
        <v/>
      </c>
      <c r="C4">
        <f>COUNTIFS(dados_brutos!$M$2:$M$3,"*"&amp;"iluminacao_publica"&amp;"*",dados_brutos!$AR$2:$AR$3,"obra_grande")</f>
        <v/>
      </c>
      <c r="D4">
        <f>COUNTIFS(dados_brutos!$M$2:$M$3,"*"&amp;"iluminacao_publica"&amp;"*",dados_brutos!$AR$2:$AR$3,"fornecimento_puro")</f>
        <v/>
      </c>
      <c r="E4">
        <f>COUNTIFS(dados_brutos!$M$2:$M$3,"*"&amp;"iluminacao_publica"&amp;"*",dados_brutos!$AR$2:$AR$3,"mencao_passagem")</f>
        <v/>
      </c>
      <c r="F4">
        <f>COUNTIFS(dados_brutos!$M$2:$M$3,"*"&amp;"iluminacao_publica"&amp;"*",dados_brutos!$AR$2:$AR$3,"&lt;&gt;")</f>
        <v/>
      </c>
      <c r="G4">
        <f>COUNTIFS(dados_brutos!$M$2:$M$3,"*"&amp;"iluminacao_publica"&amp;"*",dados_brutos!$AT$2:$AT$3,1)</f>
        <v/>
      </c>
      <c r="H4">
        <f>COUNTIFS(dados_brutos!$M$2:$M$3,"*"&amp;"iluminacao_publica"&amp;"*")</f>
        <v/>
      </c>
    </row>
    <row r="5">
      <c r="A5" t="inlineStr">
        <is>
          <t>eletrica_predial</t>
        </is>
      </c>
      <c r="B5">
        <f>COUNTIFS(dados_brutos!$M$2:$M$3,"*"&amp;"eletrica_predial"&amp;"*",dados_brutos!$AR$2:$AR$3,"equipamento_alto")</f>
        <v/>
      </c>
      <c r="C5">
        <f>COUNTIFS(dados_brutos!$M$2:$M$3,"*"&amp;"eletrica_predial"&amp;"*",dados_brutos!$AR$2:$AR$3,"obra_grande")</f>
        <v/>
      </c>
      <c r="D5">
        <f>COUNTIFS(dados_brutos!$M$2:$M$3,"*"&amp;"eletrica_predial"&amp;"*",dados_brutos!$AR$2:$AR$3,"fornecimento_puro")</f>
        <v/>
      </c>
      <c r="E5">
        <f>COUNTIFS(dados_brutos!$M$2:$M$3,"*"&amp;"eletrica_predial"&amp;"*",dados_brutos!$AR$2:$AR$3,"mencao_passagem")</f>
        <v/>
      </c>
      <c r="F5">
        <f>COUNTIFS(dados_brutos!$M$2:$M$3,"*"&amp;"eletrica_predial"&amp;"*",dados_brutos!$AR$2:$AR$3,"&lt;&gt;")</f>
        <v/>
      </c>
      <c r="G5">
        <f>COUNTIFS(dados_brutos!$M$2:$M$3,"*"&amp;"eletrica_predial"&amp;"*",dados_brutos!$AT$2:$AT$3,1)</f>
        <v/>
      </c>
      <c r="H5">
        <f>COUNTIFS(dados_brutos!$M$2:$M$3,"*"&amp;"eletrica_predial"&amp;"*")</f>
        <v/>
      </c>
    </row>
    <row r="6">
      <c r="A6" t="inlineStr">
        <is>
          <t>munck</t>
        </is>
      </c>
      <c r="B6">
        <f>COUNTIFS(dados_brutos!$M$2:$M$3,"*"&amp;"munck"&amp;"*",dados_brutos!$AR$2:$AR$3,"equipamento_alto")</f>
        <v/>
      </c>
      <c r="C6">
        <f>COUNTIFS(dados_brutos!$M$2:$M$3,"*"&amp;"munck"&amp;"*",dados_brutos!$AR$2:$AR$3,"obra_grande")</f>
        <v/>
      </c>
      <c r="D6">
        <f>COUNTIFS(dados_brutos!$M$2:$M$3,"*"&amp;"munck"&amp;"*",dados_brutos!$AR$2:$AR$3,"fornecimento_puro")</f>
        <v/>
      </c>
      <c r="E6">
        <f>COUNTIFS(dados_brutos!$M$2:$M$3,"*"&amp;"munck"&amp;"*",dados_brutos!$AR$2:$AR$3,"mencao_passagem")</f>
        <v/>
      </c>
      <c r="F6">
        <f>COUNTIFS(dados_brutos!$M$2:$M$3,"*"&amp;"munck"&amp;"*",dados_brutos!$AR$2:$AR$3,"&lt;&gt;")</f>
        <v/>
      </c>
      <c r="G6">
        <f>COUNTIFS(dados_brutos!$M$2:$M$3,"*"&amp;"munck"&amp;"*",dados_brutos!$AT$2:$AT$3,1)</f>
        <v/>
      </c>
      <c r="H6">
        <f>COUNTIFS(dados_brutos!$M$2:$M$3,"*"&amp;"munck"&amp;"*")</f>
        <v/>
      </c>
    </row>
    <row r="7">
      <c r="A7" t="inlineStr">
        <is>
          <t>manutencao_predial</t>
        </is>
      </c>
      <c r="B7">
        <f>COUNTIFS(dados_brutos!$M$2:$M$3,"*"&amp;"manutencao_predial"&amp;"*",dados_brutos!$AR$2:$AR$3,"equipamento_alto")</f>
        <v/>
      </c>
      <c r="C7">
        <f>COUNTIFS(dados_brutos!$M$2:$M$3,"*"&amp;"manutencao_predial"&amp;"*",dados_brutos!$AR$2:$AR$3,"obra_grande")</f>
        <v/>
      </c>
      <c r="D7">
        <f>COUNTIFS(dados_brutos!$M$2:$M$3,"*"&amp;"manutencao_predial"&amp;"*",dados_brutos!$AR$2:$AR$3,"fornecimento_puro")</f>
        <v/>
      </c>
      <c r="E7">
        <f>COUNTIFS(dados_brutos!$M$2:$M$3,"*"&amp;"manutencao_predial"&amp;"*",dados_brutos!$AR$2:$AR$3,"mencao_passagem")</f>
        <v/>
      </c>
      <c r="F7">
        <f>COUNTIFS(dados_brutos!$M$2:$M$3,"*"&amp;"manutencao_predial"&amp;"*",dados_brutos!$AR$2:$AR$3,"&lt;&gt;")</f>
        <v/>
      </c>
      <c r="G7">
        <f>COUNTIFS(dados_brutos!$M$2:$M$3,"*"&amp;"manutencao_predial"&amp;"*",dados_brutos!$AT$2:$AT$3,1)</f>
        <v/>
      </c>
      <c r="H7">
        <f>COUNTIFS(dados_brutos!$M$2:$M$3,"*"&amp;"manutencao_predial"&amp;"*")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5" max="5"/>
    <col width="40" customWidth="1" min="7" max="7"/>
    <col width="40" customWidth="1" min="8" max="8"/>
  </cols>
  <sheetData>
    <row r="1">
      <c r="A1" s="1" t="inlineStr">
        <is>
          <t>categoria</t>
        </is>
      </c>
      <c r="B1" s="1" t="inlineStr">
        <is>
          <t>item</t>
        </is>
      </c>
      <c r="C1" s="1" t="inlineStr">
        <is>
          <t>valor</t>
        </is>
      </c>
      <c r="D1" s="1" t="inlineStr">
        <is>
          <t>unidade</t>
        </is>
      </c>
      <c r="E1" s="1" t="inlineStr">
        <is>
          <t>fonte_url</t>
        </is>
      </c>
      <c r="F1" s="1" t="inlineStr">
        <is>
          <t>data_acesso</t>
        </is>
      </c>
      <c r="G1" s="1" t="inlineStr">
        <is>
          <t>trecho_ou_pagina</t>
        </is>
      </c>
      <c r="H1" s="1" t="inlineStr">
        <is>
          <t>observacao</t>
        </is>
      </c>
      <c r="I1" s="1" t="inlineStr">
        <is>
          <t>confiabilidade</t>
        </is>
      </c>
    </row>
    <row r="2">
      <c r="A2" t="inlineStr">
        <is>
          <t>Mão de obra - referência geral</t>
        </is>
      </c>
      <c r="B2" t="inlineStr">
        <is>
          <t>Salário mínimo nacional 2026</t>
        </is>
      </c>
      <c r="C2" t="n">
        <v>1621</v>
      </c>
      <c r="D2" t="inlineStr">
        <is>
          <t>R$/mês</t>
        </is>
      </c>
      <c r="E2" s="2" t="inlineStr">
        <is>
          <t>https://www.planalto.gov.br/ccivil_03/_ato2023-2026/2025/decreto/d12797.htm</t>
        </is>
      </c>
      <c r="F2" t="inlineStr">
        <is>
          <t>2026-09-27</t>
        </is>
      </c>
      <c r="G2" t="inlineStr">
        <is>
          <t>Texto oficial lido diretamente: 'Art. 1º A partir de 1º de janeiro de 2026, o valor do salário mínimo será de R$ 1.621,00 (mil seiscentos e vinte e um reais). Parágrafo único. ... o valor diário do salário mínimo corresponderá a R$ 54,04...'</t>
        </is>
      </c>
      <c r="H2" t="inlineStr">
        <is>
          <t>Confirmado por leitura direta do Decreto nº 12.797/2025 no site oficial da Presidência da República (reajuste de 6,79% sobre R$1.518,00 vigente em 2025). Base para todos os cálculos de piso/insalubridade/periculosidade abaixo.</t>
        </is>
      </c>
      <c r="I2" t="inlineStr">
        <is>
          <t>alta</t>
        </is>
      </c>
    </row>
    <row r="3">
      <c r="A3" t="inlineStr">
        <is>
          <t>Mão de obra - Construção civil (SINDUSCON-GO/SINTRACOM)</t>
        </is>
      </c>
      <c r="B3" t="inlineStr">
        <is>
          <t>Ajudante/Servente - piso mensal</t>
        </is>
      </c>
      <c r="C3" t="n">
        <v>1548.8</v>
      </c>
      <c r="D3" t="inlineStr">
        <is>
          <t>R$/mês</t>
        </is>
      </c>
      <c r="E3" s="2" t="inlineStr">
        <is>
          <t>https://www.sintracomgoiania.com.br/images/convencoes_arquivos/construcao-civil/CCT_2025_2027_Divulgacao_Conjunta_Sinduscon_e_Sintracom_Goias_assinado.pdf</t>
        </is>
      </c>
      <c r="F3" t="inlineStr">
        <is>
          <t>2026-09-27</t>
        </is>
      </c>
      <c r="G3" t="inlineStr">
        <is>
          <t>pág. 2, Cláusula Quarta - Dos Pisos Salariais, quadro de funções, vigência a partir de 01/05/2025</t>
        </is>
      </c>
      <c r="H3" t="inlineStr">
        <is>
          <t>CCT 2025/2027 (Termo Aditivo Salarial), vigência 01/05/2025 a 30/04/2027. Reajuste de 7,32% sobre o praticado em 30/04/2025. Jornada 44h/semana (padrão CLT/CCT construção civil).</t>
        </is>
      </c>
      <c r="I3" t="inlineStr">
        <is>
          <t>alta</t>
        </is>
      </c>
    </row>
    <row r="4">
      <c r="A4" t="inlineStr">
        <is>
          <t>Mão de obra - Construção civil (SINDUSCON-GO/SINTRACOM)</t>
        </is>
      </c>
      <c r="B4" t="inlineStr">
        <is>
          <t>Ajudante/Servente - valor hora</t>
        </is>
      </c>
      <c r="C4" t="n">
        <v>7.04</v>
      </c>
      <c r="D4" t="inlineStr">
        <is>
          <t>R$/hora</t>
        </is>
      </c>
      <c r="E4" s="2" t="inlineStr">
        <is>
          <t>https://www.sintracomgoiania.com.br/images/convencoes_arquivos/construcao-civil/CCT_2025_2027_Divulgacao_Conjunta_Sinduscon_e_Sintracom_Goias_assinado.pdf</t>
        </is>
      </c>
      <c r="F4" t="inlineStr">
        <is>
          <t>2026-09-27</t>
        </is>
      </c>
      <c r="G4" t="inlineStr">
        <is>
          <t>pág. 2, mesma tabela</t>
        </is>
      </c>
      <c r="H4" t="inlineStr">
        <is>
          <t>Mesma fonte do item acima.</t>
        </is>
      </c>
      <c r="I4" t="inlineStr">
        <is>
          <t>alta</t>
        </is>
      </c>
    </row>
    <row r="5">
      <c r="A5" t="inlineStr">
        <is>
          <t>Mão de obra - Construção civil (SINDUSCON-GO/SINTRACOM)</t>
        </is>
      </c>
      <c r="B5" t="inlineStr">
        <is>
          <t>Meio-Oficial (eletricista/pedreiro/carpinteiro qualificado) - piso mensal</t>
        </is>
      </c>
      <c r="C5" t="n">
        <v>1720.4</v>
      </c>
      <c r="D5" t="inlineStr">
        <is>
          <t>R$/mês</t>
        </is>
      </c>
      <c r="E5" s="2" t="inlineStr">
        <is>
          <t>https://www.sintracomgoiania.com.br/images/convencoes_arquivos/construcao-civil/CCT_2025_2027_Divulgacao_Conjunta_Sinduscon_e_Sintracom_Goias_assinado.pdf</t>
        </is>
      </c>
      <c r="F5" t="inlineStr">
        <is>
          <t>2026-09-27</t>
        </is>
      </c>
      <c r="G5" t="inlineStr">
        <is>
          <t>pág. 2, quadro de pisos salariais</t>
        </is>
      </c>
      <c r="H5" t="inlineStr">
        <is>
          <t>Categoria 'Meio-Oficial' é a referência de eletricista de obra qualificado nesta CCT.</t>
        </is>
      </c>
      <c r="I5" t="inlineStr">
        <is>
          <t>alta</t>
        </is>
      </c>
    </row>
    <row r="6">
      <c r="A6" t="inlineStr">
        <is>
          <t>Mão de obra - Construção civil (SINDUSCON-GO/SINTRACOM)</t>
        </is>
      </c>
      <c r="B6" t="inlineStr">
        <is>
          <t>Meio-Oficial - valor hora</t>
        </is>
      </c>
      <c r="C6" t="n">
        <v>7.82</v>
      </c>
      <c r="D6" t="inlineStr">
        <is>
          <t>R$/hora</t>
        </is>
      </c>
      <c r="E6" s="2" t="inlineStr">
        <is>
          <t>https://www.sintracomgoiania.com.br/images/convencoes_arquivos/construcao-civil/CCT_2025_2027_Divulgacao_Conjunta_Sinduscon_e_Sintracom_Goias_assinado.pdf</t>
        </is>
      </c>
      <c r="F6" t="inlineStr">
        <is>
          <t>2026-09-27</t>
        </is>
      </c>
      <c r="G6" t="inlineStr">
        <is>
          <t>pág. 2, quadro de pisos salariais</t>
        </is>
      </c>
      <c r="H6" t="inlineStr">
        <is>
          <t>Mesma fonte.</t>
        </is>
      </c>
      <c r="I6" t="inlineStr">
        <is>
          <t>alta</t>
        </is>
      </c>
    </row>
    <row r="7">
      <c r="A7" t="inlineStr">
        <is>
          <t>Mão de obra - Construção civil (SINDUSCON-GO/SINTRACOM)</t>
        </is>
      </c>
      <c r="B7" t="inlineStr">
        <is>
          <t>Encarregado - piso mensal</t>
        </is>
      </c>
      <c r="C7" t="n">
        <v>3542</v>
      </c>
      <c r="D7" t="inlineStr">
        <is>
          <t>R$/mês</t>
        </is>
      </c>
      <c r="E7" s="2" t="inlineStr">
        <is>
          <t>https://www.sintracomgoiania.com.br/images/convencoes_arquivos/construcao-civil/CCT_2025_2027_Divulgacao_Conjunta_Sinduscon_e_Sintracom_Goias_assinado.pdf</t>
        </is>
      </c>
      <c r="F7" t="inlineStr">
        <is>
          <t>2026-09-27</t>
        </is>
      </c>
      <c r="G7" t="inlineStr">
        <is>
          <t>pág. 3, quadro de pisos salariais</t>
        </is>
      </c>
      <c r="H7" t="inlineStr"/>
      <c r="I7" t="inlineStr">
        <is>
          <t>alta</t>
        </is>
      </c>
    </row>
    <row r="8">
      <c r="A8" t="inlineStr">
        <is>
          <t>Mão de obra - Construção civil (SINDUSCON-GO/SINTRACOM)</t>
        </is>
      </c>
      <c r="B8" t="inlineStr">
        <is>
          <t>Mestre de Obras - piso mensal</t>
        </is>
      </c>
      <c r="C8" t="n">
        <v>5060</v>
      </c>
      <c r="D8" t="inlineStr">
        <is>
          <t>R$/mês</t>
        </is>
      </c>
      <c r="E8" s="2" t="inlineStr">
        <is>
          <t>https://www.sintracomgoiania.com.br/images/convencoes_arquivos/construcao-civil/CCT_2025_2027_Divulgacao_Conjunta_Sinduscon_e_Sintracom_Goias_assinado.pdf</t>
        </is>
      </c>
      <c r="F8" t="inlineStr">
        <is>
          <t>2026-09-27</t>
        </is>
      </c>
      <c r="G8" t="inlineStr">
        <is>
          <t>pág. 3, quadro de pisos salariais</t>
        </is>
      </c>
      <c r="H8" t="inlineStr">
        <is>
          <t>Piso novo, criado nesta CCT 2025/2027.</t>
        </is>
      </c>
      <c r="I8" t="inlineStr">
        <is>
          <t>alta</t>
        </is>
      </c>
    </row>
    <row r="9">
      <c r="A9" t="inlineStr">
        <is>
          <t>Mão de obra - Construção civil (SINDUSCON-GO/SINTRACOM)</t>
        </is>
      </c>
      <c r="B9" t="inlineStr">
        <is>
          <t>Técnico de refrigeração/AC predial ('Profissional em Manutenção Industrial e Predial, Ar Condicionado') - piso mínimo aplicável</t>
        </is>
      </c>
      <c r="C9" t="n">
        <v>1548.8</v>
      </c>
      <c r="D9" t="inlineStr">
        <is>
          <t>R$/mês</t>
        </is>
      </c>
      <c r="E9" s="2" t="inlineStr">
        <is>
          <t>https://www.sintracomgoiania.com.br/images/convencoes_arquivos/construcao-civil/CCT_2025_2027_Divulgacao_Conjunta_Sinduscon_e_Sintracom_Goias_assinado.pdf</t>
        </is>
      </c>
      <c r="F9" t="inlineStr">
        <is>
          <t>2026-09-27</t>
        </is>
      </c>
      <c r="G9" t="inlineStr">
        <is>
          <t>pág. 1, Cláusula Quinta (lista nominal da função) c/c pág. 2 §2º ('piso salarial para trabalhadores sem piso definido será igual ao salário base do ajudante/servente')</t>
        </is>
      </c>
      <c r="H9" t="inlineStr">
        <is>
          <t>A CCT NÃO define piso próprio para esta função: ela só recebe o reajuste de 7,32% sobre o salário já praticado, e o piso mínimo legal aplicável é o do ajudante/servente. Na prática de mercado a remuneração efetiva costuma ficar acima deste piso mínimo (ver estimativa de mercado na aba de premissas).</t>
        </is>
      </c>
      <c r="I9" t="inlineStr">
        <is>
          <t>alta</t>
        </is>
      </c>
    </row>
    <row r="10">
      <c r="A10" t="inlineStr">
        <is>
          <t>Mão de obra - Construção civil (SINDUSCON-GO/SINTRACOM)</t>
        </is>
      </c>
      <c r="B10" t="inlineStr">
        <is>
          <t>Operador de grua/mini-grua (proxy p/ operador de munck/guindauto) e Supervisor de segurança (proxy p/ técnico de segurança) - piso mínimo aplicável</t>
        </is>
      </c>
      <c r="C10" t="n">
        <v>1548.8</v>
      </c>
      <c r="D10" t="inlineStr">
        <is>
          <t>R$/mês</t>
        </is>
      </c>
      <c r="E10" s="2" t="inlineStr">
        <is>
          <t>https://www.sintracomgoiania.com.br/images/convencoes_arquivos/construcao-civil/CCT_2025_2027_Divulgacao_Conjunta_Sinduscon_e_Sintracom_Goias_assinado.pdf</t>
        </is>
      </c>
      <c r="F10" t="inlineStr">
        <is>
          <t>2026-09-27</t>
        </is>
      </c>
      <c r="G10" t="inlineStr">
        <is>
          <t>pág. 1, Cláusula Quinta (lista nominal das funções) c/c pág. 2 §2º</t>
        </is>
      </c>
      <c r="H10" t="inlineStr">
        <is>
          <t>Mesma regra do item anterior: sem piso próprio definido nesta CCT; piso mínimo = ajudante/servente.</t>
        </is>
      </c>
      <c r="I10" t="inlineStr">
        <is>
          <t>alta</t>
        </is>
      </c>
    </row>
    <row r="11">
      <c r="A11" t="inlineStr">
        <is>
          <t>Mão de obra - Construção civil (SINDUSCON-GO/SINTRACOM)</t>
        </is>
      </c>
      <c r="B11" t="inlineStr">
        <is>
          <t>Vale-refeição / auxílio-alimentação (manutenção predial/facilities)</t>
        </is>
      </c>
      <c r="C11" t="n">
        <v>22.54</v>
      </c>
      <c r="D11" t="inlineStr">
        <is>
          <t>R$/dia trabalhado</t>
        </is>
      </c>
      <c r="E11" s="2" t="inlineStr">
        <is>
          <t>https://www.sintracomgoiania.com.br/images/convencoes_arquivos/construcao-civil/CCT_2025_2027_Divulgacao_Conjunta_Sinduscon_e_Sintracom_Goias_assinado.pdf</t>
        </is>
      </c>
      <c r="F11" t="inlineStr">
        <is>
          <t>2026-09-27</t>
        </is>
      </c>
      <c r="G11" t="inlineStr">
        <is>
          <t>pág. 8-9, Cláusula Décima Primeira - Alimentação, §3º</t>
        </is>
      </c>
      <c r="H11" t="inlineStr">
        <is>
          <t>Válido a partir de 01/05/2025. O fornecimento de VALE REFEIÇÃO (em pecúnia/cartão) está restrito aos empregados de escritório e aos que desenvolvem atividades de manutenção predial/facilities - aplica-se diretamente ao cenário de equipes de manutenção.</t>
        </is>
      </c>
      <c r="I11" t="inlineStr">
        <is>
          <t>alta</t>
        </is>
      </c>
    </row>
    <row r="12">
      <c r="A12" t="inlineStr">
        <is>
          <t>Mão de obra - Construção civil / Lei Federal</t>
        </is>
      </c>
      <c r="B12" t="inlineStr">
        <is>
          <t>Salário mínimo profissional Engenheiro - jornada 6h (Lei 4.950-A/66, art. 5º)</t>
        </is>
      </c>
      <c r="C12" t="n">
        <v>9726</v>
      </c>
      <c r="D12" t="inlineStr">
        <is>
          <t>R$/mês</t>
        </is>
      </c>
      <c r="E12" s="2" t="inlineStr">
        <is>
          <t>https://www.planalto.gov.br/ccivil_03/leis/l4950a.htm</t>
        </is>
      </c>
      <c r="F12" t="inlineStr">
        <is>
          <t>2026-09-27</t>
        </is>
      </c>
      <c r="G12" t="inlineStr">
        <is>
          <t>Texto oficial lido diretamente: 'Art. 5º Para a execução das atividades e tarefas classificadas na alínea a do art. 3º, fica fixado o salário-base mínimo de 6 (seis) vêzes o maior salário-mínimo comum vigente no País, para os profissionais relacionados na alínea a do art. 4º [diplomados com curso universitário de 4 anos ou mais]...' (jornada de 6h/dia, conforme art. 3º, a).</t>
        </is>
      </c>
      <c r="H12" t="inlineStr">
        <is>
          <t>Confirmado por leitura direta da Lei 4.950-A/1966 no site oficial da Presidência da República. Valor em R$ calculado por nós: 6 × R$1.621,00 (salário mínimo 2026, Decreto 12.797/2025) = R$9.726,00.</t>
        </is>
      </c>
      <c r="I12" t="inlineStr">
        <is>
          <t>alta</t>
        </is>
      </c>
    </row>
    <row r="13">
      <c r="A13" t="inlineStr">
        <is>
          <t>Mão de obra - Construção civil / Lei Federal</t>
        </is>
      </c>
      <c r="B13" t="inlineStr">
        <is>
          <t>Salário mínimo profissional Engenheiro - jornada 8h (Lei 4.950-A/66, arts. 5º e 6º)</t>
        </is>
      </c>
      <c r="C13" t="n">
        <v>13778.5</v>
      </c>
      <c r="D13" t="inlineStr">
        <is>
          <t>R$/mês</t>
        </is>
      </c>
      <c r="E13" s="2" t="inlineStr">
        <is>
          <t>https://www.planalto.gov.br/ccivil_03/leis/l4950a.htm</t>
        </is>
      </c>
      <c r="F13" t="inlineStr">
        <is>
          <t>2026-09-27</t>
        </is>
      </c>
      <c r="G13" t="inlineStr">
        <is>
          <t>Texto oficial lido diretamente: 'Art. 6º Para a execução de atividades e tarefas classificadas na alínea b do art. 3º [mais de 6h diárias], a fixação do salário-base mínimo será feito tomando-se por base o custo da hora fixado no art. 5º desta Lei, acrescidas de 25% as horas excedentes das 6 (seis) diárias de serviços.'</t>
        </is>
      </c>
      <c r="H13" t="inlineStr">
        <is>
          <t>Confirmado por leitura direta da lei. Matematicamente equivale a 8,5 salários mínimos para jornada de 8h/dia (6 SM base pelas 6h + 2h extras a 125% do valor-hora = +2,5 SM). Valor calculado por nós: 8,5 × R$1.621,00 = R$13.778,50.</t>
        </is>
      </c>
      <c r="I13" t="inlineStr">
        <is>
          <t>alta</t>
        </is>
      </c>
    </row>
    <row r="14">
      <c r="A14" t="inlineStr">
        <is>
          <t>Mão de obra - SEAC-GO/SEACONS (terceirização/manutenção predial)</t>
        </is>
      </c>
      <c r="B14" t="inlineStr">
        <is>
          <t>Eletricista - piso mensal (01/01/2025)</t>
        </is>
      </c>
      <c r="C14" t="n">
        <v>3229.78</v>
      </c>
      <c r="D14" t="inlineStr">
        <is>
          <t>R$/mês</t>
        </is>
      </c>
      <c r="E14" s="2" t="inlineStr">
        <is>
          <t>https://goias.gov.br/seinfra/wp-content/uploads/sites/6/2025/09/ANEXO-3.pdf</t>
        </is>
      </c>
      <c r="F14" t="inlineStr">
        <is>
          <t>2026-09-27</t>
        </is>
      </c>
      <c r="G14" t="inlineStr">
        <is>
          <t>pág. 3, ANEXO à CDPS nº /2025, item 25 'Eletricista'</t>
        </is>
      </c>
      <c r="H14" t="inlineStr">
        <is>
          <t>CDPS (Certidão de Demonstração de Pisos Salariais) vinculada à CCT SEAC-GO x SEACONS 2025/2026 (registro GO000026/2025). Reajuste de 6,77% já aplicado sobre piso 01/01/2024 (R$3.024,99).</t>
        </is>
      </c>
      <c r="I14" t="inlineStr">
        <is>
          <t>alta</t>
        </is>
      </c>
    </row>
    <row r="15">
      <c r="A15" t="inlineStr">
        <is>
          <t>Mão de obra - SEAC-GO/SEACONS (terceirização/manutenção predial)</t>
        </is>
      </c>
      <c r="B15" t="inlineStr">
        <is>
          <t>Auxiliar de Manutenção Predial - piso mensal (01/01/2025)</t>
        </is>
      </c>
      <c r="C15" t="n">
        <v>3229.78</v>
      </c>
      <c r="D15" t="inlineStr">
        <is>
          <t>R$/mês</t>
        </is>
      </c>
      <c r="E15" s="2" t="inlineStr">
        <is>
          <t>https://goias.gov.br/seinfra/wp-content/uploads/sites/6/2025/09/ANEXO-3.pdf</t>
        </is>
      </c>
      <c r="F15" t="inlineStr">
        <is>
          <t>2026-09-27</t>
        </is>
      </c>
      <c r="G15" t="inlineStr">
        <is>
          <t>pág. 3, item 11</t>
        </is>
      </c>
      <c r="H15" t="inlineStr">
        <is>
          <t>Mesmo valor da função Eletricista nesta CDPS.</t>
        </is>
      </c>
      <c r="I15" t="inlineStr">
        <is>
          <t>alta</t>
        </is>
      </c>
    </row>
    <row r="16">
      <c r="A16" t="inlineStr">
        <is>
          <t>Mão de obra - SEAC-GO/SEACONS (terceirização/manutenção predial)</t>
        </is>
      </c>
      <c r="B16" t="inlineStr">
        <is>
          <t>Ajudante/Amarrador - piso mensal (01/01/2025)</t>
        </is>
      </c>
      <c r="C16" t="n">
        <v>1601.55</v>
      </c>
      <c r="D16" t="inlineStr">
        <is>
          <t>R$/mês</t>
        </is>
      </c>
      <c r="E16" s="2" t="inlineStr">
        <is>
          <t>https://goias.gov.br/seinfra/wp-content/uploads/sites/6/2025/09/ANEXO-3.pdf</t>
        </is>
      </c>
      <c r="F16" t="inlineStr">
        <is>
          <t>2026-09-27</t>
        </is>
      </c>
      <c r="G16" t="inlineStr">
        <is>
          <t>pág. 3, item 1</t>
        </is>
      </c>
      <c r="H16" t="inlineStr">
        <is>
          <t>Piso-base da categoria (funções sem qualificação).</t>
        </is>
      </c>
      <c r="I16" t="inlineStr">
        <is>
          <t>alta</t>
        </is>
      </c>
    </row>
    <row r="17">
      <c r="A17" t="inlineStr">
        <is>
          <t>Mão de obra - SEAC-GO/SEACONS (terceirização/manutenção predial)</t>
        </is>
      </c>
      <c r="B17" t="inlineStr">
        <is>
          <t>Vigia - piso mensal (01/01/2025)</t>
        </is>
      </c>
      <c r="C17" t="n">
        <v>1768.08</v>
      </c>
      <c r="D17" t="inlineStr">
        <is>
          <t>R$/mês</t>
        </is>
      </c>
      <c r="E17" s="2" t="inlineStr">
        <is>
          <t>https://goias.gov.br/seinfra/wp-content/uploads/sites/6/2025/09/ANEXO-3.pdf</t>
        </is>
      </c>
      <c r="F17" t="inlineStr">
        <is>
          <t>2026-09-27</t>
        </is>
      </c>
      <c r="G17" t="inlineStr">
        <is>
          <t>pág. 4, item 59</t>
        </is>
      </c>
      <c r="H17" t="inlineStr"/>
      <c r="I17" t="inlineStr">
        <is>
          <t>alta</t>
        </is>
      </c>
    </row>
    <row r="18">
      <c r="A18" t="inlineStr">
        <is>
          <t>Mão de obra - SEAC-GO/SEACONS (terceirização/manutenção predial)</t>
        </is>
      </c>
      <c r="B18" t="inlineStr">
        <is>
          <t>Motorista de carros leves - piso mensal (01/01/2025)</t>
        </is>
      </c>
      <c r="C18" t="n">
        <v>2028.63</v>
      </c>
      <c r="D18" t="inlineStr">
        <is>
          <t>R$/mês</t>
        </is>
      </c>
      <c r="E18" s="2" t="inlineStr">
        <is>
          <t>https://goias.gov.br/seinfra/wp-content/uploads/sites/6/2025/09/ANEXO-3.pdf</t>
        </is>
      </c>
      <c r="F18" t="inlineStr">
        <is>
          <t>2026-09-27</t>
        </is>
      </c>
      <c r="G18" t="inlineStr">
        <is>
          <t>pág. 4, item 42</t>
        </is>
      </c>
      <c r="H18" t="inlineStr">
        <is>
          <t>Piso classificado como 'SUB JUDICE' - há decisão judicial (processo nº 0010802-64.2024.5.18.0010, TRT-18) que impede as empresas de utilizar este piso específico enquanto a disputa não é resolvida (ver cct_seac_corengo.pdf, pág. 3 e 6 desta pasta). Usar com cautela contratual.</t>
        </is>
      </c>
      <c r="I18" t="inlineStr">
        <is>
          <t>média</t>
        </is>
      </c>
    </row>
    <row r="19">
      <c r="A19" t="inlineStr">
        <is>
          <t>Mão de obra - SEAC-GO/SEACONS (terceirização/manutenção predial)</t>
        </is>
      </c>
      <c r="B19" t="inlineStr">
        <is>
          <t>Técnico em Refrigeração (CBO 9112-05) - piso mensal estimado 2026</t>
        </is>
      </c>
      <c r="C19" t="n">
        <v>3450.55</v>
      </c>
      <c r="D19" t="inlineStr">
        <is>
          <t>R$/mês</t>
        </is>
      </c>
      <c r="E19" s="2" t="inlineStr">
        <is>
          <t>https://febrac.org.br/wp-content/uploads/2026/01/GO001031.2025C-CCT-2026-2027-LIMPEZA-AMBIENTAL-ESTADO-DE-GOIAS-REGISTRADA.pdf</t>
        </is>
      </c>
      <c r="F19" t="inlineStr">
        <is>
          <t>2026-09-27</t>
        </is>
      </c>
      <c r="G19" t="inlineStr">
        <is>
          <t>pág. 2, Cláusula Terceira, §2º e §3º: 'As funções Técnico em Refrigeração (CBO 9112-05)... passarão a ter piso salarial definidos a partir da vigência desta CCT [01/01/2026]'</t>
        </is>
      </c>
      <c r="H19" t="inlineStr">
        <is>
          <t>ESTIMATIVA. A CCT 2026/2027 determina a criação de piso próprio para esta função a partir de 2026, mas a CDPS específica de 2026 (documento que traria o valor numérico definitivo) não foi localizada nesta sessão nem em busca web dedicada. Premissa adotada: aplicar o reajuste geral de 6,8340% (cláusula 3ª §3º) sobre o piso de Eletricista/Encanador 2025 (R$3.229,78, mesma faixa salarial das funções técnicas de manutenção nesta CCT) =&gt; 3.229,78 × 1,06834 = R$3.450,55. Recomenda-se confirmar com o SEAC-GO ou SEACONS a CDPS 2026 antes de fechar orçamento.</t>
        </is>
      </c>
      <c r="I19" t="inlineStr">
        <is>
          <t>baixa</t>
        </is>
      </c>
    </row>
    <row r="20">
      <c r="A20" t="inlineStr">
        <is>
          <t>Mão de obra - SEAC-GO/SEACONS</t>
        </is>
      </c>
      <c r="B20" t="inlineStr">
        <is>
          <t>Insalubridade grau médio (20% sobre salário mínimo nacional) - valor 2026</t>
        </is>
      </c>
      <c r="C20" t="n">
        <v>324.2</v>
      </c>
      <c r="D20" t="inlineStr">
        <is>
          <t>R$/mês</t>
        </is>
      </c>
      <c r="E20" s="2" t="inlineStr">
        <is>
          <t>https://goias.gov.br/seinfra/wp-content/uploads/sites/6/2025/09/ANEXO-3.pdf</t>
        </is>
      </c>
      <c r="F20" t="inlineStr">
        <is>
          <t>2026-09-27</t>
        </is>
      </c>
      <c r="G20" t="inlineStr">
        <is>
          <t>pág. 1-2 do CDPS: regra 'insalubridade em grau médio corresponde a 20% sobre o Salário Mínimo Nacional vigente' (exemplo docto: R$303,60 = 20% de R$1.518,00, SM 2025)</t>
        </is>
      </c>
      <c r="H20" t="inlineStr">
        <is>
          <t>Valor 2026 recalculado por nós: 20% × R$1.621,00 = R$324,20. A regra percentual (20%) é da fonte primária; a base 2026 é do Decreto 12.797/2025.</t>
        </is>
      </c>
      <c r="I20" t="inlineStr">
        <is>
          <t>alta</t>
        </is>
      </c>
    </row>
    <row r="21">
      <c r="A21" t="inlineStr">
        <is>
          <t>Mão de obra - SEAC-GO/SEACONS</t>
        </is>
      </c>
      <c r="B21" t="inlineStr">
        <is>
          <t>Insalubridade grau máximo (40% sobre salário mínimo nacional) - valor 2026</t>
        </is>
      </c>
      <c r="C21" t="n">
        <v>648.4</v>
      </c>
      <c r="D21" t="inlineStr">
        <is>
          <t>R$/mês</t>
        </is>
      </c>
      <c r="E21" s="2" t="inlineStr">
        <is>
          <t>https://goias.gov.br/seinfra/wp-content/uploads/sites/6/2025/09/ANEXO-3.pdf</t>
        </is>
      </c>
      <c r="F21" t="inlineStr">
        <is>
          <t>2026-09-27</t>
        </is>
      </c>
      <c r="G21" t="inlineStr">
        <is>
          <t>pág. 2 do CDPS: regra '40% sobre o Salário Mínimo Nacional vigente'</t>
        </is>
      </c>
      <c r="H21" t="inlineStr">
        <is>
          <t>Valor 2026 recalculado por nós: 40% × R$1.621,00 = R$648,40.</t>
        </is>
      </c>
      <c r="I21" t="inlineStr">
        <is>
          <t>alta</t>
        </is>
      </c>
    </row>
    <row r="22">
      <c r="A22" t="inlineStr">
        <is>
          <t>Mão de obra - SIMELGO/SINDMETAL Goiás (metalúrgicos/eletricista industrial)</t>
        </is>
      </c>
      <c r="B22" t="inlineStr">
        <is>
          <t>Piso salarial geral da categoria (1 salário mínimo + 20%) - valor 2026</t>
        </is>
      </c>
      <c r="C22" t="n">
        <v>1945.2</v>
      </c>
      <c r="D22" t="inlineStr">
        <is>
          <t>R$/mês</t>
        </is>
      </c>
      <c r="E22" s="2" t="inlineStr">
        <is>
          <t>https://sindmetalgo.com.br/wp-content/uploads/2024/04/Mediador_-_Extrato_Convencao_Coletiva_SIMELGO_ULTIMA_assinado_assinado.pdf</t>
        </is>
      </c>
      <c r="F22" t="inlineStr">
        <is>
          <t>2026-09-27</t>
        </is>
      </c>
      <c r="G22" t="inlineStr">
        <is>
          <t>Cláusula Terceira - Do Piso Salarial: 'Piso Salarial para os trabalhadores da categoria, no valor equivalente a 01 salário mínimo legal, acrescido de 20%'</t>
        </is>
      </c>
      <c r="H22" t="inlineStr">
        <is>
          <t>Texto-fonte é da CCT SIMELGO x SINDMETAL vigência 2024/2025 (a regra do piso é estável e citada também no aditivo 2025/2026, conforme simelgo.com.br/noticias, mas o PDF do aditivo 2025/2026 com o texto integral não pôde ser baixado nesta sessão - domínio bloqueado pela rede). Valor 2026 recalculado: 1,20 × R$1.621,00 = R$1.945,20. Esta é a categoria patronal correta para eletricista/mecânico industrial de manutenção (fora do regime SEAC/SINDUSCON).</t>
        </is>
      </c>
      <c r="I22" t="inlineStr">
        <is>
          <t>média</t>
        </is>
      </c>
    </row>
    <row r="23">
      <c r="A23" t="inlineStr">
        <is>
          <t>Mão de obra - Transporte rodoviário de cargas GO (SETCEG/Sindicato dos Motoristas-GO)</t>
        </is>
      </c>
      <c r="B23" t="inlineStr">
        <is>
          <t>Motorista de caminhão (categoria geral, 'Demais Motoristas de caminhão') - piso mensal</t>
        </is>
      </c>
      <c r="C23" t="n">
        <v>1870</v>
      </c>
      <c r="D23" t="inlineStr">
        <is>
          <t>R$/mês</t>
        </is>
      </c>
      <c r="E23" s="2" t="inlineStr">
        <is>
          <t>https://www.setceg.org.br/wp-content/uploads/2026/05/CCT-CARGA-2026-2028.pdf</t>
        </is>
      </c>
      <c r="F23" t="inlineStr">
        <is>
          <t>2026-09-27</t>
        </is>
      </c>
      <c r="G23" t="inlineStr">
        <is>
          <t>pág. 2, Cláusula Terceira - Salário Mínimo Profissional, item 'b': 'Demais Motoristas de caminhão ______________R$ 1.870,00', vigente a partir de 1º de maio de 2026</t>
        </is>
      </c>
      <c r="H23" t="inlineStr">
        <is>
          <t>CCT 2026/2028 registrada no MTE sob nº SRT00166/2026 em 26/05/2026, firmada entre o SINDICATO DOS TRABALHADORES EM TRANSP RODOV NO EST GO e o SETCEG (Sindicato das Empresas de Transportes de Cargas e Logística do Estado de Goiás). Este é o piso correto e específico de Goiás para 'motorista de caminhão' genérico (substitui a estimativa anterior).</t>
        </is>
      </c>
      <c r="I23" t="inlineStr">
        <is>
          <t>alta</t>
        </is>
      </c>
    </row>
    <row r="24">
      <c r="A24" t="inlineStr">
        <is>
          <t>Mão de obra - Transporte rodoviário de cargas GO (SETCEG/Sindicato dos Motoristas-GO)</t>
        </is>
      </c>
      <c r="B24" t="inlineStr">
        <is>
          <t>Motorista Carreteiro - piso mensal</t>
        </is>
      </c>
      <c r="C24" t="n">
        <v>2018</v>
      </c>
      <c r="D24" t="inlineStr">
        <is>
          <t>R$/mês</t>
        </is>
      </c>
      <c r="E24" s="2" t="inlineStr">
        <is>
          <t>https://www.setceg.org.br/wp-content/uploads/2026/05/CCT-CARGA-2026-2028.pdf</t>
        </is>
      </c>
      <c r="F24" t="inlineStr">
        <is>
          <t>2026-09-27</t>
        </is>
      </c>
      <c r="G24" t="inlineStr">
        <is>
          <t>pág. 2, Cláusula Terceira, item 'a': 'Motoristas Carreteiros R$ 2.018,00'</t>
        </is>
      </c>
      <c r="H24" t="inlineStr">
        <is>
          <t>Categoria de motorista de caminhões de carga pesada/longa distância (carretas). Recebe ainda adicional de 20% quando conduzir bitrem/tritrem/rodotrem/treminhão (Parágrafo Primeiro da mesma cláusula).</t>
        </is>
      </c>
      <c r="I24" t="inlineStr">
        <is>
          <t>alta</t>
        </is>
      </c>
    </row>
    <row r="25">
      <c r="A25" t="inlineStr">
        <is>
          <t>Mão de obra - Transporte rodoviário de cargas GO (SETCEG/Sindicato dos Motoristas-GO)</t>
        </is>
      </c>
      <c r="B25" t="inlineStr">
        <is>
          <t>Motorista de Carros Leves de Carga - piso mensal</t>
        </is>
      </c>
      <c r="C25" t="n">
        <v>1715</v>
      </c>
      <c r="D25" t="inlineStr">
        <is>
          <t>R$/mês</t>
        </is>
      </c>
      <c r="E25" s="2" t="inlineStr">
        <is>
          <t>https://www.setceg.org.br/wp-content/uploads/2026/05/CCT-CARGA-2026-2028.pdf</t>
        </is>
      </c>
      <c r="F25" t="inlineStr">
        <is>
          <t>2026-09-27</t>
        </is>
      </c>
      <c r="G25" t="inlineStr">
        <is>
          <t>pág. 2, Cláusula Terceira, item 'c': 'Motorista de Carros Leves de Carga R$ 1.715,00'</t>
        </is>
      </c>
      <c r="H25" t="inlineStr">
        <is>
          <t>Útil como piso de referência para veículo leve de apoio/entrega em equipes de manutenção.</t>
        </is>
      </c>
      <c r="I25" t="inlineStr">
        <is>
          <t>alta</t>
        </is>
      </c>
    </row>
    <row r="26">
      <c r="A26" t="inlineStr">
        <is>
          <t>Mão de obra - Transporte rodoviário de cargas GO (SETCEG/Sindicato dos Motoristas-GO)</t>
        </is>
      </c>
      <c r="B26" t="inlineStr">
        <is>
          <t>Ajudantes/Carregadores - piso mensal</t>
        </is>
      </c>
      <c r="C26" t="n">
        <v>1650</v>
      </c>
      <c r="D26" t="inlineStr">
        <is>
          <t>R$/mês</t>
        </is>
      </c>
      <c r="E26" s="2" t="inlineStr">
        <is>
          <t>https://www.setceg.org.br/wp-content/uploads/2026/05/CCT-CARGA-2026-2028.pdf</t>
        </is>
      </c>
      <c r="F26" t="inlineStr">
        <is>
          <t>2026-09-27</t>
        </is>
      </c>
      <c r="G26" t="inlineStr">
        <is>
          <t>pág. 2, Cláusula Terceira, item 'e': 'Ajudantes/Carregadores R$ 1.650,00'</t>
        </is>
      </c>
      <c r="H26" t="inlineStr">
        <is>
          <t>Categoria patronal correta para 'ajudante' quando vinculado a operação de transporte/carga (alternativa aos pisos de ajudante já registrados via CCT da construção civil e SEAC/SEACONS, a depender de qual sindicato rege o contrato de terceirização).</t>
        </is>
      </c>
      <c r="I26" t="inlineStr">
        <is>
          <t>alta</t>
        </is>
      </c>
    </row>
    <row r="27">
      <c r="A27" t="inlineStr">
        <is>
          <t>Mão de obra - Transporte rodoviário de cargas (referência nacional/SP - Sindicargas Superpesa, NÃO é piso de Goiás)</t>
        </is>
      </c>
      <c r="B27" t="inlineStr">
        <is>
          <t>Operador de Guindaste Médio (acima de 45 até 150 toneladas) - piso mensal</t>
        </is>
      </c>
      <c r="C27" t="n">
        <v>3242.84</v>
      </c>
      <c r="D27" t="inlineStr">
        <is>
          <t>R$/mês</t>
        </is>
      </c>
      <c r="E27" s="2" t="inlineStr">
        <is>
          <t>https://sindipesa.org.br/wp-content/uploads/2025/09/CCT-SINDICARGAS-2025.2026-REGISTRADA.pdf</t>
        </is>
      </c>
      <c r="F27" t="inlineStr">
        <is>
          <t>2026-09-27</t>
        </is>
      </c>
      <c r="G27" t="inlineStr">
        <is>
          <t>Quadro de pisos salariais da Cláusula Terceira: 'Operador de Guindaste Médio (acima de 45 até 150 toneladas) R$ 3.151,06 (mai/2025) / R$ 3.242,84 (out/2025)'</t>
        </is>
      </c>
      <c r="H27" t="inlineStr">
        <is>
          <t>ATENÇÃO: esta CCT é registrada em SÃO PAULO (registro MTE SP008810/2025), entre o SINDICARGAS-SIND DOS EMPREG EM EMPR DE TRANSP ROD SUPERPESA e o SIND NAC EMP TRANSP MOVIM CARGAS PESADAS E EXCEPCIONAIS - NÃO é um piso vigente em Goiás. Trazido apenas como referência nacional de mercado para a função 'motorista/operador de munck e guindaste', já que nenhuma CCT de Goiás encontrada nesta sessão (SETCEG, SEAC/SEACONS, SINDUSCON) lista piso próprio para essa função específica.</t>
        </is>
      </c>
      <c r="I27" t="inlineStr">
        <is>
          <t>baixa</t>
        </is>
      </c>
    </row>
    <row r="28">
      <c r="A28" t="inlineStr">
        <is>
          <t>Mão de obra - Transporte rodoviário de cargas (referência nacional/SP - Sindicargas Superpesa, NÃO é piso de Goiás)</t>
        </is>
      </c>
      <c r="B28" t="inlineStr">
        <is>
          <t>Eletricista de Manutenção (categoria de transporte/frota) - piso mensal</t>
        </is>
      </c>
      <c r="C28" t="n">
        <v>2642.51</v>
      </c>
      <c r="D28" t="inlineStr">
        <is>
          <t>R$/mês</t>
        </is>
      </c>
      <c r="E28" s="2" t="inlineStr">
        <is>
          <t>https://sindipesa.org.br/wp-content/uploads/2025/09/CCT-SINDICARGAS-2025.2026-REGISTRADA.pdf</t>
        </is>
      </c>
      <c r="F28" t="inlineStr">
        <is>
          <t>2026-09-27</t>
        </is>
      </c>
      <c r="G28" t="inlineStr">
        <is>
          <t>Quadro de pisos salariais da Cláusula Terceira: 'Eletricista de Manutenção R$ 2.567,72 (mai/2025) / R$ 2.642,51 (out/2025)'</t>
        </is>
      </c>
      <c r="H28" t="inlineStr">
        <is>
          <t>Mesma ressalva do item acima: CCT de São Paulo (Sindicargas Superpesa), não de Goiás. Trazido apenas como ponto de comparação nacional para a função de eletricista de manutenção em frotas/transporte.</t>
        </is>
      </c>
      <c r="I28" t="inlineStr">
        <is>
          <t>baixa</t>
        </is>
      </c>
    </row>
    <row r="29">
      <c r="A29" t="inlineStr">
        <is>
          <t>Encargos sociais SINAPI</t>
        </is>
      </c>
      <c r="B29" t="inlineStr">
        <is>
          <t>Encargos sociais Horista - Goiás - COM DESONERAÇÃO (vigência 01/2026, 8ª edição CAIXA)</t>
        </is>
      </c>
      <c r="C29" t="n">
        <v>93.22</v>
      </c>
      <c r="D29" t="inlineStr">
        <is>
          <t>% sobre salário</t>
        </is>
      </c>
      <c r="E29" s="2" t="inlineStr">
        <is>
          <t>https://www.caixa.gov.br/Downloads/sinapi-metodologia/Livro_SINAPI_Calculos_Parametros.pdf</t>
        </is>
      </c>
      <c r="F29" t="inlineStr">
        <is>
          <t>2026-09-27</t>
        </is>
      </c>
      <c r="G29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29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29" t="inlineStr">
        <is>
          <t>alta</t>
        </is>
      </c>
    </row>
    <row r="30">
      <c r="A30" t="inlineStr">
        <is>
          <t>Encargos sociais SINAPI</t>
        </is>
      </c>
      <c r="B30" t="inlineStr">
        <is>
          <t>Encargos sociais Mensalista - Goiás - COM DESONERAÇÃO (vigência 01/2026, 8ª edição CAIXA)</t>
        </is>
      </c>
      <c r="C30" t="n">
        <v>57.47</v>
      </c>
      <c r="D30" t="inlineStr">
        <is>
          <t>% sobre salário</t>
        </is>
      </c>
      <c r="E30" s="2" t="inlineStr">
        <is>
          <t>https://www.caixa.gov.br/Downloads/sinapi-metodologia/Livro_SINAPI_Calculos_Parametros.pdf</t>
        </is>
      </c>
      <c r="F30" t="inlineStr">
        <is>
          <t>2026-09-27</t>
        </is>
      </c>
      <c r="G30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30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30" t="inlineStr">
        <is>
          <t>alta</t>
        </is>
      </c>
    </row>
    <row r="31">
      <c r="A31" t="inlineStr">
        <is>
          <t>Encargos sociais SINAPI</t>
        </is>
      </c>
      <c r="B31" t="inlineStr">
        <is>
          <t>Encargos sociais Horista - Goiás - SEM DESONERAÇÃO (vigência 01/2026, 8ª edição CAIXA)</t>
        </is>
      </c>
      <c r="C31" t="n">
        <v>107.72</v>
      </c>
      <c r="D31" t="inlineStr">
        <is>
          <t>% sobre salário</t>
        </is>
      </c>
      <c r="E31" s="2" t="inlineStr">
        <is>
          <t>https://www.caixa.gov.br/Downloads/sinapi-metodologia/Livro_SINAPI_Calculos_Parametros.pdf</t>
        </is>
      </c>
      <c r="F31" t="inlineStr">
        <is>
          <t>2026-09-27</t>
        </is>
      </c>
      <c r="G31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31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31" t="inlineStr">
        <is>
          <t>alta</t>
        </is>
      </c>
    </row>
    <row r="32">
      <c r="A32" t="inlineStr">
        <is>
          <t>Encargos sociais SINAPI</t>
        </is>
      </c>
      <c r="B32" t="inlineStr">
        <is>
          <t>Encargos sociais Mensalista - Goiás - SEM DESONERAÇÃO (vigência 01/2026, 8ª edição CAIXA)</t>
        </is>
      </c>
      <c r="C32" t="n">
        <v>69.28</v>
      </c>
      <c r="D32" t="inlineStr">
        <is>
          <t>% sobre salário</t>
        </is>
      </c>
      <c r="E32" s="2" t="inlineStr">
        <is>
          <t>https://www.caixa.gov.br/Downloads/sinapi-metodologia/Livro_SINAPI_Calculos_Parametros.pdf</t>
        </is>
      </c>
      <c r="F32" t="inlineStr">
        <is>
          <t>2026-09-27</t>
        </is>
      </c>
      <c r="G32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32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32" t="inlineStr">
        <is>
          <t>alta</t>
        </is>
      </c>
    </row>
    <row r="33">
      <c r="A33" t="inlineStr">
        <is>
          <t>Encargos sociais SINAPI</t>
        </is>
      </c>
      <c r="B33" t="inlineStr">
        <is>
          <t>Qual usar: recomendação para o estudo de margem</t>
        </is>
      </c>
      <c r="C33" t="inlineStr">
        <is>
          <t>SEM DESONERAÇÃO + regime HORISTA para mão de obra de campo (eletricista, ajudante, técnico); MENSALISTA apenas para encarregados/administrativos com salário mensal fixo sem medição por hora</t>
        </is>
      </c>
      <c r="D33" t="inlineStr">
        <is>
          <t>-</t>
        </is>
      </c>
      <c r="E33" s="2" t="inlineStr">
        <is>
          <t>https://www.caixa.gov.br/Downloads/sinapi-metodologia/Livro_SINAPI_Calculos_Parametros.pdf</t>
        </is>
      </c>
      <c r="F33" t="inlineStr">
        <is>
          <t>2026-09-27</t>
        </is>
      </c>
      <c r="G33" t="inlineStr">
        <is>
          <t>Livro SINAPI - Cálculos e Parâmetros, 8ª Edição (Fevereiro/2026), Apêndice 9 - Goiás</t>
        </is>
      </c>
      <c r="H33" t="inlineStr">
        <is>
          <t>Recomendação de uso, não um dado de fonte: a maior parte das composições SINAPI de mão de obra usa HORISTA; o regime 'sem desoneração' (CPP patronal cheia de 20%) é o padrão desde a Lei 14.973/2024 para quem não aderiu à desoneração da folha (CPRB), o que é o caso típico de pequenas empresas prestadoras de serviço de manutenção. Confirmar o enquadramento tributário real da empresa licitante antes de decidir entre os dois regimes.</t>
        </is>
      </c>
      <c r="I33" t="inlineStr">
        <is>
          <t>média</t>
        </is>
      </c>
    </row>
    <row r="34">
      <c r="A34" t="inlineStr">
        <is>
          <t>BDI - Acórdão TCU 2622/2013</t>
        </is>
      </c>
      <c r="B34" t="inlineStr">
        <is>
          <t>Faixa BDI - Construção de Edifícios - 1º quartil</t>
        </is>
      </c>
      <c r="C34" t="n">
        <v>20.34</v>
      </c>
      <c r="D34" t="inlineStr">
        <is>
          <t>%</t>
        </is>
      </c>
      <c r="E34" s="2" t="inlineStr">
        <is>
          <t>https://www.editais.uff.br/sites/default/files/arquivos/Base%20BDI%20-%20Ac%C3%B3rd%C3%A3o-2622-2013.pdf</t>
        </is>
      </c>
      <c r="F34" t="inlineStr">
        <is>
          <t>2026-09-27</t>
        </is>
      </c>
      <c r="G34" t="inlineStr">
        <is>
          <t>pág. 1, item 9.1, tabela 'VALORES DO BDI POR TIPO DE OBRA', linha 'CONSTRUÇÃO DE EDIFÍCIOS'</t>
        </is>
      </c>
      <c r="H34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4" t="inlineStr">
        <is>
          <t>alta</t>
        </is>
      </c>
    </row>
    <row r="35">
      <c r="A35" t="inlineStr">
        <is>
          <t>BDI - Acórdão TCU 2622/2013</t>
        </is>
      </c>
      <c r="B35" t="inlineStr">
        <is>
          <t>Faixa BDI - Construção de Edifícios - médio</t>
        </is>
      </c>
      <c r="C35" t="n">
        <v>22.12</v>
      </c>
      <c r="D35" t="inlineStr">
        <is>
          <t>%</t>
        </is>
      </c>
      <c r="E35" s="2" t="inlineStr">
        <is>
          <t>https://www.editais.uff.br/sites/default/files/arquivos/Base%20BDI%20-%20Ac%C3%B3rd%C3%A3o-2622-2013.pdf</t>
        </is>
      </c>
      <c r="F35" t="inlineStr">
        <is>
          <t>2026-09-27</t>
        </is>
      </c>
      <c r="G35" t="inlineStr">
        <is>
          <t>pág. 1, mesma tabela, coluna 'Médio'</t>
        </is>
      </c>
      <c r="H35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5" t="inlineStr">
        <is>
          <t>alta</t>
        </is>
      </c>
    </row>
    <row r="36">
      <c r="A36" t="inlineStr">
        <is>
          <t>BDI - Acórdão TCU 2622/2013</t>
        </is>
      </c>
      <c r="B36" t="inlineStr">
        <is>
          <t>Faixa BDI - Construção de Edifícios - 3º quartil</t>
        </is>
      </c>
      <c r="C36" t="n">
        <v>25</v>
      </c>
      <c r="D36" t="inlineStr">
        <is>
          <t>%</t>
        </is>
      </c>
      <c r="E36" s="2" t="inlineStr">
        <is>
          <t>https://www.editais.uff.br/sites/default/files/arquivos/Base%20BDI%20-%20Ac%C3%B3rd%C3%A3o-2622-2013.pdf</t>
        </is>
      </c>
      <c r="F36" t="inlineStr">
        <is>
          <t>2026-09-27</t>
        </is>
      </c>
      <c r="G36" t="inlineStr">
        <is>
          <t>pág. 1, mesma tabela, coluna '3º Quartil'</t>
        </is>
      </c>
      <c r="H36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6" t="inlineStr">
        <is>
          <t>alta</t>
        </is>
      </c>
    </row>
    <row r="37">
      <c r="A37" t="inlineStr">
        <is>
          <t>BDI - Acórdão TCU 2622/2013</t>
        </is>
      </c>
      <c r="B37" t="inlineStr">
        <is>
          <t>Faixa BDI - Construção e Manutenção de Estações e Redes de Distribuição de Energia Elétrica - 1º quartil</t>
        </is>
      </c>
      <c r="C37" t="n">
        <v>24</v>
      </c>
      <c r="D37" t="inlineStr">
        <is>
          <t>%</t>
        </is>
      </c>
      <c r="E37" s="2" t="inlineStr">
        <is>
          <t>https://www.editais.uff.br/sites/default/files/arquivos/Base%20BDI%20-%20Ac%C3%B3rd%C3%A3o-2622-2013.pdf</t>
        </is>
      </c>
      <c r="F37" t="inlineStr">
        <is>
          <t>2026-09-27</t>
        </is>
      </c>
      <c r="G37" t="inlineStr">
        <is>
          <t>pág. 1, mesma tabela, linha 'CONSTRUÇÃO E MANUTENÇÃO DE ESTAÇÕES E REDES DE DISTRIBUIÇÃO DE ENERGIA ELÉTRICA'</t>
        </is>
      </c>
      <c r="H37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7" t="inlineStr">
        <is>
          <t>alta</t>
        </is>
      </c>
    </row>
    <row r="38">
      <c r="A38" t="inlineStr">
        <is>
          <t>BDI - Acórdão TCU 2622/2013</t>
        </is>
      </c>
      <c r="B38" t="inlineStr">
        <is>
          <t>Faixa BDI - Construção e Manutenção de Estações e Redes de Distribuição de Energia Elétrica - médio</t>
        </is>
      </c>
      <c r="C38" t="n">
        <v>25.84</v>
      </c>
      <c r="D38" t="inlineStr">
        <is>
          <t>%</t>
        </is>
      </c>
      <c r="E38" s="2" t="inlineStr">
        <is>
          <t>https://www.editais.uff.br/sites/default/files/arquivos/Base%20BDI%20-%20Ac%C3%B3rd%C3%A3o-2622-2013.pdf</t>
        </is>
      </c>
      <c r="F38" t="inlineStr">
        <is>
          <t>2026-09-27</t>
        </is>
      </c>
      <c r="G38" t="inlineStr">
        <is>
          <t>pág. 1, mesma tabela, coluna 'Médio'</t>
        </is>
      </c>
      <c r="H38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8" t="inlineStr">
        <is>
          <t>alta</t>
        </is>
      </c>
    </row>
    <row r="39">
      <c r="A39" t="inlineStr">
        <is>
          <t>BDI - Acórdão TCU 2622/2013</t>
        </is>
      </c>
      <c r="B39" t="inlineStr">
        <is>
          <t>Faixa BDI - Construção e Manutenção de Estações e Redes de Distribuição de Energia Elétrica - 3º quartil</t>
        </is>
      </c>
      <c r="C39" t="n">
        <v>27.86</v>
      </c>
      <c r="D39" t="inlineStr">
        <is>
          <t>%</t>
        </is>
      </c>
      <c r="E39" s="2" t="inlineStr">
        <is>
          <t>https://www.editais.uff.br/sites/default/files/arquivos/Base%20BDI%20-%20Ac%C3%B3rd%C3%A3o-2622-2013.pdf</t>
        </is>
      </c>
      <c r="F39" t="inlineStr">
        <is>
          <t>2026-09-27</t>
        </is>
      </c>
      <c r="G39" t="inlineStr">
        <is>
          <t>pág. 1, mesma tabela, coluna '3º Quartil'</t>
        </is>
      </c>
      <c r="H39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9" t="inlineStr">
        <is>
          <t>alta</t>
        </is>
      </c>
    </row>
    <row r="40">
      <c r="A40" t="inlineStr">
        <is>
          <t>BDI - Acórdão TCU 2622/2013</t>
        </is>
      </c>
      <c r="B40" t="inlineStr">
        <is>
          <t>Faixa BDI - Construção de Rodovias e Ferrovias (1ºQ / médio / 3ºQ)</t>
        </is>
      </c>
      <c r="C40" t="inlineStr">
        <is>
          <t>19,60% / 20,97% / 24,23%</t>
        </is>
      </c>
      <c r="D40" t="inlineStr">
        <is>
          <t>%</t>
        </is>
      </c>
      <c r="E40" s="2" t="inlineStr">
        <is>
          <t>https://www.editais.uff.br/sites/default/files/arquivos/Base%20BDI%20-%20Ac%C3%B3rd%C3%A3o-2622-2013.pdf</t>
        </is>
      </c>
      <c r="F40" t="inlineStr">
        <is>
          <t>2026-09-27</t>
        </is>
      </c>
      <c r="G40" t="inlineStr">
        <is>
          <t>pág. 1, mesma tabela</t>
        </is>
      </c>
      <c r="H40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0" t="inlineStr">
        <is>
          <t>alta</t>
        </is>
      </c>
    </row>
    <row r="41">
      <c r="A41" t="inlineStr">
        <is>
          <t>BDI - Acórdão TCU 2622/2013</t>
        </is>
      </c>
      <c r="B41" t="inlineStr">
        <is>
          <t>Faixa BDI - Construção de Redes de Abastecimento de Água, Coleta de Esgoto e Construções Correlatas (1ºQ / médio / 3ºQ)</t>
        </is>
      </c>
      <c r="C41" t="inlineStr">
        <is>
          <t>20,76% / 24,18% / 26,44%</t>
        </is>
      </c>
      <c r="D41" t="inlineStr">
        <is>
          <t>%</t>
        </is>
      </c>
      <c r="E41" s="2" t="inlineStr">
        <is>
          <t>https://www.editais.uff.br/sites/default/files/arquivos/Base%20BDI%20-%20Ac%C3%B3rd%C3%A3o-2622-2013.pdf</t>
        </is>
      </c>
      <c r="F41" t="inlineStr">
        <is>
          <t>2026-09-27</t>
        </is>
      </c>
      <c r="G41" t="inlineStr">
        <is>
          <t>pág. 1, mesma tabela</t>
        </is>
      </c>
      <c r="H41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1" t="inlineStr">
        <is>
          <t>alta</t>
        </is>
      </c>
    </row>
    <row r="42">
      <c r="A42" t="inlineStr">
        <is>
          <t>BDI - Acórdão TCU 2622/2013</t>
        </is>
      </c>
      <c r="B42" t="inlineStr">
        <is>
          <t>Faixa BDI - Obras Portuárias, Marítimas e Fluviais (1ºQ / médio / 3ºQ)</t>
        </is>
      </c>
      <c r="C42" t="inlineStr">
        <is>
          <t>22,80% / 27,48% / 30,95%</t>
        </is>
      </c>
      <c r="D42" t="inlineStr">
        <is>
          <t>%</t>
        </is>
      </c>
      <c r="E42" s="2" t="inlineStr">
        <is>
          <t>https://www.editais.uff.br/sites/default/files/arquivos/Base%20BDI%20-%20Ac%C3%B3rd%C3%A3o-2622-2013.pdf</t>
        </is>
      </c>
      <c r="F42" t="inlineStr">
        <is>
          <t>2026-09-27</t>
        </is>
      </c>
      <c r="G42" t="inlineStr">
        <is>
          <t>pág. 1, mesma tabela</t>
        </is>
      </c>
      <c r="H42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2" t="inlineStr">
        <is>
          <t>alta</t>
        </is>
      </c>
    </row>
    <row r="43">
      <c r="A43" t="inlineStr">
        <is>
          <t>BDI - Acórdão TCU 2622/2013</t>
        </is>
      </c>
      <c r="B43" t="inlineStr">
        <is>
          <t>Faixa BDI para itens de mero fornecimento de materiais e equipamentos (1ºQ / médio / 3ºQ)</t>
        </is>
      </c>
      <c r="C43" t="inlineStr">
        <is>
          <t>11,10% / 14,02% / 16,80%</t>
        </is>
      </c>
      <c r="D43" t="inlineStr">
        <is>
          <t>%</t>
        </is>
      </c>
      <c r="E43" s="2" t="inlineStr">
        <is>
          <t>https://www.editais.uff.br/sites/default/files/arquivos/Base%20BDI%20-%20Ac%C3%B3rd%C3%A3o-2622-2013.pdf</t>
        </is>
      </c>
      <c r="F43" t="inlineStr">
        <is>
          <t>2026-09-27</t>
        </is>
      </c>
      <c r="G43" t="inlineStr">
        <is>
          <t>pág. 1, tabela 'BDI PARA ITENS DE MERO FORNECIMENTO DE MATERIAIS E EQUIPAMENTOS'</t>
        </is>
      </c>
      <c r="H43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3" t="inlineStr">
        <is>
          <t>alta</t>
        </is>
      </c>
    </row>
    <row r="44">
      <c r="A44" t="inlineStr">
        <is>
          <t>BDI - Acórdão TCU 2622/2013 - Composição (Construção de Edifícios)</t>
        </is>
      </c>
      <c r="B44" t="inlineStr">
        <is>
          <t>AC - Administração Central (1ºQ / médio / 3ºQ)</t>
        </is>
      </c>
      <c r="C44" t="inlineStr">
        <is>
          <t>3,00% / 4,00% / 5,50%</t>
        </is>
      </c>
      <c r="D44" t="inlineStr">
        <is>
          <t>%</t>
        </is>
      </c>
      <c r="E44" s="2" t="inlineStr">
        <is>
          <t>https://www.editais.uff.br/sites/default/files/arquivos/Base%20BDI%20-%20Ac%C3%B3rd%C3%A3o-2622-2013.pdf</t>
        </is>
      </c>
      <c r="F44" t="inlineStr">
        <is>
          <t>2026-09-27</t>
        </is>
      </c>
      <c r="G44" t="inlineStr">
        <is>
          <t>pág. 2, item 9.2.1, tabela de componentes, linha 'CONSTRUÇÃO DE EDIFÍCIOS', coluna 'ADMINISTRAÇÃO CENTRAL'</t>
        </is>
      </c>
      <c r="H44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4" t="inlineStr">
        <is>
          <t>alta</t>
        </is>
      </c>
    </row>
    <row r="45">
      <c r="A45" t="inlineStr">
        <is>
          <t>BDI - Acórdão TCU 2622/2013 - Composição (Construção de Edifícios)</t>
        </is>
      </c>
      <c r="B45" t="inlineStr">
        <is>
          <t>Seguro + Garantia (1ºQ / médio / 3ºQ)</t>
        </is>
      </c>
      <c r="C45" t="inlineStr">
        <is>
          <t>0,80% / 0,80% / 1,00%</t>
        </is>
      </c>
      <c r="D45" t="inlineStr">
        <is>
          <t>%</t>
        </is>
      </c>
      <c r="E45" s="2" t="inlineStr">
        <is>
          <t>https://www.editais.uff.br/sites/default/files/arquivos/Base%20BDI%20-%20Ac%C3%B3rd%C3%A3o-2622-2013.pdf</t>
        </is>
      </c>
      <c r="F45" t="inlineStr">
        <is>
          <t>2026-09-27</t>
        </is>
      </c>
      <c r="G45" t="inlineStr">
        <is>
          <t>pág. 2, mesma tabela, coluna 'SEGURO + GARANTIA' (o Acórdão trata seguro e garantia como uma única parcela, não separa 'S' de 'G')</t>
        </is>
      </c>
      <c r="H45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5" t="inlineStr">
        <is>
          <t>alta</t>
        </is>
      </c>
    </row>
    <row r="46">
      <c r="A46" t="inlineStr">
        <is>
          <t>BDI - Acórdão TCU 2622/2013 - Composição (Construção de Edifícios)</t>
        </is>
      </c>
      <c r="B46" t="inlineStr">
        <is>
          <t>R - Risco (1ºQ / médio / 3ºQ)</t>
        </is>
      </c>
      <c r="C46" t="inlineStr">
        <is>
          <t>0,97% / 1,27% / 1,27%</t>
        </is>
      </c>
      <c r="D46" t="inlineStr">
        <is>
          <t>%</t>
        </is>
      </c>
      <c r="E46" s="2" t="inlineStr">
        <is>
          <t>https://www.editais.uff.br/sites/default/files/arquivos/Base%20BDI%20-%20Ac%C3%B3rd%C3%A3o-2622-2013.pdf</t>
        </is>
      </c>
      <c r="F46" t="inlineStr">
        <is>
          <t>2026-09-27</t>
        </is>
      </c>
      <c r="G46" t="inlineStr">
        <is>
          <t>pág. 2, mesma tabela, coluna 'RISCO'</t>
        </is>
      </c>
      <c r="H46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6" t="inlineStr">
        <is>
          <t>alta</t>
        </is>
      </c>
    </row>
    <row r="47">
      <c r="A47" t="inlineStr">
        <is>
          <t>BDI - Acórdão TCU 2622/2013 - Composição (Construção de Edifícios)</t>
        </is>
      </c>
      <c r="B47" t="inlineStr">
        <is>
          <t>DF - Despesa Financeira (1ºQ / médio / 3ºQ)</t>
        </is>
      </c>
      <c r="C47" t="inlineStr">
        <is>
          <t>0,59% / 1,23% / 1,39%</t>
        </is>
      </c>
      <c r="D47" t="inlineStr">
        <is>
          <t>%</t>
        </is>
      </c>
      <c r="E47" s="2" t="inlineStr">
        <is>
          <t>https://www.editais.uff.br/sites/default/files/arquivos/Base%20BDI%20-%20Ac%C3%B3rd%C3%A3o-2622-2013.pdf</t>
        </is>
      </c>
      <c r="F47" t="inlineStr">
        <is>
          <t>2026-09-27</t>
        </is>
      </c>
      <c r="G47" t="inlineStr">
        <is>
          <t>pág. 2, tabela 'DESPESA FINANCEIRA / LUCRO', linha Edifícios</t>
        </is>
      </c>
      <c r="H47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7" t="inlineStr">
        <is>
          <t>alta</t>
        </is>
      </c>
    </row>
    <row r="48">
      <c r="A48" t="inlineStr">
        <is>
          <t>BDI - Acórdão TCU 2622/2013 - Composição (Construção de Edifícios)</t>
        </is>
      </c>
      <c r="B48" t="inlineStr">
        <is>
          <t>L - Lucro (1ºQ / médio / 3ºQ)</t>
        </is>
      </c>
      <c r="C48" t="inlineStr">
        <is>
          <t>6,16% / 7,40% / 8,96%</t>
        </is>
      </c>
      <c r="D48" t="inlineStr">
        <is>
          <t>%</t>
        </is>
      </c>
      <c r="E48" s="2" t="inlineStr">
        <is>
          <t>https://www.editais.uff.br/sites/default/files/arquivos/Base%20BDI%20-%20Ac%C3%B3rd%C3%A3o-2622-2013.pdf</t>
        </is>
      </c>
      <c r="F48" t="inlineStr">
        <is>
          <t>2026-09-27</t>
        </is>
      </c>
      <c r="G48" t="inlineStr">
        <is>
          <t>pág. 2, mesma tabela, colunas 'LUCRO'</t>
        </is>
      </c>
      <c r="H48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8" t="inlineStr">
        <is>
          <t>alta</t>
        </is>
      </c>
    </row>
    <row r="49">
      <c r="A49" t="inlineStr">
        <is>
          <t>BDI - Acórdão TCU 2622/2013 - Composição (Construção e Manutenção de Estações e Redes de Distribuição de Energia Elétrica)</t>
        </is>
      </c>
      <c r="B49" t="inlineStr">
        <is>
          <t>AC - Administração Central (1ºQ / médio / 3ºQ)</t>
        </is>
      </c>
      <c r="C49" t="inlineStr">
        <is>
          <t>5,29% / 5,92% / 7,93%</t>
        </is>
      </c>
      <c r="D49" t="inlineStr">
        <is>
          <t>%</t>
        </is>
      </c>
      <c r="E49" s="2" t="inlineStr">
        <is>
          <t>https://www.editais.uff.br/sites/default/files/arquivos/Base%20BDI%20-%20Ac%C3%B3rd%C3%A3o-2622-2013.pdf</t>
        </is>
      </c>
      <c r="F49" t="inlineStr">
        <is>
          <t>2026-09-27</t>
        </is>
      </c>
      <c r="G49" t="inlineStr">
        <is>
          <t>pág. 2, item 9.2.1, tabela de componentes, linha 'CONSTRUÇÃO DE MANUTENÇÃO DE ESTAÇÕES E REDES DE DISTRIBUIÇÃO DE ENERGIA ELÉTRICA' (grafia com pequena inconsistência no próprio documento oficial: 'MANUNTEÇÃO'/'MANUTENÇÃO'), coluna 'ADMINISTRAÇÃO CENTRAL'</t>
        </is>
      </c>
      <c r="H49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 IMPORTANTE: este valor de AC (5,29/5,92/7,93%) é DIFERENTE do valor de AC para Edificações (3,00/4,00/5,50%) - cada tipo de obra tem sua própria composição no Acórdão, não deve ser usado um conjunto único de AC/Seguro+Garantia/Risco/DF/Lucro para todos os tipos de obra (correção em relação a uma versão anterior deste levantamento que usava apenas a composição de Edifícios como genérica).</t>
        </is>
      </c>
      <c r="I49" t="inlineStr">
        <is>
          <t>alta</t>
        </is>
      </c>
    </row>
    <row r="50">
      <c r="A50" t="inlineStr">
        <is>
          <t>BDI - Acórdão TCU 2622/2013 - Composição (Construção e Manutenção de Estações e Redes de Distribuição de Energia Elétrica)</t>
        </is>
      </c>
      <c r="B50" t="inlineStr">
        <is>
          <t>Seguro + Garantia (1ºQ / médio / 3ºQ)</t>
        </is>
      </c>
      <c r="C50" t="inlineStr">
        <is>
          <t>0,25% / 0,51% / 0,56%</t>
        </is>
      </c>
      <c r="D50" t="inlineStr">
        <is>
          <t>%</t>
        </is>
      </c>
      <c r="E50" s="2" t="inlineStr">
        <is>
          <t>https://www.editais.uff.br/sites/default/files/arquivos/Base%20BDI%20-%20Ac%C3%B3rd%C3%A3o-2622-2013.pdf</t>
        </is>
      </c>
      <c r="F50" t="inlineStr">
        <is>
          <t>2026-09-27</t>
        </is>
      </c>
      <c r="G50" t="inlineStr">
        <is>
          <t>pág. 2, mesma tabela, coluna 'SEGURO + GARANTIA'</t>
        </is>
      </c>
      <c r="H50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0" t="inlineStr">
        <is>
          <t>alta</t>
        </is>
      </c>
    </row>
    <row r="51">
      <c r="A51" t="inlineStr">
        <is>
          <t>BDI - Acórdão TCU 2622/2013 - Composição (Construção e Manutenção de Estações e Redes de Distribuição de Energia Elétrica)</t>
        </is>
      </c>
      <c r="B51" t="inlineStr">
        <is>
          <t>R - Risco (1ºQ / médio / 3ºQ)</t>
        </is>
      </c>
      <c r="C51" t="inlineStr">
        <is>
          <t>1,00% / 1,48% / 1,97%</t>
        </is>
      </c>
      <c r="D51" t="inlineStr">
        <is>
          <t>%</t>
        </is>
      </c>
      <c r="E51" s="2" t="inlineStr">
        <is>
          <t>https://www.editais.uff.br/sites/default/files/arquivos/Base%20BDI%20-%20Ac%C3%B3rd%C3%A3o-2622-2013.pdf</t>
        </is>
      </c>
      <c r="F51" t="inlineStr">
        <is>
          <t>2026-09-27</t>
        </is>
      </c>
      <c r="G51" t="inlineStr">
        <is>
          <t>pág. 2, mesma tabela, coluna 'RISCO'</t>
        </is>
      </c>
      <c r="H51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1" t="inlineStr">
        <is>
          <t>alta</t>
        </is>
      </c>
    </row>
    <row r="52">
      <c r="A52" t="inlineStr">
        <is>
          <t>BDI - Acórdão TCU 2622/2013 - Composição (Construção e Manutenção de Estações e Redes de Distribuição de Energia Elétrica)</t>
        </is>
      </c>
      <c r="B52" t="inlineStr">
        <is>
          <t>DF - Despesa Financeira (1ºQ / médio / 3ºQ)</t>
        </is>
      </c>
      <c r="C52" t="inlineStr">
        <is>
          <t>1,01% / 1,07% / 1,11%</t>
        </is>
      </c>
      <c r="D52" t="inlineStr">
        <is>
          <t>%</t>
        </is>
      </c>
      <c r="E52" s="2" t="inlineStr">
        <is>
          <t>https://www.editais.uff.br/sites/default/files/arquivos/Base%20BDI%20-%20Ac%C3%B3rd%C3%A3o-2622-2013.pdf</t>
        </is>
      </c>
      <c r="F52" t="inlineStr">
        <is>
          <t>2026-09-27</t>
        </is>
      </c>
      <c r="G52" t="inlineStr">
        <is>
          <t>pág. 2, tabela 'DESPESA FINANCEIRA / LUCRO'</t>
        </is>
      </c>
      <c r="H52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2" t="inlineStr">
        <is>
          <t>alta</t>
        </is>
      </c>
    </row>
    <row r="53">
      <c r="A53" t="inlineStr">
        <is>
          <t>BDI - Acórdão TCU 2622/2013 - Composição (Construção e Manutenção de Estações e Redes de Distribuição de Energia Elétrica)</t>
        </is>
      </c>
      <c r="B53" t="inlineStr">
        <is>
          <t>L - Lucro (1ºQ / médio / 3ºQ)</t>
        </is>
      </c>
      <c r="C53" t="inlineStr">
        <is>
          <t>8,00% / 8,31% / 9,51%</t>
        </is>
      </c>
      <c r="D53" t="inlineStr">
        <is>
          <t>%</t>
        </is>
      </c>
      <c r="E53" s="2" t="inlineStr">
        <is>
          <t>https://www.editais.uff.br/sites/default/files/arquivos/Base%20BDI%20-%20Ac%C3%B3rd%C3%A3o-2622-2013.pdf</t>
        </is>
      </c>
      <c r="F53" t="inlineStr">
        <is>
          <t>2026-09-27</t>
        </is>
      </c>
      <c r="G53" t="inlineStr">
        <is>
          <t>pág. 2, mesma tabela, colunas 'LUCRO'</t>
        </is>
      </c>
      <c r="H53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3" t="inlineStr">
        <is>
          <t>alta</t>
        </is>
      </c>
    </row>
    <row r="54">
      <c r="A54" t="inlineStr">
        <is>
          <t>BDI - Acórdão TCU 2622/2013</t>
        </is>
      </c>
      <c r="B54" t="inlineStr">
        <is>
          <t>T - Tributos (PIS+COFINS+ISS) - estimativa derivada, NÃO é uma tabela do próprio Acórdão</t>
        </is>
      </c>
      <c r="C54" t="inlineStr">
        <is>
          <t>5,65% / 6,65% / 8,65% (aproximado)</t>
        </is>
      </c>
      <c r="D54" t="inlineStr">
        <is>
          <t>%</t>
        </is>
      </c>
      <c r="E54" s="2" t="inlineStr">
        <is>
          <t>https://www.editais.uff.br/sites/default/files/arquivos/Base%20BDI%20-%20Ac%C3%B3rd%C3%A3o-2622-2013.pdf</t>
        </is>
      </c>
      <c r="F54" t="inlineStr">
        <is>
          <t>2026-09-27</t>
        </is>
      </c>
      <c r="G54" t="inlineStr">
        <is>
          <t>pág. 3, item 9.3.2.3 e 9.3.2.4 do Acórdão: orienta adotar 'percentual de ISS compatível com a legislação tributária do(s) município(s)... percentual proporcional entre o limite máximo de 5% (art. 8º, II, LC 116/2003) e o limite mínimo de 2% (art. 88 do ADCT)' e PIS/COFINS pela alíquota efetiva do regime de tributação da empresa</t>
        </is>
      </c>
      <c r="H54" t="inlineStr">
        <is>
          <t>O Acórdão NÃO fixa uma faixa numérica de 1º/3º quartil para o tributo T (ao contrário de AC/Seguro+Garantia/Risco/DF/Lucro, que têm tabela própria) - apenas orienta o método de cálculo (PIS 0,65% + COFINS 3,00%, regime cumulativo, mais ISS municipal entre 2% e 5%). A faixa 5,65/6,65/8,65% aqui é uma CONSTRUÇÃO NOSSA a partir dessa orientação (0,65+3,00=3,65% de PIS/COFINS + ISS de 2% a 5%), não um número extraído literalmente do Acórdão. Para Goiânia, com ISS de 5% (ver item de Tributos abaixo), o T seria 3,65%+5,00%=8,65% no regime cumulativo (lucro presumido) - o valor mais realista para prestadores de serviço de manutenção em Goiânia.</t>
        </is>
      </c>
      <c r="I54" t="inlineStr">
        <is>
          <t>média</t>
        </is>
      </c>
    </row>
    <row r="55">
      <c r="A55" t="inlineStr">
        <is>
          <t>Tributos</t>
        </is>
      </c>
      <c r="B55" t="inlineStr">
        <is>
          <t>ISS Goiânia - alíquota geral para serviços prestados por empresas (inclui manutenção/instalação, itens 7.05 e 14.06 da lista de serviços)</t>
        </is>
      </c>
      <c r="C55" t="n">
        <v>5</v>
      </c>
      <c r="D55" t="inlineStr">
        <is>
          <t>%</t>
        </is>
      </c>
      <c r="E55" s="2" t="inlineStr">
        <is>
          <t>https://www.goiania.go.gov.br/download/financas/novoctm.pdf</t>
        </is>
      </c>
      <c r="F55" t="inlineStr">
        <is>
          <t>2026-09-27</t>
        </is>
      </c>
      <c r="G55" t="inlineStr">
        <is>
          <t>pág. 37-38 (numeração do PDF), Art. 71, IV do Código Tributário Municipal de Goiânia (regulamentado pela Lei Complementar nº 344/2021): 'Demais atividades exercidas na forma de empresas... 5% (cinco por cento)'</t>
        </is>
      </c>
      <c r="H55" t="inlineStr">
        <is>
          <t>Confirmado por leitura direta do PDF oficial da Prefeitura de Goiânia. Os itens 7.05 (reparação/conservação de edifícios) e 14.06 (instalação/montagem de aparelhos/máquinas/equipamentos) da lista de serviços municipal não têm alíquota diferenciada prevista (as reduções de 2% e 3,5% do art. 71 são específicas para transporte coletivo urbano e serviços de saúde, respectivamente).</t>
        </is>
      </c>
      <c r="I55" t="inlineStr">
        <is>
          <t>alta</t>
        </is>
      </c>
    </row>
    <row r="56">
      <c r="A56" t="inlineStr">
        <is>
          <t>Tributos</t>
        </is>
      </c>
      <c r="B56" t="inlineStr">
        <is>
          <t>Simples Nacional - enquadramento de serviços de manutenção/instalação elétrica e de refrigeração em imóveis prontos (fora de obra de engenharia)</t>
        </is>
      </c>
      <c r="C56" t="inlineStr">
        <is>
          <t>Anexo III (alíquota efetiva 6% a 33% conforme RBT12 e fator 'r')</t>
        </is>
      </c>
      <c r="D56" t="inlineStr">
        <is>
          <t>-</t>
        </is>
      </c>
      <c r="E56" s="2" t="inlineStr">
        <is>
          <t>https://www.marciobalduchi.com.br/diversos-servicos-de-instalacao-e-manutencao-tributados-no-anexo-iii-do-simples-nacional/</t>
        </is>
      </c>
      <c r="F56" t="inlineStr">
        <is>
          <t>2026-09-27</t>
        </is>
      </c>
      <c r="G56" t="inlineStr">
        <is>
          <t>Artigo: 'diversos serviços de instalação e manutenção (elétrica, ar condicionado, ventilação, refrigeração, prevenção contra incêndio) são tributados no Anexo III da LC 123/2006'</t>
        </is>
      </c>
      <c r="H56" t="inlineStr">
        <is>
          <t>NÃO acessamos diretamente a Resolução CGSN/LC 123 nesta sessão (fonte é artigo jurídico especializado, consistente com o texto legal amplamente conhecido). Ponto de atenção: se a manutenção for prestada como parte de contrato de OBRA de engenharia (ex.: reforma predial completa), a tributação migra para o Anexo IV; se houver cessão de mão de obra, a empresa fica sujeita a exclusão do Simples Nacional.</t>
        </is>
      </c>
      <c r="I56" t="inlineStr">
        <is>
          <t>média</t>
        </is>
      </c>
    </row>
    <row r="57">
      <c r="A57" t="inlineStr">
        <is>
          <t>Materiais - Climatização</t>
        </is>
      </c>
      <c r="B57" t="inlineStr">
        <is>
          <t>Gás refrigerante R410A - botija 11,35kg (loja 1: Multifrio Shop)</t>
        </is>
      </c>
      <c r="C57" t="n">
        <v>961.28</v>
      </c>
      <c r="D57" t="inlineStr">
        <is>
          <t>R$/botija</t>
        </is>
      </c>
      <c r="E57" s="2" t="inlineStr">
        <is>
          <t>https://www.multifrioshop.com/fluidos-refrigerantes/gas-r410a-botija-11-35kg-r410-410a-refrigerante</t>
        </is>
      </c>
      <c r="F57" t="inlineStr">
        <is>
          <t>2026-09-27</t>
        </is>
      </c>
      <c r="G57" t="inlineStr">
        <is>
          <t>campo 'price' da página do produto (preço tabela); preço à vista/Pix indicado na página: R$865,15</t>
        </is>
      </c>
      <c r="H57" t="inlineStr">
        <is>
          <t>Confirmado por leitura direta da página.</t>
        </is>
      </c>
      <c r="I57" t="inlineStr">
        <is>
          <t>alta</t>
        </is>
      </c>
    </row>
    <row r="58">
      <c r="A58" t="inlineStr">
        <is>
          <t>Materiais - Climatização</t>
        </is>
      </c>
      <c r="B58" t="inlineStr">
        <is>
          <t>Gás refrigerante R410A - botija 11,35kg (loja 2: Frigelar, referência de busca)</t>
        </is>
      </c>
      <c r="C58" t="n">
        <v>890</v>
      </c>
      <c r="D58" t="inlineStr">
        <is>
          <t>R$/botija</t>
        </is>
      </c>
      <c r="E58" s="2" t="inlineStr">
        <is>
          <t>https://www.frigelar.com.br/gas-refrigerante-r410a-eos-cilindro-de-1134kg/p/kit5357</t>
        </is>
      </c>
      <c r="F58" t="inlineStr">
        <is>
          <t>2026-09-27</t>
        </is>
      </c>
      <c r="G58" t="inlineStr">
        <is>
          <t>não fetchado diretamente (timeout/erro HTTP2 na sessão); valor obtido via resultado de busca datado desta sessão ('R$ 890,00 no PIX, 7% desconto')</t>
        </is>
      </c>
      <c r="H58" t="inlineStr">
        <is>
          <t>Confiabilidade menor por não termos aberto a página diretamente.</t>
        </is>
      </c>
      <c r="I58" t="inlineStr">
        <is>
          <t>média</t>
        </is>
      </c>
    </row>
    <row r="59">
      <c r="A59" t="inlineStr">
        <is>
          <t>Materiais - Climatização</t>
        </is>
      </c>
      <c r="B59" t="inlineStr">
        <is>
          <t>Gás refrigerante R410A - botija 11,35/11,3kg (loja 3: RL Refrigeração, referência de busca)</t>
        </is>
      </c>
      <c r="D59" t="inlineStr">
        <is>
          <t>R$/botija</t>
        </is>
      </c>
      <c r="E59" s="2" t="inlineStr">
        <is>
          <t>https://www.rlrefrigeracao.com.br/produto/botija-gas-r410a-113kg.html</t>
        </is>
      </c>
      <c r="F59" t="inlineStr">
        <is>
          <t>2026-09-27</t>
        </is>
      </c>
      <c r="G59" t="inlineStr">
        <is>
          <t>página retornou HTTP 403 (bloqueio anti-bot) nesta sessão; não foi possível confirmar preço</t>
        </is>
      </c>
      <c r="H59" t="inlineStr">
        <is>
          <t>não encontrado (bloqueio de acesso)</t>
        </is>
      </c>
      <c r="I59" t="inlineStr">
        <is>
          <t>baixa</t>
        </is>
      </c>
    </row>
    <row r="60">
      <c r="A60" t="inlineStr">
        <is>
          <t>Materiais - Climatização</t>
        </is>
      </c>
      <c r="B60" t="inlineStr">
        <is>
          <t>Gás refrigerante R410A - botija ~11,35kg - MEDIANA das fontes acessadas</t>
        </is>
      </c>
      <c r="C60" t="n">
        <v>925.64</v>
      </c>
      <c r="D60" t="inlineStr">
        <is>
          <t>R$/botija</t>
        </is>
      </c>
      <c r="E60" s="2" t="inlineStr">
        <is>
          <t>ver 2 itens acima (Multifrio R$961,28 tabela / R$865,15 Pix; Frigelar ~R$890 Pix)</t>
        </is>
      </c>
      <c r="F60" t="inlineStr">
        <is>
          <t>2026-09-27</t>
        </is>
      </c>
      <c r="G60" t="inlineStr">
        <is>
          <t>mediana simples entre R$961,28 e R$890,00</t>
        </is>
      </c>
      <c r="H60" t="inlineStr">
        <is>
          <t>Mediana de apenas 2 pontos por limitação de acesso a mais lojas nesta sessão.</t>
        </is>
      </c>
      <c r="I60" t="inlineStr">
        <is>
          <t>média</t>
        </is>
      </c>
    </row>
    <row r="61">
      <c r="A61" t="inlineStr">
        <is>
          <t>Materiais - Climatização</t>
        </is>
      </c>
      <c r="B61" t="inlineStr">
        <is>
          <t>Gás refrigerante R22 - botija 13,6kg (loja 1: Multifrio Shop)</t>
        </is>
      </c>
      <c r="C61" t="n">
        <v>1095.72</v>
      </c>
      <c r="D61" t="inlineStr">
        <is>
          <t>R$/botija</t>
        </is>
      </c>
      <c r="E61" s="2" t="inlineStr">
        <is>
          <t>https://www.multifrioshop.com/fluidos-refrigerantes/gas-r22-refrigerante-original-botija-13-6kg-generico</t>
        </is>
      </c>
      <c r="F61" t="inlineStr">
        <is>
          <t>2026-09-27</t>
        </is>
      </c>
      <c r="G61" t="inlineStr">
        <is>
          <t>campo 'price' da página (preço tabela); preço à vista/Pix: R$986,15</t>
        </is>
      </c>
      <c r="H61" t="inlineStr">
        <is>
          <t>Confirmado por leitura direta.</t>
        </is>
      </c>
      <c r="I61" t="inlineStr">
        <is>
          <t>alta</t>
        </is>
      </c>
    </row>
    <row r="62">
      <c r="A62" t="inlineStr">
        <is>
          <t>Materiais - Climatização</t>
        </is>
      </c>
      <c r="B62" t="inlineStr">
        <is>
          <t>Gás refrigerante R22 - botija 13,6kg (loja 2: Refricenter)</t>
        </is>
      </c>
      <c r="C62" t="n">
        <v>866.62</v>
      </c>
      <c r="D62" t="inlineStr">
        <is>
          <t>R$/botija</t>
        </is>
      </c>
      <c r="E62" s="2" t="inlineStr">
        <is>
          <t>https://www.refricenter.com.br/linha-da-gases/fluido-refrigerante-ou-gas-eos-r22-cilindro-13-62-kg</t>
        </is>
      </c>
      <c r="F62" t="inlineStr">
        <is>
          <t>2026-09-27</t>
        </is>
      </c>
      <c r="G62" t="inlineStr">
        <is>
          <t>campo 'price' da página</t>
        </is>
      </c>
      <c r="H62" t="inlineStr">
        <is>
          <t>Confirmado por leitura direta.</t>
        </is>
      </c>
      <c r="I62" t="inlineStr">
        <is>
          <t>alta</t>
        </is>
      </c>
    </row>
    <row r="63">
      <c r="A63" t="inlineStr">
        <is>
          <t>Materiais - Climatização</t>
        </is>
      </c>
      <c r="B63" t="inlineStr">
        <is>
          <t>Gás refrigerante R22 - botija 13,6kg (loja 3: RL Refrigeração, referência de busca)</t>
        </is>
      </c>
      <c r="C63" t="n">
        <v>1013.58</v>
      </c>
      <c r="D63" t="inlineStr">
        <is>
          <t>R$/botija</t>
        </is>
      </c>
      <c r="E63" s="2" t="inlineStr">
        <is>
          <t>https://www.rlrefrigeracao.com.br/produto/gas-r22-cilindro-botija-136kg.html</t>
        </is>
      </c>
      <c r="F63" t="inlineStr">
        <is>
          <t>2026-09-27</t>
        </is>
      </c>
      <c r="G63" t="inlineStr">
        <is>
          <t>valor obtido via resultado de busca ('R$1.013,58, ou R$962,90 via Pix'); página retornou 403 ao fetch direto</t>
        </is>
      </c>
      <c r="H63" t="inlineStr">
        <is>
          <t>confiabilidade menor por não termos aberto a página diretamente.</t>
        </is>
      </c>
      <c r="I63" t="inlineStr">
        <is>
          <t>média</t>
        </is>
      </c>
    </row>
    <row r="64">
      <c r="A64" t="inlineStr">
        <is>
          <t>Materiais - Climatização</t>
        </is>
      </c>
      <c r="B64" t="inlineStr">
        <is>
          <t>Gás refrigerante R22 - botija 13,6kg - MEDIANA das 3 fontes</t>
        </is>
      </c>
      <c r="C64" t="n">
        <v>1013.58</v>
      </c>
      <c r="D64" t="inlineStr">
        <is>
          <t>R$/botija</t>
        </is>
      </c>
      <c r="E64" s="2" t="inlineStr">
        <is>
          <t>ver 3 itens acima</t>
        </is>
      </c>
      <c r="F64" t="inlineStr">
        <is>
          <t>2026-09-27</t>
        </is>
      </c>
      <c r="G64" t="inlineStr">
        <is>
          <t>mediana de R$866,62 / R$1.013,58 / R$1.095,72</t>
        </is>
      </c>
      <c r="H64" t="inlineStr"/>
      <c r="I64" t="inlineStr">
        <is>
          <t>alta</t>
        </is>
      </c>
    </row>
    <row r="65">
      <c r="A65" t="inlineStr">
        <is>
          <t>Materiais - Climatização</t>
        </is>
      </c>
      <c r="B65" t="inlineStr">
        <is>
          <t>Tubo de cobre 1/4" - preço por metro (loja: Eletro ABC)</t>
        </is>
      </c>
      <c r="C65" t="n">
        <v>14.8</v>
      </c>
      <c r="D65" t="inlineStr">
        <is>
          <t>R$/metro</t>
        </is>
      </c>
      <c r="E65" s="2" t="inlineStr">
        <is>
          <t>https://www.eletroarbc.com.br/produtos/tubo-de-cobre-1-4-para-ar-condicionado-preco-de-1-metro/</t>
        </is>
      </c>
      <c r="F65" t="inlineStr">
        <is>
          <t>2026-09-27</t>
        </is>
      </c>
      <c r="G65" t="inlineStr">
        <is>
          <t>preço 'R$14,80' repetido nas variações do produto na página</t>
        </is>
      </c>
      <c r="H65" t="inlineStr">
        <is>
          <t>Confirmado por leitura direta.</t>
        </is>
      </c>
      <c r="I65" t="inlineStr">
        <is>
          <t>alta</t>
        </is>
      </c>
    </row>
    <row r="66">
      <c r="A66" t="inlineStr">
        <is>
          <t>Materiais - Climatização</t>
        </is>
      </c>
      <c r="B66" t="inlineStr">
        <is>
          <t>Tubo de cobre 3/8" - preço por metro</t>
        </is>
      </c>
      <c r="D66" t="inlineStr">
        <is>
          <t>R$/metro</t>
        </is>
      </c>
      <c r="E66" s="2" t="inlineStr">
        <is>
          <t>-</t>
        </is>
      </c>
      <c r="F66" t="inlineStr">
        <is>
          <t>2026-09-27</t>
        </is>
      </c>
      <c r="G66" t="inlineStr">
        <is>
          <t>não encontrado com confirmação direta nesta sessão (páginas de hiperfrio.com.br e centraleletrorefrigeracao.com.br retornaram HTTP 403)</t>
        </is>
      </c>
      <c r="H66" t="inlineStr">
        <is>
          <t>ESTIMATIVA: tubos de cobre para refrigeração seguem aproximadamente a proporção de peso/massa linear entre bitolas; o 3/8" costuma custar de 1,6 a 2,0x o preço do 1/4" no varejo especializado. Aplicando essa razão sobre o valor confirmado de R$14,80/m (1/4"): estimativa de R$24 a R$30/metro. Confirmar com fornecedor local antes de orçar.</t>
        </is>
      </c>
      <c r="I66" t="inlineStr">
        <is>
          <t>baixa</t>
        </is>
      </c>
    </row>
    <row r="67">
      <c r="A67" t="inlineStr">
        <is>
          <t>Materiais - Climatização</t>
        </is>
      </c>
      <c r="B67" t="inlineStr">
        <is>
          <t>Capacitor de partida/permanente para ar-condicionado/compressor (faixa de mercado)</t>
        </is>
      </c>
      <c r="C67" t="inlineStr">
        <is>
          <t>22 a 45 (variação conforme µF e voltagem)</t>
        </is>
      </c>
      <c r="D67" t="inlineStr">
        <is>
          <t>R$/unidade</t>
        </is>
      </c>
      <c r="E67" s="2" t="inlineStr">
        <is>
          <t>https://www.tudoar.com.br/quanto-custa-um-capacitor-de-ar-condicionado ; https://www.friopecas.com.br/pecas-e-servicos/pecas-ar-condicionado/capacitores</t>
        </is>
      </c>
      <c r="F67" t="inlineStr">
        <is>
          <t>2026-09-27</t>
        </is>
      </c>
      <c r="G67" t="inlineStr">
        <is>
          <t>tudoar.com.br: 'em 2025, os preços variam de R$22 a R$42'; friopecas.com.br: preços de catálogo entre R$11,04 e R$39,57 (capacitores diversos, campo 'price' de vários SKUs na página)</t>
        </is>
      </c>
      <c r="H67" t="inlineStr">
        <is>
          <t>Faixa ampla por variar muito com capacitância (µF) e tensão (250V/370V/440V). Não foi possível isolar um único SKU 'padrão de mercado' (ex.: 35+5µF 440V) com preço único confiável nesta sessão.</t>
        </is>
      </c>
      <c r="I67" t="inlineStr">
        <is>
          <t>média</t>
        </is>
      </c>
    </row>
    <row r="68">
      <c r="A68" t="inlineStr">
        <is>
          <t>Materiais - Climatização</t>
        </is>
      </c>
      <c r="B68" t="inlineStr">
        <is>
          <t>Termostato para geladeira/freezer (faixa de mercado, loja: Casa Eletropeças)</t>
        </is>
      </c>
      <c r="C68" t="inlineStr">
        <is>
          <t>38,98 a 86,98 (conforme marca/modelo)</t>
        </is>
      </c>
      <c r="D68" t="inlineStr">
        <is>
          <t>R$/unidade</t>
        </is>
      </c>
      <c r="E68" s="2" t="inlineStr">
        <is>
          <t>https://www.casaeletropecas.com.br/pecas-geladeira/termostato</t>
        </is>
      </c>
      <c r="F68" t="inlineStr">
        <is>
          <t>2026-09-27</t>
        </is>
      </c>
      <c r="G68" t="inlineStr">
        <is>
          <t>preços R$38,98 / R$54,98 / R$70,98 / R$86,98 encontrados na listagem de produtos da página</t>
        </is>
      </c>
      <c r="H68" t="inlineStr">
        <is>
          <t>Confirmado por leitura direta; valor típico de entrada ~R$39-55.</t>
        </is>
      </c>
      <c r="I68" t="inlineStr">
        <is>
          <t>alta</t>
        </is>
      </c>
    </row>
    <row r="69">
      <c r="A69" t="inlineStr">
        <is>
          <t>Materiais - Climatização</t>
        </is>
      </c>
      <c r="B69" t="inlineStr">
        <is>
          <t>Compressor hermético pequeno (ref. 1/4+HP, R134a, para geladeira/freezer doméstico)</t>
        </is>
      </c>
      <c r="C69" t="n">
        <v>393.25</v>
      </c>
      <c r="D69" t="inlineStr">
        <is>
          <t>R$/unidade</t>
        </is>
      </c>
      <c r="E69" s="2" t="inlineStr">
        <is>
          <t>https://www.eletrofrigor.com.br/produto/compressor-1-4-hp-r134a-220v-1f-reciproco-hermetico-embraco-emr80hlr-6975</t>
        </is>
      </c>
      <c r="F69" t="inlineStr">
        <is>
          <t>2026-09-27</t>
        </is>
      </c>
      <c r="G69" t="inlineStr">
        <is>
          <t>valor obtido via resultado de busca ('Embraco EMR80HLR 1/4+HP a R$393,25 à vista/Pix, 3% desconto'); página retornou 404 ao fetch direto nesta sessão (produto pode ter mudado de URL)</t>
        </is>
      </c>
      <c r="H69" t="inlineStr">
        <is>
          <t>Confiabilidade menor por não termos confirmado com fetch direto da página do produto.</t>
        </is>
      </c>
      <c r="I69" t="inlineStr">
        <is>
          <t>média</t>
        </is>
      </c>
    </row>
    <row r="70">
      <c r="A70" t="inlineStr">
        <is>
          <t>Materiais - Climatização</t>
        </is>
      </c>
      <c r="B70" t="inlineStr">
        <is>
          <t>Gás refrigerante R134a - botija 13,6/13kg (loja: Geofrio)</t>
        </is>
      </c>
      <c r="C70" t="n">
        <v>947.35</v>
      </c>
      <c r="D70" t="inlineStr">
        <is>
          <t>R$/botija</t>
        </is>
      </c>
      <c r="E70" s="2" t="inlineStr">
        <is>
          <t>https://geofrio.com.br/produtos/gas-refrigerante-r134-ar-condicionado-automotivo-botija-13kg/</t>
        </is>
      </c>
      <c r="F70" t="inlineStr">
        <is>
          <t>2026-09-27</t>
        </is>
      </c>
      <c r="G70" t="inlineStr">
        <is>
          <t>campo 'price' da página (preço tabela); preço promocional na página: R$899,98</t>
        </is>
      </c>
      <c r="H70" t="inlineStr">
        <is>
          <t>Confirmado por leitura direta. Nota: este produto específico é rotulado para uso automotivo, mas o gás R134a é o mesmo utilizado em refrigeração comercial/doméstica de pequeno porte.</t>
        </is>
      </c>
      <c r="I70" t="inlineStr">
        <is>
          <t>alta</t>
        </is>
      </c>
    </row>
    <row r="71">
      <c r="A71" t="inlineStr">
        <is>
          <t>Materiais - Climatização</t>
        </is>
      </c>
      <c r="B71" t="inlineStr">
        <is>
          <t>Gás refrigerante R134a - botija 13,6kg (loja 2: DSfrio, referência de busca)</t>
        </is>
      </c>
      <c r="C71" t="n">
        <v>980</v>
      </c>
      <c r="D71" t="inlineStr">
        <is>
          <t>R$/botija</t>
        </is>
      </c>
      <c r="E71" s="2" t="inlineStr">
        <is>
          <t>https://www.dsfrio.com.br/gas-refrigerante-r134a-botija-cilindro-de-136kg</t>
        </is>
      </c>
      <c r="F71" t="inlineStr">
        <is>
          <t>2026-09-27</t>
        </is>
      </c>
      <c r="G71" t="inlineStr">
        <is>
          <t>valor obtido via resultado de busca ('R$980,00 com desconto, de R$1.080,00; R$931,00 via Pix')</t>
        </is>
      </c>
      <c r="H71" t="inlineStr">
        <is>
          <t>confiabilidade menor por não termos aberto a página diretamente (bloqueio 403 ao fetch).</t>
        </is>
      </c>
      <c r="I71" t="inlineStr">
        <is>
          <t>média</t>
        </is>
      </c>
    </row>
    <row r="72">
      <c r="A72" t="inlineStr">
        <is>
          <t>Materiais - Climatização</t>
        </is>
      </c>
      <c r="B72" t="inlineStr">
        <is>
          <t>Gás refrigerante R404A - botija 10,9kg (loja: Eletrofrigor, referência de busca)</t>
        </is>
      </c>
      <c r="C72" t="n">
        <v>725.55</v>
      </c>
      <c r="D72" t="inlineStr">
        <is>
          <t>R$/botija</t>
        </is>
      </c>
      <c r="E72" s="2" t="inlineStr">
        <is>
          <t>https://www.eletrofrigor.com.br/produto/gas-fluido-refrigerante-r404a-botija-10-9kg-friven-1712</t>
        </is>
      </c>
      <c r="F72" t="inlineStr">
        <is>
          <t>2026-09-27</t>
        </is>
      </c>
      <c r="G72" t="inlineStr">
        <is>
          <t>valor obtido via resultado de busca ('Friven R404A 10,9kg R$725,55 com 3% desconto Pix'); página retornou HTTP 404 ao fetch direto nesta sessão</t>
        </is>
      </c>
      <c r="H72" t="inlineStr">
        <is>
          <t>confiabilidade menor por não termos confirmado com fetch direto.</t>
        </is>
      </c>
      <c r="I72" t="inlineStr">
        <is>
          <t>média</t>
        </is>
      </c>
    </row>
    <row r="73">
      <c r="A73" t="inlineStr">
        <is>
          <t>Materiais - Climatização</t>
        </is>
      </c>
      <c r="B73" t="inlineStr">
        <is>
          <t>Gás refrigerante R404A - botija 10,9kg (loja 2: Loja Mincarone/Genetron, referência de busca)</t>
        </is>
      </c>
      <c r="C73" t="n">
        <v>949.5</v>
      </c>
      <c r="D73" t="inlineStr">
        <is>
          <t>R$/botija</t>
        </is>
      </c>
      <c r="E73" s="2" t="inlineStr">
        <is>
          <t>https://www.lojamincarone.com.br/MLB-3206717017-botija-de-gas-fluido-refrigerante-r404a-genetron-10896kg-_JM</t>
        </is>
      </c>
      <c r="F73" t="inlineStr">
        <is>
          <t>2026-09-27</t>
        </is>
      </c>
      <c r="G73" t="inlineStr">
        <is>
          <t>valor obtido via resultado de busca; página não pôde ser fetchada nesta sessão (erro de certificado SSL)</t>
        </is>
      </c>
      <c r="H73" t="inlineStr">
        <is>
          <t>confiabilidade menor.</t>
        </is>
      </c>
      <c r="I73" t="inlineStr">
        <is>
          <t>média</t>
        </is>
      </c>
    </row>
    <row r="74">
      <c r="A74" t="inlineStr">
        <is>
          <t>Materiais - Climatização</t>
        </is>
      </c>
      <c r="B74" t="inlineStr">
        <is>
          <t>Kit de limpeza bactericida/limpa-serpentina para ar-condicionado (1L)</t>
        </is>
      </c>
      <c r="C74" t="n">
        <v>19.9</v>
      </c>
      <c r="D74" t="inlineStr">
        <is>
          <t>R$/unidade</t>
        </is>
      </c>
      <c r="E74" s="2" t="inlineStr">
        <is>
          <t>https://www.refritron.com.br/material-de-instalacao-e-manutencao/produtos-de-limpeza-e-higienizacao</t>
        </is>
      </c>
      <c r="F74" t="inlineStr">
        <is>
          <t>2026-09-27</t>
        </is>
      </c>
      <c r="G74" t="inlineStr">
        <is>
          <t>valor obtido via resultado de busca ('Refritron: bactericida higienizador 1L a partir de R$19,90')</t>
        </is>
      </c>
      <c r="H74" t="inlineStr">
        <is>
          <t>Referência de entrada de linha; kits mais completos (com espuma + bactericida + pastilha) tendem a custar mais (não quantificado nesta sessão). Página não fetchada diretamente.</t>
        </is>
      </c>
      <c r="I74" t="inlineStr">
        <is>
          <t>baixa</t>
        </is>
      </c>
    </row>
    <row r="75">
      <c r="A75" t="inlineStr">
        <is>
          <t>Materiais - Climatização</t>
        </is>
      </c>
      <c r="B75" t="inlineStr">
        <is>
          <t>Isolamento térmico tubular (tubo/calha para tubulação de cobre)</t>
        </is>
      </c>
      <c r="D75" t="inlineStr">
        <is>
          <t>R$/metro</t>
        </is>
      </c>
      <c r="E75" s="2" t="inlineStr">
        <is>
          <t>-</t>
        </is>
      </c>
      <c r="F75" t="inlineStr">
        <is>
          <t>2026-09-27</t>
        </is>
      </c>
      <c r="G75" t="inlineStr">
        <is>
          <t>não encontrado nesta sessão</t>
        </is>
      </c>
      <c r="H75" t="inlineStr">
        <is>
          <t>ESTIMATIVA sem fonte de mercado consultada: faixa usual de mercado para isolamento elastomérico 1/4"-3/8" fica entre R$3 e R$8/metro. Recomenda-se cotação direta antes de orçar.</t>
        </is>
      </c>
      <c r="I75" t="inlineStr">
        <is>
          <t>baixa</t>
        </is>
      </c>
    </row>
    <row r="76">
      <c r="A76" t="inlineStr">
        <is>
          <t>Materiais - Climatização</t>
        </is>
      </c>
      <c r="B76" t="inlineStr">
        <is>
          <t>Suporte/base para unidade condensadora (split)</t>
        </is>
      </c>
      <c r="D76" t="inlineStr">
        <is>
          <t>R$/unidade</t>
        </is>
      </c>
      <c r="E76" s="2" t="inlineStr">
        <is>
          <t>-</t>
        </is>
      </c>
      <c r="F76" t="inlineStr">
        <is>
          <t>2026-09-27</t>
        </is>
      </c>
      <c r="G76" t="inlineStr">
        <is>
          <t>não encontrado nesta sessão</t>
        </is>
      </c>
      <c r="H76" t="inlineStr">
        <is>
          <t>ESTIMATIVA sem fonte de mercado consultada: suportes de parede em L para condensadoras pequenas/médias costumam variar entre R$60 e R$150 conforme capacidade de carga. Recomenda-se cotação direta.</t>
        </is>
      </c>
      <c r="I76" t="inlineStr">
        <is>
          <t>baixa</t>
        </is>
      </c>
    </row>
    <row r="77">
      <c r="A77" t="inlineStr">
        <is>
          <t>Materiais - Climatização</t>
        </is>
      </c>
      <c r="B77" t="inlineStr">
        <is>
          <t>Filtro (ar-condicionado/refrigeração)</t>
        </is>
      </c>
      <c r="D77" t="inlineStr">
        <is>
          <t>R$/unidade</t>
        </is>
      </c>
      <c r="E77" s="2" t="inlineStr">
        <is>
          <t>-</t>
        </is>
      </c>
      <c r="F77" t="inlineStr">
        <is>
          <t>2026-09-27</t>
        </is>
      </c>
      <c r="G77" t="inlineStr">
        <is>
          <t>não encontrado com item específico nesta sessão</t>
        </is>
      </c>
      <c r="H77" t="inlineStr">
        <is>
          <t>ESTIMATIVA sem fonte de mercado consultada: filtros secadores de linha de líquido para pequenos sistemas costumam variar entre R$15 e R$60 conforme diâmetro/capacidade. Recomenda-se cotação direta.</t>
        </is>
      </c>
      <c r="I77" t="inlineStr">
        <is>
          <t>baixa</t>
        </is>
      </c>
    </row>
    <row r="78">
      <c r="A78" t="inlineStr">
        <is>
          <t>Materiais - Iluminação pública</t>
        </is>
      </c>
      <c r="B78" t="inlineStr">
        <is>
          <t>Reator para vapor de sódio 70W, externo, galvanizado (fabricante: Demape)</t>
        </is>
      </c>
      <c r="C78" t="n">
        <v>70.8</v>
      </c>
      <c r="D78" t="inlineStr">
        <is>
          <t>R$/unidade</t>
        </is>
      </c>
      <c r="E78" s="2" t="inlineStr">
        <is>
          <t>https://demape.com.br/produto/reator-vapor-de-sodio-70w-externo-galvanizado/</t>
        </is>
      </c>
      <c r="F78" t="inlineStr">
        <is>
          <t>2026-09-27</t>
        </is>
      </c>
      <c r="G78" t="inlineStr">
        <is>
          <t>preço exibido na página do produto</t>
        </is>
      </c>
      <c r="H78" t="inlineStr">
        <is>
          <t>Confirmado por leitura direta (fabricante nacional).</t>
        </is>
      </c>
      <c r="I78" t="inlineStr">
        <is>
          <t>alta</t>
        </is>
      </c>
    </row>
    <row r="79">
      <c r="A79" t="inlineStr">
        <is>
          <t>Materiais - Iluminação pública</t>
        </is>
      </c>
      <c r="B79" t="inlineStr">
        <is>
          <t>Reator para vapor de sódio 150W, externo, galvanizado (fabricante: Demape)</t>
        </is>
      </c>
      <c r="C79" t="n">
        <v>91.91</v>
      </c>
      <c r="D79" t="inlineStr">
        <is>
          <t>R$/unidade</t>
        </is>
      </c>
      <c r="E79" s="2" t="inlineStr">
        <is>
          <t>https://demape.com.br/produto/reator-vapor-de-sodio-150w-externo-galvanizado-ence/</t>
        </is>
      </c>
      <c r="F79" t="inlineStr">
        <is>
          <t>2026-09-27</t>
        </is>
      </c>
      <c r="G79" t="inlineStr">
        <is>
          <t>preço exibido na página do produto</t>
        </is>
      </c>
      <c r="H79" t="inlineStr">
        <is>
          <t>Confirmado por leitura direta.</t>
        </is>
      </c>
      <c r="I79" t="inlineStr">
        <is>
          <t>alta</t>
        </is>
      </c>
    </row>
    <row r="80">
      <c r="A80" t="inlineStr">
        <is>
          <t>Materiais - Iluminação pública</t>
        </is>
      </c>
      <c r="B80" t="inlineStr">
        <is>
          <t>Reator para vapor de sódio 70W (loja 2: VLP Comercial, referência de busca)</t>
        </is>
      </c>
      <c r="C80" t="n">
        <v>36.8</v>
      </c>
      <c r="D80" t="inlineStr">
        <is>
          <t>R$/unidade</t>
        </is>
      </c>
      <c r="E80" s="2" t="inlineStr">
        <is>
          <t>https://www.vlpcomercial.com.br/iluminacao/reatores/eletromagnetico/para-lampada-sodio.html</t>
        </is>
      </c>
      <c r="F80" t="inlineStr">
        <is>
          <t>2026-09-27</t>
        </is>
      </c>
      <c r="G80" t="inlineStr">
        <is>
          <t>valor obtido via resultado de busca</t>
        </is>
      </c>
      <c r="H80" t="inlineStr">
        <is>
          <t>confiabilidade menor por não termos aberto a página diretamente.</t>
        </is>
      </c>
      <c r="I80" t="inlineStr">
        <is>
          <t>baixa</t>
        </is>
      </c>
    </row>
    <row r="81">
      <c r="A81" t="inlineStr">
        <is>
          <t>Materiais - Iluminação pública</t>
        </is>
      </c>
      <c r="B81" t="inlineStr">
        <is>
          <t>Lâmpada vapor de sódio 70W/150W tubular ou ovóide E27/E40 (faixa de mercado)</t>
        </is>
      </c>
      <c r="C81" t="inlineStr">
        <is>
          <t>24 a 59 (conforme potência)</t>
        </is>
      </c>
      <c r="D81" t="inlineStr">
        <is>
          <t>R$/unidade</t>
        </is>
      </c>
      <c r="E81" s="2" t="inlineStr">
        <is>
          <t>https://www.ourolux.com.br/produtos/iluminac-o/lampadas-de-descarga/vapor-de-sodio.html</t>
        </is>
      </c>
      <c r="F81" t="inlineStr">
        <is>
          <t>2026-09-27</t>
        </is>
      </c>
      <c r="G81" t="inlineStr">
        <is>
          <t>resultado de busca: 'preços a partir de aproximadamente R$24,00 a R$58,88 para diferentes wattagens (70W, 150W, 250W, 400W, 600W, 1000W)'</t>
        </is>
      </c>
      <c r="H81" t="inlineStr">
        <is>
          <t>Página não fetchada diretamente; faixa ampla e não específica só para 70/150W.</t>
        </is>
      </c>
      <c r="I81" t="inlineStr">
        <is>
          <t>baixa</t>
        </is>
      </c>
    </row>
    <row r="82">
      <c r="A82" t="inlineStr">
        <is>
          <t>Materiais - Iluminação pública</t>
        </is>
      </c>
      <c r="B82" t="inlineStr">
        <is>
          <t>Relé fotoelétrico/fotocélula para iluminação pública (faixa de mercado)</t>
        </is>
      </c>
      <c r="C82" t="inlineStr">
        <is>
          <t>17,55 a 188,48 (grande variação conforme modelo/marca)</t>
        </is>
      </c>
      <c r="D82" t="inlineStr">
        <is>
          <t>R$/unidade</t>
        </is>
      </c>
      <c r="E82" s="2" t="inlineStr">
        <is>
          <t>https://lista.mercadolivre.com.br/rele-fotocelula-para-iluminacao-publica</t>
        </is>
      </c>
      <c r="F82" t="inlineStr">
        <is>
          <t>2026-09-27</t>
        </is>
      </c>
      <c r="G82" t="inlineStr">
        <is>
          <t>resultado de busca consolidando ofertas de Mercado Livre (marcas Qualitronix, Exatron, MarGirius, Techna, Proeletronic)</t>
        </is>
      </c>
      <c r="H82" t="inlineStr">
        <is>
          <t>Faixa muito ampla; recomenda-se cotação de um modelo específico (ex.: relé bivolt padrão NEMA) antes de orçar. Página de busca não fetchada diretamente (proteção anti-bot).</t>
        </is>
      </c>
      <c r="I82" t="inlineStr">
        <is>
          <t>baixa</t>
        </is>
      </c>
    </row>
    <row r="83">
      <c r="A83" t="inlineStr">
        <is>
          <t>Materiais - Iluminação pública</t>
        </is>
      </c>
      <c r="B83" t="inlineStr">
        <is>
          <t>Luminária LED pública 60W-100W (faixa de mercado, referência)</t>
        </is>
      </c>
      <c r="C83" t="inlineStr">
        <is>
          <t>acima de R$100 até acima de R$250, conforme potência/marca</t>
        </is>
      </c>
      <c r="D83" t="inlineStr">
        <is>
          <t>R$/unidade</t>
        </is>
      </c>
      <c r="E83" s="2" t="inlineStr">
        <is>
          <t>https://www.sustentaled.com.br/ ; https://lista.mercadolivre.com.br/luminaria-publica-led-60w</t>
        </is>
      </c>
      <c r="F83" t="inlineStr">
        <is>
          <t>2026-09-27</t>
        </is>
      </c>
      <c r="G83" t="inlineStr">
        <is>
          <t>resultado de busca: 'faixa de preços que variam de até R$100 até acima de R$250' (Mercado Livre, 60W)</t>
        </is>
      </c>
      <c r="H83" t="inlineStr">
        <is>
          <t>Apenas referência ampla, conforme solicitado no escopo ('só como referência'); páginas de produto do Sustenta LED retornaram HTTP 403 ao fetch direto nesta sessão.</t>
        </is>
      </c>
      <c r="I83" t="inlineStr">
        <is>
          <t>baixa</t>
        </is>
      </c>
    </row>
    <row r="84">
      <c r="A84" t="inlineStr">
        <is>
          <t>Materiais - Iluminação pública</t>
        </is>
      </c>
      <c r="B84" t="inlineStr">
        <is>
          <t>Braço para luminária pública, 1m, 2 polegadas, reto (fabricante/loja: Irmãos Soares)</t>
        </is>
      </c>
      <c r="C84" t="n">
        <v>84.90000000000001</v>
      </c>
      <c r="D84" t="inlineStr">
        <is>
          <t>R$/unidade</t>
        </is>
      </c>
      <c r="E84" s="2" t="inlineStr">
        <is>
          <t>https://www.irmaossoares.com.br/braco-para-luminaria-publica-1m-2-polegadas-reto-eletrometa/p</t>
        </is>
      </c>
      <c r="F84" t="inlineStr">
        <is>
          <t>2026-09-27</t>
        </is>
      </c>
      <c r="G84" t="inlineStr">
        <is>
          <t>campo 'price' da página do produto</t>
        </is>
      </c>
      <c r="H84" t="inlineStr">
        <is>
          <t>Confirmado por leitura direta.</t>
        </is>
      </c>
      <c r="I84" t="inlineStr">
        <is>
          <t>alta</t>
        </is>
      </c>
    </row>
    <row r="85">
      <c r="A85" t="inlineStr">
        <is>
          <t>Materiais - Iluminação pública</t>
        </is>
      </c>
      <c r="B85" t="inlineStr">
        <is>
          <t>Cabo e conectores para rede de iluminação pública</t>
        </is>
      </c>
      <c r="D85" t="inlineStr">
        <is>
          <t>R$/metro ou R$/unidade</t>
        </is>
      </c>
      <c r="E85" s="2" t="inlineStr">
        <is>
          <t>-</t>
        </is>
      </c>
      <c r="F85" t="inlineStr">
        <is>
          <t>2026-09-27</t>
        </is>
      </c>
      <c r="G85" t="inlineStr">
        <is>
          <t>não encontrado item específico nesta sessão (tempo de pesquisa esgotado)</t>
        </is>
      </c>
      <c r="H85" t="inlineStr">
        <is>
          <t>Ver itens de 'Elétrica predial' abaixo (cabo 2,5mm² e cabo de cobre nu) como proxy de custo de cabo para redes de baixa tensão; conectores de derivação (tipo cunha/perfurante) tipicamente custam entre R$3 e R$12/unidade no varejo elétrico (ESTIMATIVA sem fonte cotada nesta sessão).</t>
        </is>
      </c>
      <c r="I85" t="inlineStr">
        <is>
          <t>baixa</t>
        </is>
      </c>
    </row>
    <row r="86">
      <c r="A86" t="inlineStr">
        <is>
          <t>Materiais - Elétrica predial</t>
        </is>
      </c>
      <c r="B86" t="inlineStr">
        <is>
          <t>Disjuntor DIN unipolar 25A/32A curva C (faixa de mercado, referência de busca)</t>
        </is>
      </c>
      <c r="C86" t="inlineStr">
        <is>
          <t>7,76 a 9,19</t>
        </is>
      </c>
      <c r="D86" t="inlineStr">
        <is>
          <t>R$/unidade</t>
        </is>
      </c>
      <c r="E86" s="2" t="inlineStr">
        <is>
          <t>https://www.disfer.com.br/disjuntores ; https://www.pjneblina.com.br/produto/disjuntor-mini-din-unipolar-25a-curva-c-3ka-230400v-sdd61c25-steck/5026776</t>
        </is>
      </c>
      <c r="F86" t="inlineStr">
        <is>
          <t>2026-09-27</t>
        </is>
      </c>
      <c r="G86" t="inlineStr">
        <is>
          <t>resultado de busca: 'Disfer: disjuntor unipolar DIN 32A Elitek R$7,76 (R$7,37 Pix), 25A também R$7,76'; 'PJ Neblina: disjuntor mini DIN unipolar 25A R$9,19'</t>
        </is>
      </c>
      <c r="H86" t="inlineStr">
        <is>
          <t>Não conseguimos confirmar com fetch direto (página do Santil não expôs preço no HTML estático; possível carregamento via JS). Faixa de disjuntor unipolar simples de linha residencial/comercial leve.</t>
        </is>
      </c>
      <c r="I86" t="inlineStr">
        <is>
          <t>média</t>
        </is>
      </c>
    </row>
    <row r="87">
      <c r="A87" t="inlineStr">
        <is>
          <t>Materiais - Elétrica predial</t>
        </is>
      </c>
      <c r="B87" t="inlineStr">
        <is>
          <t>Cabo flexível 2,5mm² 750V - rolo de 100 metros (loja: Casa do Eletricista SC)</t>
        </is>
      </c>
      <c r="C87" t="n">
        <v>236.88</v>
      </c>
      <c r="D87" t="inlineStr">
        <is>
          <t>R$/rolo de 100m</t>
        </is>
      </c>
      <c r="E87" s="2" t="inlineStr">
        <is>
          <t>https://www.casadoeletricistasc.com.br/cabo-flexivel-750v-2-5mm2-antichama-preto-corfio-rolo-100m/p/kit611</t>
        </is>
      </c>
      <c r="F87" t="inlineStr">
        <is>
          <t>2026-09-27</t>
        </is>
      </c>
      <c r="G87" t="inlineStr">
        <is>
          <t>campo 'price' da página (preço tabela); variações de preço à vista/parcelado na mesma página: R$229,77 / R$234,51</t>
        </is>
      </c>
      <c r="H87" t="inlineStr">
        <is>
          <t>Confirmado por leitura direta.</t>
        </is>
      </c>
      <c r="I87" t="inlineStr">
        <is>
          <t>alta</t>
        </is>
      </c>
    </row>
    <row r="88">
      <c r="A88" t="inlineStr">
        <is>
          <t>Materiais - Elétrica predial</t>
        </is>
      </c>
      <c r="B88" t="inlineStr">
        <is>
          <t>Cabo flexível 2,5mm² 750V - rolo de 100 metros (loja 2: ACS Materiais Elétricos, referência de busca)</t>
        </is>
      </c>
      <c r="C88" t="n">
        <v>234.9</v>
      </c>
      <c r="D88" t="inlineStr">
        <is>
          <t>R$/rolo de 100m</t>
        </is>
      </c>
      <c r="E88" s="2" t="inlineStr">
        <is>
          <t>https://www.acsmateriaiseletricos.com.br/produtos/cabo-flexivel-25mm-750v-antichama-azul-100-metros/</t>
        </is>
      </c>
      <c r="F88" t="inlineStr">
        <is>
          <t>2026-09-27</t>
        </is>
      </c>
      <c r="G88" t="inlineStr">
        <is>
          <t>valor obtido via resultado de busca</t>
        </is>
      </c>
      <c r="H88" t="inlineStr">
        <is>
          <t>página não fetchada diretamente nesta sessão.</t>
        </is>
      </c>
      <c r="I88" t="inlineStr">
        <is>
          <t>média</t>
        </is>
      </c>
    </row>
    <row r="89">
      <c r="A89" t="inlineStr">
        <is>
          <t>Materiais - Elétrica predial</t>
        </is>
      </c>
      <c r="B89" t="inlineStr">
        <is>
          <t>Cabo flexível 2,5mm² - rolo de 100m - MEDIANA de 2 fontes</t>
        </is>
      </c>
      <c r="C89" t="n">
        <v>235.89</v>
      </c>
      <c r="D89" t="inlineStr">
        <is>
          <t>R$/rolo de 100m</t>
        </is>
      </c>
      <c r="E89" s="2" t="inlineStr">
        <is>
          <t>ver 2 itens acima</t>
        </is>
      </c>
      <c r="F89" t="inlineStr">
        <is>
          <t>2026-09-27</t>
        </is>
      </c>
      <c r="G89" t="inlineStr">
        <is>
          <t>mediana simples de R$236,88 e R$234,90</t>
        </is>
      </c>
      <c r="H89" t="inlineStr"/>
      <c r="I89" t="inlineStr">
        <is>
          <t>média</t>
        </is>
      </c>
    </row>
    <row r="90">
      <c r="A90" t="inlineStr">
        <is>
          <t>Materiais - Elétrica predial</t>
        </is>
      </c>
      <c r="B90" t="inlineStr">
        <is>
          <t>Tomada elétrica 2P+T 10A/20A (padrão NBR 14136)</t>
        </is>
      </c>
      <c r="D90" t="inlineStr">
        <is>
          <t>R$/unidade</t>
        </is>
      </c>
      <c r="E90" s="2" t="inlineStr">
        <is>
          <t>-</t>
        </is>
      </c>
      <c r="F90" t="inlineStr">
        <is>
          <t>2026-09-27</t>
        </is>
      </c>
      <c r="G90" t="inlineStr">
        <is>
          <t>não encontrado com confirmação direta nesta sessão (tempo de pesquisa esgotado)</t>
        </is>
      </c>
      <c r="H90" t="inlineStr">
        <is>
          <t>ESTIMATIVA sem fonte cotada: tomadas de embutir padrão novo (módulo + placa) costumam variar entre R$8 e R$25 conforme linha (popular a intermediária). Recomenda-se cotação direta.</t>
        </is>
      </c>
      <c r="I90" t="inlineStr">
        <is>
          <t>baixa</t>
        </is>
      </c>
    </row>
    <row r="91">
      <c r="A91" t="inlineStr">
        <is>
          <t>Materiais - Elétrica predial / SPDA</t>
        </is>
      </c>
      <c r="B91" t="inlineStr">
        <is>
          <t>Cabo de cobre nu 35mm² (7 fios) - preço por metro (loja: Cetti Materiais Elétricos)</t>
        </is>
      </c>
      <c r="C91" t="n">
        <v>36.76</v>
      </c>
      <c r="D91" t="inlineStr">
        <is>
          <t>R$/metro</t>
        </is>
      </c>
      <c r="E91" s="2" t="inlineStr">
        <is>
          <t>https://cetti.com.br/p/cabo-de-cobre-nu-35-mm2-com-7-fios-solidos-para-aterramento-eletrico-1-metro/</t>
        </is>
      </c>
      <c r="F91" t="inlineStr">
        <is>
          <t>2026-09-27</t>
        </is>
      </c>
      <c r="G91" t="inlineStr">
        <is>
          <t>campo 'price' da página do produto</t>
        </is>
      </c>
      <c r="H91" t="inlineStr">
        <is>
          <t>Confirmado por leitura direta. Preço fortemente atrelado à cotação do cobre (LME), variável.</t>
        </is>
      </c>
      <c r="I91" t="inlineStr">
        <is>
          <t>alta</t>
        </is>
      </c>
    </row>
    <row r="92">
      <c r="A92" t="inlineStr">
        <is>
          <t>Materiais - Elétrica predial / SPDA</t>
        </is>
      </c>
      <c r="B92" t="inlineStr">
        <is>
          <t>Cabo de cobre nu 50mm² - preço por metro</t>
        </is>
      </c>
      <c r="D92" t="inlineStr">
        <is>
          <t>R$/metro</t>
        </is>
      </c>
      <c r="E92" s="2" t="inlineStr">
        <is>
          <t>https://www.lojacentraleletrica.com.br/produto/cabo-de-cobre-nu-50mm-para-aterramento</t>
        </is>
      </c>
      <c r="F92" t="inlineStr">
        <is>
          <t>2026-09-27</t>
        </is>
      </c>
      <c r="G92" t="inlineStr">
        <is>
          <t>não encontrado (página não fetchada com sucesso nesta sessão)</t>
        </is>
      </c>
      <c r="H92" t="inlineStr">
        <is>
          <t>ESTIMATIVA: proporcionalmente ao peso de cobre (50/35 = 1,43x), a partir do valor confirmado de R$36,76/m para 35mm² =&gt; estimativa de R$45 a R$55/metro para 50mm². Confirmar com fornecedor.</t>
        </is>
      </c>
      <c r="I92" t="inlineStr">
        <is>
          <t>baixa</t>
        </is>
      </c>
    </row>
    <row r="93">
      <c r="A93" t="inlineStr">
        <is>
          <t>Materiais - Elétrica predial / SPDA</t>
        </is>
      </c>
      <c r="B93" t="inlineStr">
        <is>
          <t>Haste de aterramento tipo Copperweld 5/8" x 2,40m (loja: Wermar)</t>
        </is>
      </c>
      <c r="C93" t="n">
        <v>36.11</v>
      </c>
      <c r="D93" t="inlineStr">
        <is>
          <t>R$/unidade</t>
        </is>
      </c>
      <c r="E93" s="2" t="inlineStr">
        <is>
          <t>https://www.wermar.com.br/materiais-eletricos/haste-copperweld-para-aterramento-com-conector-2-40m</t>
        </is>
      </c>
      <c r="F93" t="inlineStr">
        <is>
          <t>2026-09-27</t>
        </is>
      </c>
      <c r="G93" t="inlineStr">
        <is>
          <t>um dos preços 'R$36,11' encontrados na página (outra variação/kit na mesma página: R$42,48)</t>
        </is>
      </c>
      <c r="H93" t="inlineStr">
        <is>
          <t>Confirmado por leitura direta, mas página lista mais de um SKU/variação (com/sem conector); valor reportado é o menor encontrado no HTML da página.</t>
        </is>
      </c>
      <c r="I93" t="inlineStr">
        <is>
          <t>média</t>
        </is>
      </c>
    </row>
    <row r="94">
      <c r="A94" t="inlineStr">
        <is>
          <t>Veículos - GOINFRA (Goiás, fonte oficial)</t>
        </is>
      </c>
      <c r="B94" t="inlineStr">
        <is>
          <t>Caminhão Munck 12 toneladas - custo de referência (mínimo 4h/dia)</t>
        </is>
      </c>
      <c r="C94" t="n">
        <v>213.33</v>
      </c>
      <c r="D94" t="inlineStr">
        <is>
          <t>R$/hora</t>
        </is>
      </c>
      <c r="E94" s="2" t="inlineStr">
        <is>
          <t>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</t>
        </is>
      </c>
      <c r="F94" t="inlineStr">
        <is>
          <t>2026-09-27</t>
        </is>
      </c>
      <c r="G94" t="inlineStr">
        <is>
          <t>Código 072080: 'POSTE/TRAFO - CAMINHÃO MUNCK 12 TON. (MÍNIMO 4H/DIA)' = R$213,33/H (planilha 'Relatório', seção de instalações elétricas/rede)</t>
        </is>
      </c>
      <c r="H94" t="inlineStr">
        <is>
          <t>Confirmado por leitura direta da planilha oficial (.xls) da GOINFRA (Agência Goiana de Infraestrutura e Transportes) - 'TABELA DE CUSTOS DE OBRAS CIVIS - T334 - FEVEREIRO/2026 - SEM DESONERAÇÃO', data-base 01/02/2026, publicada em 05/05/2026. O valor já é o custo composto do serviço (equipamento), sem quebra explícita entre CHP/CHI nesta tabela de composições sintéticas; exige contratação mínima de 4h/dia. Esta é a fonte primária de Goiás para o custo do munck - substitui as referências de mercado de SP usadas anteriormente.</t>
        </is>
      </c>
      <c r="I94" t="inlineStr">
        <is>
          <t>alta</t>
        </is>
      </c>
    </row>
    <row r="95">
      <c r="A95" t="inlineStr">
        <is>
          <t>Veículos - GOINFRA (Goiás, fonte oficial)</t>
        </is>
      </c>
      <c r="B95" t="inlineStr">
        <is>
          <t>Guindaste 30 toneladas - custo de referência (mínimo 10h/dia)</t>
        </is>
      </c>
      <c r="C95" t="n">
        <v>400</v>
      </c>
      <c r="D95" t="inlineStr">
        <is>
          <t>R$/hora</t>
        </is>
      </c>
      <c r="E95" s="2" t="inlineStr">
        <is>
          <t>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</t>
        </is>
      </c>
      <c r="F95" t="inlineStr">
        <is>
          <t>2026-09-27</t>
        </is>
      </c>
      <c r="G95" t="inlineStr">
        <is>
          <t>Código 072085: 'POSTE/TRAFO - GUINDASTE 30 TON.(MÍNIMO 10H/DIA)' = R$400,00/H, mesma planilha</t>
        </is>
      </c>
      <c r="H95" t="inlineStr">
        <is>
          <t>Mesma fonte do item acima. Equipamento de maior porte (guindaste 30t, não é o munck comum de 12t), exige contratação mínima de 10h/dia.</t>
        </is>
      </c>
      <c r="I95" t="inlineStr">
        <is>
          <t>alta</t>
        </is>
      </c>
    </row>
    <row r="96">
      <c r="A96" t="inlineStr">
        <is>
          <t>Veículos - SICRO/DNIT (parâmetro nacional + preço em Goiás via agregador)</t>
        </is>
      </c>
      <c r="B96" t="inlineStr">
        <is>
          <t>E9690 - Caminhão guindauto com cesto aéreo simples (elevação 5,7t / carroceria 8,5t / 136kW) - CHP em Goiás</t>
        </is>
      </c>
      <c r="C96" t="n">
        <v>330.89</v>
      </c>
      <c r="D96" t="inlineStr">
        <is>
          <t>R$/hora</t>
        </is>
      </c>
      <c r="E96" s="2" t="inlineStr">
        <is>
          <t>https://buscadorsicro.com.br/go/insumo/E9690</t>
        </is>
      </c>
      <c r="F96" t="inlineStr">
        <is>
          <t>2026-09-27</t>
        </is>
      </c>
      <c r="G96" t="inlineStr">
        <is>
          <t>'Preço em Goiás R$ 330,89 por [hora] · Ref. SICRO Jul/2026 · Média nacional R$ 330,28 (27 estados)'; série histórica na mesma página: Jan/2025 R$327,77, Abr/2025 R$279,67, Jul/2025 R$302,99, Out/2025 R$305,91, Jan/2026 R$305,67, Abr/2026 R$341,97, Jul/2026 R$330,89</t>
        </is>
      </c>
      <c r="H96" t="inlineStr">
        <is>
          <t>Equipamento tecnicamente definido no 'Caderno técnico do SICRO - Parâmetros de Equipamentos' oficial do DNIT (ref. jan/2026, baixado nesta sessão de gov.br/dnit), pág. 66: 'E9690 - Caminhão guindauto com cesto aéreo simples e capacidade de elevação de 5,7 t e carroceria de 8,5 t - 136 kW' (chassi A9308 + cesto aéreo A9329 + guindaste A9330 + carroceria A9296; mão de obra de operação: motorista de veículo especial). O VALOR EM R$/HORA (R$330,89) vem de um agregador (buscadorsicro.com.br) que aplica os parâmetros técnicos oficiais do DNIT aos preços de insumo (combustível, mão de obra) correntes por UF; não é o número literal de uma tabela do DNIT lida diretamente por nós, mas os parâmetros técnicos-base são oficiais e conferidos. É o equipamento tecnicamente mais próximo de 'caminhão com cesto aéreo/plataforma' pedido no escopo.</t>
        </is>
      </c>
      <c r="I96" t="inlineStr">
        <is>
          <t>média</t>
        </is>
      </c>
    </row>
    <row r="97">
      <c r="A97" t="inlineStr">
        <is>
          <t>Veículos - SICRO/DNIT (parâmetro nacional + preço em Goiás via agregador)</t>
        </is>
      </c>
      <c r="B97" t="inlineStr">
        <is>
          <t>E9686 - Caminhão guindauto sem cesto (elevação 6,2t / carroceria 7t / 136kW) - CHP em Goiás</t>
        </is>
      </c>
      <c r="C97" t="n">
        <v>352.92</v>
      </c>
      <c r="D97" t="inlineStr">
        <is>
          <t>R$/hora</t>
        </is>
      </c>
      <c r="E97" s="2" t="inlineStr">
        <is>
          <t>https://buscadorsicro.com.br/go/insumo/E9686</t>
        </is>
      </c>
      <c r="F97" t="inlineStr">
        <is>
          <t>2026-09-27</t>
        </is>
      </c>
      <c r="G97" t="inlineStr">
        <is>
          <t>'Custa R$ 352,92 em Goiás — 0% acima da média nacional de R$ 352,31. Ref. Jul/2026'</t>
        </is>
      </c>
      <c r="H97" t="inlineStr">
        <is>
          <t>Parâmetros técnicos oficiais no Caderno Técnico do SICRO (DNIT, ref. jan/2026), pág. 65: 'E9686 - Caminhão guindauto com capacidade de elevação de 6,2 t e carroceria de 7 t - 136 kW'. Mesma ressalva de metodologia do item anterior (valor em R$ via agregador, parâmetros técnicos oficiais).</t>
        </is>
      </c>
      <c r="I97" t="inlineStr">
        <is>
          <t>média</t>
        </is>
      </c>
    </row>
    <row r="98">
      <c r="A98" t="inlineStr">
        <is>
          <t>Veículos - SICRO/DNIT (parâmetro nacional + preço em Goiás via agregador)</t>
        </is>
      </c>
      <c r="B98" t="inlineStr">
        <is>
          <t>E9041 - Caminhão guindauto de maior porte (elevação 11,9t / carroceria 11,5t / 188kW) - CHP em Goiás</t>
        </is>
      </c>
      <c r="C98" t="n">
        <v>441.43</v>
      </c>
      <c r="D98" t="inlineStr">
        <is>
          <t>R$/hora</t>
        </is>
      </c>
      <c r="E98" s="2" t="inlineStr">
        <is>
          <t>https://buscadorsicro.com.br/go/insumo/E9041</t>
        </is>
      </c>
      <c r="F98" t="inlineStr">
        <is>
          <t>2026-09-27</t>
        </is>
      </c>
      <c r="G98" t="inlineStr">
        <is>
          <t>'Custa R$ 441,43 em Goiás — 0% acima da média nacional de R$ 440,05. Ref. Jul/2026'</t>
        </is>
      </c>
      <c r="H98" t="inlineStr">
        <is>
          <t>Parâmetros técnicos oficiais no Caderno Técnico do SICRO (DNIT, ref. jan/2026), pág. 64: 'E9041 - Caminhão guindauto com capacidade de elevação de 11,9 t e carroceria de 11,5 t - 188 kW'. Mesma ressalva de metodologia dos itens anteriores.</t>
        </is>
      </c>
      <c r="I98" t="inlineStr">
        <is>
          <t>média</t>
        </is>
      </c>
    </row>
    <row r="99">
      <c r="A99" t="inlineStr">
        <is>
          <t>Veículos</t>
        </is>
      </c>
      <c r="B99" t="inlineStr">
        <is>
          <t>Locação de caminhão munck/guindauto com operador - valor hora (referência nacional/mercado SP, mínimo 3h)</t>
        </is>
      </c>
      <c r="C99" t="n">
        <v>250</v>
      </c>
      <c r="D99" t="inlineStr">
        <is>
          <t>R$/hora</t>
        </is>
      </c>
      <c r="E99" s="2" t="inlineStr">
        <is>
          <t>https://www.munk.com.br/locacao-de-caminhao-munck/locacao-de-caminhao-munck-com-operador/valor-de-locacao-de-caminhao-munck-por-hora-osasco</t>
        </is>
      </c>
      <c r="F99" t="inlineStr">
        <is>
          <t>2026-09-27</t>
        </is>
      </c>
      <c r="G99" t="inlineStr">
        <is>
          <t>resultado de busca: 'para serviços cobrados por hora, valor médio de R$250,00/hora, com mínimo de 3 horas de contratação'</t>
        </is>
      </c>
      <c r="H99" t="inlineStr">
        <is>
          <t>Fonte é de locadora de São Paulo (Osasco), não específica de GO/DF. Mantido apenas como cross-check de mercado (locação privada, sem vínculo a tabela pública) frente aos valores oficiais GOINFRA/SICRO acima, que devem ser preferidos para orçamento de licitação.</t>
        </is>
      </c>
      <c r="I99" t="inlineStr">
        <is>
          <t>baixa</t>
        </is>
      </c>
    </row>
    <row r="100">
      <c r="A100" t="inlineStr">
        <is>
          <t>Veículos</t>
        </is>
      </c>
      <c r="B100" t="inlineStr">
        <is>
          <t>Locação de caminhão munck de grande porte com operador - valor diária (referência nacional/mercado SP)</t>
        </is>
      </c>
      <c r="C100" t="inlineStr">
        <is>
          <t>3.500 a 7.000</t>
        </is>
      </c>
      <c r="D100" t="inlineStr">
        <is>
          <t>R$/dia</t>
        </is>
      </c>
      <c r="E100" s="2" t="inlineStr">
        <is>
          <t>https://www.csmmuncksp.com.br/blog/categorias/artigos/quanto-custa-a-locacao-de-um-munck-entenda-os-fatores-que-influenciam-o-preco</t>
        </is>
      </c>
      <c r="F100" t="inlineStr">
        <is>
          <t>2026-09-27</t>
        </is>
      </c>
      <c r="G100" t="inlineStr">
        <is>
          <t>resultado de busca: 'preços para aluguel de muncks de grande porte normalmente ficam entre R$3.500 e R$7.000 por dia'</t>
        </is>
      </c>
      <c r="H100" t="inlineStr">
        <is>
          <t>Mesma ressalva do item acima (fonte SP, não GO/DF específica; usar GOINFRA/SICRO como referência primária).</t>
        </is>
      </c>
      <c r="I100" t="inlineStr">
        <is>
          <t>baixa</t>
        </is>
      </c>
    </row>
    <row r="101">
      <c r="A101" t="inlineStr">
        <is>
          <t>Veículos</t>
        </is>
      </c>
      <c r="B101" t="inlineStr">
        <is>
          <t>Custo por quilômetro rodado - veículo leve (utilitário/pickup) - faixa de mercado 2026</t>
        </is>
      </c>
      <c r="C101" t="inlineStr">
        <is>
          <t>0,80 a 1,50</t>
        </is>
      </c>
      <c r="D101" t="inlineStr">
        <is>
          <t>R$/km</t>
        </is>
      </c>
      <c r="E101" s="2" t="inlineStr">
        <is>
          <t>https://valorfinal.com.br/calculadora-custo-por-km</t>
        </is>
      </c>
      <c r="F101" t="inlineStr">
        <is>
          <t>2026-09-27</t>
        </is>
      </c>
      <c r="G101" t="inlineStr">
        <is>
          <t>resultado de busca: 'na prática, o mercado pratica valores entre R$0,80 e R$1,50 por km em 2026 (combustível + manutenção + depreciação parcial)'</t>
        </is>
      </c>
      <c r="H101" t="inlineStr">
        <is>
          <t>ESTIMATIVA/faixa de referência, não uma tabela oficial. Página não fetchada diretamente (calculadora interativa, sem tabela estática de valores no HTML). Premissas típicas citadas pela fonte: consumo urbano médio Inmetro/Conpet, 15.000km/ano, seguro ~3,5% do valor FIPE, depreciação conforme Tabela FIPE.</t>
        </is>
      </c>
      <c r="I101" t="inlineStr">
        <is>
          <t>baixa</t>
        </is>
      </c>
    </row>
    <row r="102">
      <c r="A102" t="inlineStr">
        <is>
          <t>Combustíveis - ANP (dado primário oficial)</t>
        </is>
      </c>
      <c r="B102" t="inlineStr">
        <is>
          <t>Gasolina comum - preço médio de revenda em Goiás</t>
        </is>
      </c>
      <c r="C102" t="n">
        <v>6.672</v>
      </c>
      <c r="D102" t="inlineStr">
        <is>
          <t>R$/litro</t>
        </is>
      </c>
      <c r="E102" s="2" t="inlineStr">
        <is>
          <t>https://www.gov.br/anp/pt-br/assuntos/precos-e-defesa-da-concorrencia/precos/arquivos-lpc/2026/revendas_lpc_2026-09-20_2026-09-26.xlsx</t>
        </is>
      </c>
      <c r="F102" t="inlineStr">
        <is>
          <t>2026-09-27</t>
        </is>
      </c>
      <c r="G102" t="inlineStr">
        <is>
          <t>Planilha oficial ANP 'Levantamento de Preços de Combustíveis', semana 20/09/2026 a 26/09/2026, filtro ESTADO='GOIAS', PRODUTO='GASOLINA COMUM'; média de 179 postos pesquisados (mediana: R$6,77/L; mín R$5,99; máx R$6,99)</t>
        </is>
      </c>
      <c r="H102" t="inlineStr">
        <is>
          <t>Cálculo próprio a partir dos dados brutos por posto revendedor da planilha oficial da ANP (não é um valor já publicado pronto, e sim calculado por nós a partir do arquivo primário).</t>
        </is>
      </c>
      <c r="I102" t="inlineStr">
        <is>
          <t>alta</t>
        </is>
      </c>
    </row>
    <row r="103">
      <c r="A103" t="inlineStr">
        <is>
          <t>Combustíveis - ANP (dado primário oficial)</t>
        </is>
      </c>
      <c r="B103" t="inlineStr">
        <is>
          <t>Diesel S500 (comum) - preço médio de revenda em Goiás</t>
        </is>
      </c>
      <c r="C103" t="n">
        <v>6.664</v>
      </c>
      <c r="D103" t="inlineStr">
        <is>
          <t>R$/litro</t>
        </is>
      </c>
      <c r="E103" s="2" t="inlineStr">
        <is>
          <t>https://www.gov.br/anp/pt-br/assuntos/precos-e-defesa-da-concorrencia/precos/arquivos-lpc/2026/revendas_lpc_2026-09-20_2026-09-26.xlsx</t>
        </is>
      </c>
      <c r="F103" t="inlineStr">
        <is>
          <t>2026-09-27</t>
        </is>
      </c>
      <c r="G103" t="inlineStr">
        <is>
          <t>mesma planilha, filtro PRODUTO='DIESEL S500'; n=105 postos (mediana: R$6,59/L; mín R$5,99; máx R$7,95)</t>
        </is>
      </c>
      <c r="H103" t="inlineStr">
        <is>
          <t>Cálculo próprio a partir dos dados brutos da planilha oficial ANP.</t>
        </is>
      </c>
      <c r="I103" t="inlineStr">
        <is>
          <t>alta</t>
        </is>
      </c>
    </row>
    <row r="104">
      <c r="A104" t="inlineStr">
        <is>
          <t>Combustíveis - ANP (dado primário oficial)</t>
        </is>
      </c>
      <c r="B104" t="inlineStr">
        <is>
          <t>Diesel S10 - preço médio de revenda em Goiás</t>
        </is>
      </c>
      <c r="C104" t="n">
        <v>7.232</v>
      </c>
      <c r="D104" t="inlineStr">
        <is>
          <t>R$/litro</t>
        </is>
      </c>
      <c r="E104" s="2" t="inlineStr">
        <is>
          <t>https://www.gov.br/anp/pt-br/assuntos/precos-e-defesa-da-concorrencia/precos/arquivos-lpc/2026/revendas_lpc_2026-09-20_2026-09-26.xlsx</t>
        </is>
      </c>
      <c r="F104" t="inlineStr">
        <is>
          <t>2026-09-27</t>
        </is>
      </c>
      <c r="G104" t="inlineStr">
        <is>
          <t>mesma planilha, filtro PRODUTO='DIESEL S10'; n=139 postos (mediana: R$7,19/L; mín R$6,39; máx R$7,99)</t>
        </is>
      </c>
      <c r="H104" t="inlineStr">
        <is>
          <t>Cálculo próprio a partir dos dados brutos da planilha oficial ANP.</t>
        </is>
      </c>
      <c r="I104" t="inlineStr">
        <is>
          <t>alta</t>
        </is>
      </c>
    </row>
    <row r="105">
      <c r="A105" t="inlineStr">
        <is>
          <t>Combustíveis - ANP (dado primário oficial)</t>
        </is>
      </c>
      <c r="B105" t="inlineStr">
        <is>
          <t>Etanol hidratado - preço médio de revenda em Goiás</t>
        </is>
      </c>
      <c r="C105" t="n">
        <v>4.309</v>
      </c>
      <c r="D105" t="inlineStr">
        <is>
          <t>R$/litro</t>
        </is>
      </c>
      <c r="E105" s="2" t="inlineStr">
        <is>
          <t>https://www.gov.br/anp/pt-br/assuntos/precos-e-defesa-da-concorrencia/precos/arquivos-lpc/2026/revendas_lpc_2026-09-20_2026-09-26.xlsx</t>
        </is>
      </c>
      <c r="F105" t="inlineStr">
        <is>
          <t>2026-09-27</t>
        </is>
      </c>
      <c r="G105" t="inlineStr">
        <is>
          <t>mesma planilha, filtro PRODUTO='ETANOL'; n=175 postos (mediana: R$4,47/L)</t>
        </is>
      </c>
      <c r="H105" t="inlineStr">
        <is>
          <t>Cálculo próprio a partir dos dados brutos da planilha oficial ANP.</t>
        </is>
      </c>
      <c r="I105" t="inlineStr">
        <is>
          <t>alta</t>
        </is>
      </c>
    </row>
    <row r="106">
      <c r="A106" t="inlineStr">
        <is>
          <t>Combustíveis - ANP (dado primário oficial)</t>
        </is>
      </c>
      <c r="B106" t="inlineStr">
        <is>
          <t>GLP (botijão 13kg) - preço médio de revenda em Goiás</t>
        </is>
      </c>
      <c r="C106" t="n">
        <v>113.72</v>
      </c>
      <c r="D106" t="inlineStr">
        <is>
          <t>R$/botijão 13kg</t>
        </is>
      </c>
      <c r="E106" s="2" t="inlineStr">
        <is>
          <t>https://www.gov.br/anp/pt-br/assuntos/precos-e-defesa-da-concorrencia/precos/arquivos-lpc/2026/revendas_lpc_2026-09-20_2026-09-26.xlsx</t>
        </is>
      </c>
      <c r="F106" t="inlineStr">
        <is>
          <t>2026-09-27</t>
        </is>
      </c>
      <c r="G106" t="inlineStr">
        <is>
          <t>mesma planilha, filtro PRODUTO='GLP'; n=153 postos/revendas (mediana: R$115,00)</t>
        </is>
      </c>
      <c r="H106" t="inlineStr">
        <is>
          <t>Cálculo próprio a partir dos dados brutos da planilha oficial ANP.</t>
        </is>
      </c>
      <c r="I106" t="inlineStr">
        <is>
          <t>alta</t>
        </is>
      </c>
    </row>
    <row r="107">
      <c r="A107" t="inlineStr">
        <is>
          <t>Combustíveis - ANP (agregador, cross-check)</t>
        </is>
      </c>
      <c r="B107" t="inlineStr">
        <is>
          <t>Gasolina comum - preço médio de revenda em Goiás (cross-check)</t>
        </is>
      </c>
      <c r="C107" t="n">
        <v>6.499</v>
      </c>
      <c r="D107" t="inlineStr">
        <is>
          <t>R$/litro</t>
        </is>
      </c>
      <c r="E107" s="2" t="inlineStr">
        <is>
          <t>https://www.combustiveis-anp.com.br/estado/go</t>
        </is>
      </c>
      <c r="F107" t="inlineStr">
        <is>
          <t>2026-09-27</t>
        </is>
      </c>
      <c r="G107" t="inlineStr">
        <is>
          <t>'considerando estas cidades, a gasolina comum vai de R$5,860/L (Jataí) a R$6,840/L (Trindade)... com média de R$6,499/L' (Setembro/2026, 17 cidades)</t>
        </is>
      </c>
      <c r="H107" t="inlineStr">
        <is>
          <t>Fonte secundária (agregador) baseada nos mesmos dados semanais da ANP, mas com amostra/metodologia de agregação diferente da nossa (média por cidade, não por posto); usada apenas como conferência cruzada do valor primário calculado acima (R$6,672/L).</t>
        </is>
      </c>
      <c r="I107" t="inlineStr">
        <is>
          <t>média</t>
        </is>
      </c>
    </row>
    <row r="108">
      <c r="A108" t="inlineStr">
        <is>
          <t>Garantia contratual / Lei 14.133/2021</t>
        </is>
      </c>
      <c r="B108" t="inlineStr">
        <is>
          <t>Percentual-padrão de garantia contratual exigível</t>
        </is>
      </c>
      <c r="C108" t="inlineStr">
        <is>
          <t>até 5% do valor inicial do contrato, podendo ser majorado para até 10% mediante justificativa (complexidade técnica e riscos); até 30% em obras/serviços de engenharia de grande vulto com cláusula de retomada</t>
        </is>
      </c>
      <c r="D108" t="inlineStr">
        <is>
          <t>%</t>
        </is>
      </c>
      <c r="E108" s="2" t="inlineStr">
        <is>
          <t>https://www.planalto.gov.br/ccivil_03/_ato2019-2022/2021/lei/l14133.htm</t>
        </is>
      </c>
      <c r="F108" t="inlineStr">
        <is>
          <t>2026-09-27</t>
        </is>
      </c>
      <c r="G108" t="inlineStr">
        <is>
          <t>Texto oficial lido diretamente: Art. 98 - 'a garantia poderá ser de até 5% (cinco por cento) do valor inicial do contrato, autorizada a majoração desse percentual para até 10% (dez por cento), desde que justificada mediante análise da complexidade técnica e dos riscos envolvidos.' Art. 99 - 'Nas contratações de obras e serviços de engenharia de grande vulto, poderá ser exigida a prestação de garantia, na modalidade seguro-garantia, com cláusula de retomada prevista no art. 102... em percentual equivalente a até 30% (trinta por cento) do valor inicial do contrato.'</t>
        </is>
      </c>
      <c r="H108" t="inlineStr">
        <is>
          <t>Confirmado por leitura direta da Lei 14.133/2021 no site oficial da Presidência da República (corrige a numeração dos artigos usada anteriormente, que citava 'art. 96 e seguintes' de forma genérica via fonte secundária - o percentual está no art. 98, não no art. 96, que apenas trata da faculdade de exigir garantia e das modalidades). Modalidades de garantia previstas no art. 96: caução em dinheiro/títulos, seguro-garantia, fiança bancária ou título de capitalização.</t>
        </is>
      </c>
      <c r="I108" t="inlineStr">
        <is>
          <t>alta</t>
        </is>
      </c>
    </row>
    <row r="109">
      <c r="A109" t="inlineStr">
        <is>
          <t>Garantia contratual</t>
        </is>
      </c>
      <c r="B109" t="inlineStr">
        <is>
          <t>Seguro-garantia - prêmio anual típico (percentual sobre o valor garantido)</t>
        </is>
      </c>
      <c r="C109" t="inlineStr">
        <is>
          <t>0,40% a 2,00% ao ano (uso comum de mercado: 0,5% a 1,5% a.a.)</t>
        </is>
      </c>
      <c r="D109" t="inlineStr">
        <is>
          <t>% ao ano sobre valor garantido</t>
        </is>
      </c>
      <c r="E109" s="2" t="inlineStr">
        <is>
          <t>https://effecti.com.br/seguro-garantia-licitacoes-publicas/</t>
        </is>
      </c>
      <c r="F109" t="inlineStr">
        <is>
          <t>2026-09-27</t>
        </is>
      </c>
      <c r="G109" t="inlineStr">
        <is>
          <t>resultado de busca: 'o preço do seguro garantia licitação é de cerca de 0,5% a 1,5% do valor da garantia ao ano... outra fonte menciona 0,40% a 2,00% ao ano, variando conforme o perfil da empresa'</t>
        </is>
      </c>
      <c r="H109" t="inlineStr">
        <is>
          <t>Página não fetchada diretamente nesta sessão (artigo comercial de corretora/insurtech), mas é um prêmio de mercado (não definido em lei) consistente com o que é reportado por múltiplas seguradoras/corretoras do mercado brasileiro de seguro-garantia.</t>
        </is>
      </c>
      <c r="I109" t="inlineStr">
        <is>
          <t>média</t>
        </is>
      </c>
    </row>
    <row r="110">
      <c r="A110" t="inlineStr">
        <is>
          <t>Prazo de pagamento / Lei 14.133/2021</t>
        </is>
      </c>
      <c r="B110" t="inlineStr">
        <is>
          <t>O que a Lei manda o contrato prever (não fixa prazo em dias)</t>
        </is>
      </c>
      <c r="C110" t="inlineStr">
        <is>
          <t>a Lei NÃO fixa um número de dias; exige que o CONTRATO defina o prazo de liquidação e pagamento</t>
        </is>
      </c>
      <c r="D110" t="inlineStr">
        <is>
          <t>-</t>
        </is>
      </c>
      <c r="E110" s="2" t="inlineStr">
        <is>
          <t>https://www.planalto.gov.br/ccivil_03/_ato2019-2022/2021/lei/l14133.htm</t>
        </is>
      </c>
      <c r="F110" t="inlineStr">
        <is>
          <t>2026-09-27</t>
        </is>
      </c>
      <c r="G110" t="inlineStr">
        <is>
          <t>Texto oficial lido diretamente: Art. 92 - 'São necessárias em todo contrato cláusulas que estabeleçam:... VI - os critérios e a periodicidade da medição, quando for o caso, e o PRAZO PARA LIQUIDAÇÃO E PARA PAGAMENTO;...'</t>
        </is>
      </c>
      <c r="H110" t="inlineStr">
        <is>
          <t>Confirmado por leitura direta da lei: o art. 92, VI OBRIGA que cada contrato tenha uma cláusula própria fixando o prazo de liquidação e de pagamento, mas a Lei 14.133/2021 NÃO estabelece esse prazo em número de dias em nenhum outro dispositivo (não há um 'teto legal' nacional de X dias). Isso corrige/confirma o achado anterior (baseado em fonte secundária) de que não há prazo único fixado em lei - agora com a citação exata do artigo correto (art. 92, VI), e não mais o art. 141.</t>
        </is>
      </c>
      <c r="I110" t="inlineStr">
        <is>
          <t>alta</t>
        </is>
      </c>
    </row>
    <row r="111">
      <c r="A111" t="inlineStr">
        <is>
          <t>Prazo de pagamento / Lei 14.133/2021</t>
        </is>
      </c>
      <c r="B111" t="inlineStr">
        <is>
          <t>Art. 141 - do que trata (NÃO é sobre prazo em dias)</t>
        </is>
      </c>
      <c r="C111" t="inlineStr">
        <is>
          <t>ordem cronológica de exigibilidade dos pagamentos por categoria de contrato (bens, locações, serviços, obras), não um prazo em dias</t>
        </is>
      </c>
      <c r="D111" t="inlineStr">
        <is>
          <t>-</t>
        </is>
      </c>
      <c r="E111" s="2" t="inlineStr">
        <is>
          <t>https://www.planalto.gov.br/ccivil_03/_ato2019-2022/2021/lei/l14133.htm</t>
        </is>
      </c>
      <c r="F111" t="inlineStr">
        <is>
          <t>2026-09-27</t>
        </is>
      </c>
      <c r="G111" t="inlineStr">
        <is>
          <t>Texto oficial lido diretamente: 'Art. 141. No dever de pagamento pela Administração, será observada a ordem cronológica para cada fonte diferenciada de recursos, subdividida nas seguintes categorias de contratos: I - fornecimento de bens; II - locações; III - prestação de serviços; IV - realização de obras.' (mais os §§ sobre exceções à ordem cronológica e obrigação de publicar mensalmente a ordem de pagamentos no site do órgão)</t>
        </is>
      </c>
      <c r="H111" t="inlineStr">
        <is>
          <t>IMPORTANTE - CORREÇÃO: um levantamento anterior (via fonte secundária/busca) atribuía ao 'art. 141' os prazos de '15 dias úteis para liquidação + 10 dias úteis para pagamento'. Após leitura direta do texto oficial, isso está INCORRETO: o art. 141 trata da ORDEM CRONOLÓGICA DE PAGAMENTOS (evitar 'furar a fila'), não de prazos em dias. O dispositivo correto que exige prazo de pagamento é o art. 92, VI (ver item acima), que delega ao CONTRATO a definição do número de dias - não há um prazo padrão nacional de 15+10 dias na Lei 14.133/2021.</t>
        </is>
      </c>
      <c r="I111" t="inlineStr">
        <is>
          <t>alta</t>
        </is>
      </c>
    </row>
    <row r="112">
      <c r="A112" t="inlineStr">
        <is>
          <t>Prazo de pagamento</t>
        </is>
      </c>
      <c r="B112" t="inlineStr">
        <is>
          <t>Prática municipal/estadual usual observada no mercado (não é texto de lei)</t>
        </is>
      </c>
      <c r="C112" t="inlineStr">
        <is>
          <t>30 dias corridos após liquidação/atesto da nota fiscal é o prazo mais comum adotado em editais municipais e estaduais brasileiros</t>
        </is>
      </c>
      <c r="D112" t="inlineStr">
        <is>
          <t>dias corridos</t>
        </is>
      </c>
      <c r="E112" s="2" t="inlineStr">
        <is>
          <t>https://conlicitacao.com.br/prazo-de-pagamento-na-licitacao/</t>
        </is>
      </c>
      <c r="F112" t="inlineStr">
        <is>
          <t>2026-09-27</t>
        </is>
      </c>
      <c r="G112" t="inlineStr">
        <is>
          <t>resultado de busca sobre práticas de mercado em editais municipais/estaduais</t>
        </is>
      </c>
      <c r="H112" t="inlineStr">
        <is>
          <t>Não é uma regra legal e sim uma prática observada; cada edital/contrato específico prevalece (conforme art. 92, VI da Lei 14.133/2021, acima). Recomenda-se verificar a cláusula de pagamento do edital/minuta de contrato do órgão contratante específico em Goiás antes de assumir este prazo.</t>
        </is>
      </c>
      <c r="I112" t="inlineStr">
        <is>
          <t>baixa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fonte_url</t>
        </is>
      </c>
      <c r="B1" s="1" t="inlineStr">
        <is>
          <t>data_acesso</t>
        </is>
      </c>
      <c r="C1" s="1" t="inlineStr">
        <is>
          <t>n_registros</t>
        </is>
      </c>
    </row>
    <row r="2">
      <c r="A2" s="2" t="inlineStr">
        <is>
          <t>-</t>
        </is>
      </c>
      <c r="B2" t="inlineStr">
        <is>
          <t>2026-09-27</t>
        </is>
      </c>
      <c r="C2" t="n">
        <v>6</v>
      </c>
    </row>
    <row r="3">
      <c r="A3" s="2" t="inlineStr">
        <is>
          <t>https://buscadorsicro.com.br/go/insumo/E9041</t>
        </is>
      </c>
      <c r="B3" t="inlineStr">
        <is>
          <t>2026-09-27</t>
        </is>
      </c>
      <c r="C3" t="n">
        <v>1</v>
      </c>
    </row>
    <row r="4">
      <c r="A4" s="2" t="inlineStr">
        <is>
          <t>https://buscadorsicro.com.br/go/insumo/E9686</t>
        </is>
      </c>
      <c r="B4" t="inlineStr">
        <is>
          <t>2026-09-27</t>
        </is>
      </c>
      <c r="C4" t="n">
        <v>1</v>
      </c>
    </row>
    <row r="5">
      <c r="A5" s="2" t="inlineStr">
        <is>
          <t>https://buscadorsicro.com.br/go/insumo/E9690</t>
        </is>
      </c>
      <c r="B5" t="inlineStr">
        <is>
          <t>2026-09-27</t>
        </is>
      </c>
      <c r="C5" t="n">
        <v>1</v>
      </c>
    </row>
    <row r="6">
      <c r="A6" s="2" t="inlineStr">
        <is>
          <t>https://cetti.com.br/p/cabo-de-cobre-nu-35-mm2-com-7-fios-solidos-para-aterramento-eletrico-1-metro/</t>
        </is>
      </c>
      <c r="B6" t="inlineStr">
        <is>
          <t>2026-09-27</t>
        </is>
      </c>
      <c r="C6" t="n">
        <v>1</v>
      </c>
    </row>
    <row r="7">
      <c r="A7" s="2" t="inlineStr">
        <is>
          <t>https://conlicitacao.com.br/prazo-de-pagamento-na-licitacao/</t>
        </is>
      </c>
      <c r="B7" t="inlineStr">
        <is>
          <t>2026-09-27</t>
        </is>
      </c>
      <c r="C7" t="n">
        <v>1</v>
      </c>
    </row>
    <row r="8">
      <c r="A8" s="2" t="inlineStr">
        <is>
          <t>https://demape.com.br/produto/reator-vapor-de-sodio-150w-externo-galvanizado-ence/</t>
        </is>
      </c>
      <c r="B8" t="inlineStr">
        <is>
          <t>2026-09-27</t>
        </is>
      </c>
      <c r="C8" t="n">
        <v>1</v>
      </c>
    </row>
    <row r="9">
      <c r="A9" s="2" t="inlineStr">
        <is>
          <t>https://demape.com.br/produto/reator-vapor-de-sodio-70w-externo-galvanizado/</t>
        </is>
      </c>
      <c r="B9" t="inlineStr">
        <is>
          <t>2026-09-27</t>
        </is>
      </c>
      <c r="C9" t="n">
        <v>1</v>
      </c>
    </row>
    <row r="10">
      <c r="A10" s="2" t="inlineStr">
        <is>
          <t>https://effecti.com.br/seguro-garantia-licitacoes-publicas/</t>
        </is>
      </c>
      <c r="B10" t="inlineStr">
        <is>
          <t>2026-09-27</t>
        </is>
      </c>
      <c r="C10" t="n">
        <v>1</v>
      </c>
    </row>
    <row r="11">
      <c r="A11" s="2" t="inlineStr">
        <is>
          <t>https://febrac.org.br/wp-content/uploads/2026/01/GO001031.2025C-CCT-2026-2027-LIMPEZA-AMBIENTAL-ESTADO-DE-GOIAS-REGISTRADA.pdf</t>
        </is>
      </c>
      <c r="B11" t="inlineStr">
        <is>
          <t>2026-09-27</t>
        </is>
      </c>
      <c r="C11" t="n">
        <v>1</v>
      </c>
    </row>
    <row r="12">
      <c r="A12" s="2" t="inlineStr">
        <is>
          <t>https://geofrio.com.br/produtos/gas-refrigerante-r134-ar-condicionado-automotivo-botija-13kg/</t>
        </is>
      </c>
      <c r="B12" t="inlineStr">
        <is>
          <t>2026-09-27</t>
        </is>
      </c>
      <c r="C12" t="n">
        <v>1</v>
      </c>
    </row>
    <row r="13">
      <c r="A13" s="2" t="inlineStr">
        <is>
          <t>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</t>
        </is>
      </c>
      <c r="B13" t="inlineStr">
        <is>
          <t>2026-09-27</t>
        </is>
      </c>
      <c r="C13" t="n">
        <v>2</v>
      </c>
    </row>
    <row r="14">
      <c r="A14" s="2" t="inlineStr">
        <is>
          <t>https://goias.gov.br/seinfra/wp-content/uploads/sites/6/2025/09/ANEXO-3.pdf</t>
        </is>
      </c>
      <c r="B14" t="inlineStr">
        <is>
          <t>2026-09-27</t>
        </is>
      </c>
      <c r="C14" t="n">
        <v>7</v>
      </c>
    </row>
    <row r="15">
      <c r="A15" s="2" t="inlineStr">
        <is>
          <t>https://lista.mercadolivre.com.br/rele-fotocelula-para-iluminacao-publica</t>
        </is>
      </c>
      <c r="B15" t="inlineStr">
        <is>
          <t>2026-09-27</t>
        </is>
      </c>
      <c r="C15" t="n">
        <v>1</v>
      </c>
    </row>
    <row r="16">
      <c r="A16" s="2" t="inlineStr">
        <is>
          <t>https://sindipesa.org.br/wp-content/uploads/2025/09/CCT-SINDICARGAS-2025.2026-REGISTRADA.pdf</t>
        </is>
      </c>
      <c r="B16" t="inlineStr">
        <is>
          <t>2026-09-27</t>
        </is>
      </c>
      <c r="C16" t="n">
        <v>2</v>
      </c>
    </row>
    <row r="17">
      <c r="A17" s="2" t="inlineStr">
        <is>
          <t>https://sindmetalgo.com.br/wp-content/uploads/2024/04/Mediador_-_Extrato_Convencao_Coletiva_SIMELGO_ULTIMA_assinado_assinado.pdf</t>
        </is>
      </c>
      <c r="B17" t="inlineStr">
        <is>
          <t>2026-09-27</t>
        </is>
      </c>
      <c r="C17" t="n">
        <v>1</v>
      </c>
    </row>
    <row r="18">
      <c r="A18" s="2" t="inlineStr">
        <is>
          <t>https://valorfinal.com.br/calculadora-custo-por-km</t>
        </is>
      </c>
      <c r="B18" t="inlineStr">
        <is>
          <t>2026-09-27</t>
        </is>
      </c>
      <c r="C18" t="n">
        <v>1</v>
      </c>
    </row>
    <row r="19">
      <c r="A19" s="2" t="inlineStr">
        <is>
          <t>https://www.acsmateriaiseletricos.com.br/produtos/cabo-flexivel-25mm-750v-antichama-azul-100-metros/</t>
        </is>
      </c>
      <c r="B19" t="inlineStr">
        <is>
          <t>2026-09-27</t>
        </is>
      </c>
      <c r="C19" t="n">
        <v>1</v>
      </c>
    </row>
    <row r="20">
      <c r="A20" s="2" t="inlineStr">
        <is>
          <t>https://www.caixa.gov.br/Downloads/sinapi-metodologia/Livro_SINAPI_Calculos_Parametros.pdf</t>
        </is>
      </c>
      <c r="B20" t="inlineStr">
        <is>
          <t>2026-09-27</t>
        </is>
      </c>
      <c r="C20" t="n">
        <v>5</v>
      </c>
    </row>
    <row r="21">
      <c r="A21" s="2" t="inlineStr">
        <is>
          <t>https://www.casadoeletricistasc.com.br/cabo-flexivel-750v-2-5mm2-antichama-preto-corfio-rolo-100m/p/kit611</t>
        </is>
      </c>
      <c r="B21" t="inlineStr">
        <is>
          <t>2026-09-27</t>
        </is>
      </c>
      <c r="C21" t="n">
        <v>1</v>
      </c>
    </row>
    <row r="22">
      <c r="A22" s="2" t="inlineStr">
        <is>
          <t>https://www.casaeletropecas.com.br/pecas-geladeira/termostato</t>
        </is>
      </c>
      <c r="B22" t="inlineStr">
        <is>
          <t>2026-09-27</t>
        </is>
      </c>
      <c r="C22" t="n">
        <v>1</v>
      </c>
    </row>
    <row r="23">
      <c r="A23" s="2" t="inlineStr">
        <is>
          <t>https://www.combustiveis-anp.com.br/estado/go</t>
        </is>
      </c>
      <c r="B23" t="inlineStr">
        <is>
          <t>2026-09-27</t>
        </is>
      </c>
      <c r="C23" t="n">
        <v>1</v>
      </c>
    </row>
    <row r="24">
      <c r="A24" s="2" t="inlineStr">
        <is>
          <t>https://www.csmmuncksp.com.br/blog/categorias/artigos/quanto-custa-a-locacao-de-um-munck-entenda-os-fatores-que-influenciam-o-preco</t>
        </is>
      </c>
      <c r="B24" t="inlineStr">
        <is>
          <t>2026-09-27</t>
        </is>
      </c>
      <c r="C24" t="n">
        <v>1</v>
      </c>
    </row>
    <row r="25">
      <c r="A25" s="2" t="inlineStr">
        <is>
          <t>https://www.disfer.com.br/disjuntores ; https://www.pjneblina.com.br/produto/disjuntor-mini-din-unipolar-25a-curva-c-3ka-230400v-sdd61c25-steck/5026776</t>
        </is>
      </c>
      <c r="B25" t="inlineStr">
        <is>
          <t>2026-09-27</t>
        </is>
      </c>
      <c r="C25" t="n">
        <v>1</v>
      </c>
    </row>
    <row r="26">
      <c r="A26" s="2" t="inlineStr">
        <is>
          <t>https://www.dsfrio.com.br/gas-refrigerante-r134a-botija-cilindro-de-136kg</t>
        </is>
      </c>
      <c r="B26" t="inlineStr">
        <is>
          <t>2026-09-27</t>
        </is>
      </c>
      <c r="C26" t="n">
        <v>1</v>
      </c>
    </row>
    <row r="27">
      <c r="A27" s="2" t="inlineStr">
        <is>
          <t>https://www.editais.uff.br/sites/default/files/arquivos/Base%20BDI%20-%20Ac%C3%B3rd%C3%A3o-2622-2013.pdf</t>
        </is>
      </c>
      <c r="B27" t="inlineStr">
        <is>
          <t>2026-09-27</t>
        </is>
      </c>
      <c r="C27" t="n">
        <v>21</v>
      </c>
    </row>
    <row r="28">
      <c r="A28" s="2" t="inlineStr">
        <is>
          <t>https://www.eletroarbc.com.br/produtos/tubo-de-cobre-1-4-para-ar-condicionado-preco-de-1-metro/</t>
        </is>
      </c>
      <c r="B28" t="inlineStr">
        <is>
          <t>2026-09-27</t>
        </is>
      </c>
      <c r="C28" t="n">
        <v>1</v>
      </c>
    </row>
    <row r="29">
      <c r="A29" s="2" t="inlineStr">
        <is>
          <t>https://www.eletrofrigor.com.br/produto/compressor-1-4-hp-r134a-220v-1f-reciproco-hermetico-embraco-emr80hlr-6975</t>
        </is>
      </c>
      <c r="B29" t="inlineStr">
        <is>
          <t>2026-09-27</t>
        </is>
      </c>
      <c r="C29" t="n">
        <v>1</v>
      </c>
    </row>
    <row r="30">
      <c r="A30" s="2" t="inlineStr">
        <is>
          <t>https://www.eletrofrigor.com.br/produto/gas-fluido-refrigerante-r404a-botija-10-9kg-friven-1712</t>
        </is>
      </c>
      <c r="B30" t="inlineStr">
        <is>
          <t>2026-09-27</t>
        </is>
      </c>
      <c r="C30" t="n">
        <v>1</v>
      </c>
    </row>
    <row r="31">
      <c r="A31" s="2" t="inlineStr">
        <is>
          <t>https://www.frigelar.com.br/gas-refrigerante-r410a-eos-cilindro-de-1134kg/p/kit5357</t>
        </is>
      </c>
      <c r="B31" t="inlineStr">
        <is>
          <t>2026-09-27</t>
        </is>
      </c>
      <c r="C31" t="n">
        <v>1</v>
      </c>
    </row>
    <row r="32">
      <c r="A32" s="2" t="inlineStr">
        <is>
          <t>https://www.goiania.go.gov.br/download/financas/novoctm.pdf</t>
        </is>
      </c>
      <c r="B32" t="inlineStr">
        <is>
          <t>2026-09-27</t>
        </is>
      </c>
      <c r="C32" t="n">
        <v>1</v>
      </c>
    </row>
    <row r="33">
      <c r="A33" s="2" t="inlineStr">
        <is>
          <t>https://www.gov.br/anp/pt-br/assuntos/precos-e-defesa-da-concorrencia/precos/arquivos-lpc/2026/revendas_lpc_2026-09-20_2026-09-26.xlsx</t>
        </is>
      </c>
      <c r="B33" t="inlineStr">
        <is>
          <t>2026-09-27</t>
        </is>
      </c>
      <c r="C33" t="n">
        <v>5</v>
      </c>
    </row>
    <row r="34">
      <c r="A34" s="2" t="inlineStr">
        <is>
          <t>https://www.irmaossoares.com.br/braco-para-luminaria-publica-1m-2-polegadas-reto-eletrometa/p</t>
        </is>
      </c>
      <c r="B34" t="inlineStr">
        <is>
          <t>2026-09-27</t>
        </is>
      </c>
      <c r="C34" t="n">
        <v>1</v>
      </c>
    </row>
    <row r="35">
      <c r="A35" s="2" t="inlineStr">
        <is>
          <t>https://www.lojacentraleletrica.com.br/produto/cabo-de-cobre-nu-50mm-para-aterramento</t>
        </is>
      </c>
      <c r="B35" t="inlineStr">
        <is>
          <t>2026-09-27</t>
        </is>
      </c>
      <c r="C35" t="n">
        <v>1</v>
      </c>
    </row>
    <row r="36">
      <c r="A36" s="2" t="inlineStr">
        <is>
          <t>https://www.lojamincarone.com.br/MLB-3206717017-botija-de-gas-fluido-refrigerante-r404a-genetron-10896kg-_JM</t>
        </is>
      </c>
      <c r="B36" t="inlineStr">
        <is>
          <t>2026-09-27</t>
        </is>
      </c>
      <c r="C36" t="n">
        <v>1</v>
      </c>
    </row>
    <row r="37">
      <c r="A37" s="2" t="inlineStr">
        <is>
          <t>https://www.marciobalduchi.com.br/diversos-servicos-de-instalacao-e-manutencao-tributados-no-anexo-iii-do-simples-nacional/</t>
        </is>
      </c>
      <c r="B37" t="inlineStr">
        <is>
          <t>2026-09-27</t>
        </is>
      </c>
      <c r="C37" t="n">
        <v>1</v>
      </c>
    </row>
    <row r="38">
      <c r="A38" s="2" t="inlineStr">
        <is>
          <t>https://www.multifrioshop.com/fluidos-refrigerantes/gas-r22-refrigerante-original-botija-13-6kg-generico</t>
        </is>
      </c>
      <c r="B38" t="inlineStr">
        <is>
          <t>2026-09-27</t>
        </is>
      </c>
      <c r="C38" t="n">
        <v>1</v>
      </c>
    </row>
    <row r="39">
      <c r="A39" s="2" t="inlineStr">
        <is>
          <t>https://www.multifrioshop.com/fluidos-refrigerantes/gas-r410a-botija-11-35kg-r410-410a-refrigerante</t>
        </is>
      </c>
      <c r="B39" t="inlineStr">
        <is>
          <t>2026-09-27</t>
        </is>
      </c>
      <c r="C39" t="n">
        <v>1</v>
      </c>
    </row>
    <row r="40">
      <c r="A40" s="2" t="inlineStr">
        <is>
          <t>https://www.munk.com.br/locacao-de-caminhao-munck/locacao-de-caminhao-munck-com-operador/valor-de-locacao-de-caminhao-munck-por-hora-osasco</t>
        </is>
      </c>
      <c r="B40" t="inlineStr">
        <is>
          <t>2026-09-27</t>
        </is>
      </c>
      <c r="C40" t="n">
        <v>1</v>
      </c>
    </row>
    <row r="41">
      <c r="A41" s="2" t="inlineStr">
        <is>
          <t>https://www.ourolux.com.br/produtos/iluminac-o/lampadas-de-descarga/vapor-de-sodio.html</t>
        </is>
      </c>
      <c r="B41" t="inlineStr">
        <is>
          <t>2026-09-27</t>
        </is>
      </c>
      <c r="C41" t="n">
        <v>1</v>
      </c>
    </row>
    <row r="42">
      <c r="A42" s="2" t="inlineStr">
        <is>
          <t>https://www.planalto.gov.br/ccivil_03/_ato2019-2022/2021/lei/l14133.htm</t>
        </is>
      </c>
      <c r="B42" t="inlineStr">
        <is>
          <t>2026-09-27</t>
        </is>
      </c>
      <c r="C42" t="n">
        <v>3</v>
      </c>
    </row>
    <row r="43">
      <c r="A43" s="2" t="inlineStr">
        <is>
          <t>https://www.planalto.gov.br/ccivil_03/_ato2023-2026/2025/decreto/d12797.htm</t>
        </is>
      </c>
      <c r="B43" t="inlineStr">
        <is>
          <t>2026-09-27</t>
        </is>
      </c>
      <c r="C43" t="n">
        <v>1</v>
      </c>
    </row>
    <row r="44">
      <c r="A44" s="2" t="inlineStr">
        <is>
          <t>https://www.planalto.gov.br/ccivil_03/leis/l4950a.htm</t>
        </is>
      </c>
      <c r="B44" t="inlineStr">
        <is>
          <t>2026-09-27</t>
        </is>
      </c>
      <c r="C44" t="n">
        <v>2</v>
      </c>
    </row>
    <row r="45">
      <c r="A45" s="2" t="inlineStr">
        <is>
          <t>https://www.refricenter.com.br/linha-da-gases/fluido-refrigerante-ou-gas-eos-r22-cilindro-13-62-kg</t>
        </is>
      </c>
      <c r="B45" t="inlineStr">
        <is>
          <t>2026-09-27</t>
        </is>
      </c>
      <c r="C45" t="n">
        <v>1</v>
      </c>
    </row>
    <row r="46">
      <c r="A46" s="2" t="inlineStr">
        <is>
          <t>https://www.refritron.com.br/material-de-instalacao-e-manutencao/produtos-de-limpeza-e-higienizacao</t>
        </is>
      </c>
      <c r="B46" t="inlineStr">
        <is>
          <t>2026-09-27</t>
        </is>
      </c>
      <c r="C46" t="n">
        <v>1</v>
      </c>
    </row>
    <row r="47">
      <c r="A47" s="2" t="inlineStr">
        <is>
          <t>https://www.rlrefrigeracao.com.br/produto/botija-gas-r410a-113kg.html</t>
        </is>
      </c>
      <c r="B47" t="inlineStr">
        <is>
          <t>2026-09-27</t>
        </is>
      </c>
      <c r="C47" t="n">
        <v>1</v>
      </c>
    </row>
    <row r="48">
      <c r="A48" s="2" t="inlineStr">
        <is>
          <t>https://www.rlrefrigeracao.com.br/produto/gas-r22-cilindro-botija-136kg.html</t>
        </is>
      </c>
      <c r="B48" t="inlineStr">
        <is>
          <t>2026-09-27</t>
        </is>
      </c>
      <c r="C48" t="n">
        <v>1</v>
      </c>
    </row>
    <row r="49">
      <c r="A49" s="2" t="inlineStr">
        <is>
          <t>https://www.setceg.org.br/wp-content/uploads/2026/05/CCT-CARGA-2026-2028.pdf</t>
        </is>
      </c>
      <c r="B49" t="inlineStr">
        <is>
          <t>2026-09-27</t>
        </is>
      </c>
      <c r="C49" t="n">
        <v>4</v>
      </c>
    </row>
    <row r="50">
      <c r="A50" s="2" t="inlineStr">
        <is>
          <t>https://www.sintracomgoiania.com.br/images/convencoes_arquivos/construcao-civil/CCT_2025_2027_Divulgacao_Conjunta_Sinduscon_e_Sintracom_Goias_assinado.pdf</t>
        </is>
      </c>
      <c r="B50" t="inlineStr">
        <is>
          <t>2026-09-27</t>
        </is>
      </c>
      <c r="C50" t="n">
        <v>9</v>
      </c>
    </row>
    <row r="51">
      <c r="A51" s="2" t="inlineStr">
        <is>
          <t>https://www.sustentaled.com.br/ ; https://lista.mercadolivre.com.br/luminaria-publica-led-60w</t>
        </is>
      </c>
      <c r="B51" t="inlineStr">
        <is>
          <t>2026-09-27</t>
        </is>
      </c>
      <c r="C51" t="n">
        <v>1</v>
      </c>
    </row>
    <row r="52">
      <c r="A52" s="2" t="inlineStr">
        <is>
          <t>https://www.tudoar.com.br/quanto-custa-um-capacitor-de-ar-condicionado ; https://www.friopecas.com.br/pecas-e-servicos/pecas-ar-condicionado/capacitores</t>
        </is>
      </c>
      <c r="B52" t="inlineStr">
        <is>
          <t>2026-09-27</t>
        </is>
      </c>
      <c r="C52" t="n">
        <v>1</v>
      </c>
    </row>
    <row r="53">
      <c r="A53" s="2" t="inlineStr">
        <is>
          <t>https://www.vlpcomercial.com.br/iluminacao/reatores/eletromagnetico/para-lampada-sodio.html</t>
        </is>
      </c>
      <c r="B53" t="inlineStr">
        <is>
          <t>2026-09-27</t>
        </is>
      </c>
      <c r="C53" t="n">
        <v>1</v>
      </c>
    </row>
    <row r="54">
      <c r="A54" s="2" t="inlineStr">
        <is>
          <t>https://www.wermar.com.br/materiais-eletricos/haste-copperweld-para-aterramento-com-conector-2-40m</t>
        </is>
      </c>
      <c r="B54" t="inlineStr">
        <is>
          <t>2026-09-27</t>
        </is>
      </c>
      <c r="C54" t="n">
        <v>1</v>
      </c>
    </row>
    <row r="55">
      <c r="A55" s="2" t="inlineStr">
        <is>
          <t>ver 2 itens acima</t>
        </is>
      </c>
      <c r="B55" t="inlineStr">
        <is>
          <t>2026-09-27</t>
        </is>
      </c>
      <c r="C55" t="n">
        <v>1</v>
      </c>
    </row>
    <row r="56">
      <c r="A56" s="2" t="inlineStr">
        <is>
          <t>ver 2 itens acima (Multifrio R$961,28 tabela / R$865,15 Pix; Frigelar ~R$890 Pix)</t>
        </is>
      </c>
      <c r="B56" t="inlineStr">
        <is>
          <t>2026-09-27</t>
        </is>
      </c>
      <c r="C56" t="n">
        <v>1</v>
      </c>
    </row>
    <row r="57">
      <c r="A57" s="2" t="inlineStr">
        <is>
          <t>ver 3 itens acima</t>
        </is>
      </c>
      <c r="B57" t="inlineStr">
        <is>
          <t>2026-09-27</t>
        </is>
      </c>
      <c r="C57" t="n">
        <v>1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2026-09-27T02:38:02Z</dcterms:created>
  <dcterms:modified xsi:type="dcterms:W3CDTF">2026-09-27T02:38:02Z</dcterms:modified>
</cp:coreProperties>
</file>