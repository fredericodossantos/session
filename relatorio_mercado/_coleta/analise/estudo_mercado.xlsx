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_brutos" sheetId="1" state="visible" r:id="rId1"/>
    <sheet name="indicadores_por_area" sheetId="2" state="visible" r:id="rId2"/>
    <sheet name="exclusoes" sheetId="3" state="visible" r:id="rId3"/>
    <sheet name="custos_referencia" sheetId="4" state="visible" r:id="rId4"/>
    <sheet name="fon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ncp.gov.br/app/editais/00001727000193/2025/22" TargetMode="External" Id="rId1" /><Relationship Type="http://schemas.openxmlformats.org/officeDocument/2006/relationships/hyperlink" Target="https://pncp.gov.br/app/editais/00001727000193/2025/36" TargetMode="External" Id="rId2" /><Relationship Type="http://schemas.openxmlformats.org/officeDocument/2006/relationships/hyperlink" Target="https://pncp.gov.br/app/editais/00006874000156/2026/115" TargetMode="External" Id="rId3" /><Relationship Type="http://schemas.openxmlformats.org/officeDocument/2006/relationships/hyperlink" Target="https://pncp.gov.br/app/editais/00006874000156/2026/133" TargetMode="External" Id="rId4" /><Relationship Type="http://schemas.openxmlformats.org/officeDocument/2006/relationships/hyperlink" Target="https://pncp.gov.br/app/editais/00044834000107/2025/2" TargetMode="External" Id="rId5" /><Relationship Type="http://schemas.openxmlformats.org/officeDocument/2006/relationships/hyperlink" Target="https://pncp.gov.br/app/editais/00044834000107/2025/67" TargetMode="External" Id="rId6" /><Relationship Type="http://schemas.openxmlformats.org/officeDocument/2006/relationships/hyperlink" Target="https://pncp.gov.br/app/editais/00078790000128/2025/161" TargetMode="External" Id="rId7" /><Relationship Type="http://schemas.openxmlformats.org/officeDocument/2006/relationships/hyperlink" Target="https://pncp.gov.br/app/editais/00079806000117/2026/18" TargetMode="External" Id="rId8" /><Relationship Type="http://schemas.openxmlformats.org/officeDocument/2006/relationships/hyperlink" Target="https://pncp.gov.br/app/editais/00097857000171/2025/119" TargetMode="External" Id="rId9" /><Relationship Type="http://schemas.openxmlformats.org/officeDocument/2006/relationships/hyperlink" Target="https://pncp.gov.br/app/editais/00145789000179/2025/395" TargetMode="External" Id="rId10" /><Relationship Type="http://schemas.openxmlformats.org/officeDocument/2006/relationships/hyperlink" Target="https://pncp.gov.br/app/editais/00163055000112/2025/135" TargetMode="External" Id="rId11" /><Relationship Type="http://schemas.openxmlformats.org/officeDocument/2006/relationships/hyperlink" Target="https://pncp.gov.br/app/editais/00236968000111/2025/55" TargetMode="External" Id="rId12" /><Relationship Type="http://schemas.openxmlformats.org/officeDocument/2006/relationships/hyperlink" Target="https://pncp.gov.br/app/editais/00237222000122/2025/18" TargetMode="External" Id="rId13" /><Relationship Type="http://schemas.openxmlformats.org/officeDocument/2006/relationships/hyperlink" Target="https://pncp.gov.br/app/editais/00348003000110/2026/252" TargetMode="External" Id="rId14" /><Relationship Type="http://schemas.openxmlformats.org/officeDocument/2006/relationships/hyperlink" Target="https://pncp.gov.br/app/editais/00348003000110/2026/583" TargetMode="External" Id="rId15" /><Relationship Type="http://schemas.openxmlformats.org/officeDocument/2006/relationships/hyperlink" Target="https://pncp.gov.br/app/editais/00348003000110/2026/585" TargetMode="External" Id="rId16" /><Relationship Type="http://schemas.openxmlformats.org/officeDocument/2006/relationships/hyperlink" Target="https://pncp.gov.br/app/editais/00348003000110/2026/638" TargetMode="External" Id="rId17" /><Relationship Type="http://schemas.openxmlformats.org/officeDocument/2006/relationships/hyperlink" Target="https://pncp.gov.br/app/editais/00348003000110/2026/702" TargetMode="External" Id="rId18" /><Relationship Type="http://schemas.openxmlformats.org/officeDocument/2006/relationships/hyperlink" Target="https://pncp.gov.br/app/editais/00348003002245/2025/278" TargetMode="External" Id="rId19" /><Relationship Type="http://schemas.openxmlformats.org/officeDocument/2006/relationships/hyperlink" Target="https://pncp.gov.br/app/editais/00394429000100/2025/966" TargetMode="External" Id="rId20" /><Relationship Type="http://schemas.openxmlformats.org/officeDocument/2006/relationships/hyperlink" Target="https://pncp.gov.br/app/editais/00394429000100/2026/1192" TargetMode="External" Id="rId21" /><Relationship Type="http://schemas.openxmlformats.org/officeDocument/2006/relationships/hyperlink" Target="https://pncp.gov.br/app/editais/00394429000100/2026/2144" TargetMode="External" Id="rId22" /><Relationship Type="http://schemas.openxmlformats.org/officeDocument/2006/relationships/hyperlink" Target="https://pncp.gov.br/app/editais/00394452000103/2024/23284" TargetMode="External" Id="rId23" /><Relationship Type="http://schemas.openxmlformats.org/officeDocument/2006/relationships/hyperlink" Target="https://pncp.gov.br/app/editais/00394452000103/2025/14331" TargetMode="External" Id="rId24" /><Relationship Type="http://schemas.openxmlformats.org/officeDocument/2006/relationships/hyperlink" Target="https://pncp.gov.br/app/editais/00394452000103/2025/16511" TargetMode="External" Id="rId25" /><Relationship Type="http://schemas.openxmlformats.org/officeDocument/2006/relationships/hyperlink" Target="https://pncp.gov.br/app/editais/00394452000103/2025/18092" TargetMode="External" Id="rId26" /><Relationship Type="http://schemas.openxmlformats.org/officeDocument/2006/relationships/hyperlink" Target="https://pncp.gov.br/app/editais/00394452000103/2025/23037" TargetMode="External" Id="rId27" /><Relationship Type="http://schemas.openxmlformats.org/officeDocument/2006/relationships/hyperlink" Target="https://pncp.gov.br/app/editais/00394452000103/2025/23859" TargetMode="External" Id="rId28" /><Relationship Type="http://schemas.openxmlformats.org/officeDocument/2006/relationships/hyperlink" Target="https://pncp.gov.br/app/editais/00394452000103/2025/24023" TargetMode="External" Id="rId29" /><Relationship Type="http://schemas.openxmlformats.org/officeDocument/2006/relationships/hyperlink" Target="https://pncp.gov.br/app/editais/00394452000103/2026/12981" TargetMode="External" Id="rId30" /><Relationship Type="http://schemas.openxmlformats.org/officeDocument/2006/relationships/hyperlink" Target="https://pncp.gov.br/app/editais/00394452000103/2026/13259" TargetMode="External" Id="rId31" /><Relationship Type="http://schemas.openxmlformats.org/officeDocument/2006/relationships/hyperlink" Target="https://pncp.gov.br/app/editais/00394452000103/2026/14034" TargetMode="External" Id="rId32" /><Relationship Type="http://schemas.openxmlformats.org/officeDocument/2006/relationships/hyperlink" Target="https://pncp.gov.br/app/editais/00394452000103/2026/15739" TargetMode="External" Id="rId33" /><Relationship Type="http://schemas.openxmlformats.org/officeDocument/2006/relationships/hyperlink" Target="https://pncp.gov.br/app/editais/00394494000136/2026/812" TargetMode="External" Id="rId34" /><Relationship Type="http://schemas.openxmlformats.org/officeDocument/2006/relationships/hyperlink" Target="https://pncp.gov.br/app/editais/00394494010441/2026/523" TargetMode="External" Id="rId35" /><Relationship Type="http://schemas.openxmlformats.org/officeDocument/2006/relationships/hyperlink" Target="https://pncp.gov.br/app/editais/00394502000144/2026/7871" TargetMode="External" Id="rId36" /><Relationship Type="http://schemas.openxmlformats.org/officeDocument/2006/relationships/hyperlink" Target="https://pncp.gov.br/app/editais/00394544000185/2026/1654" TargetMode="External" Id="rId37" /><Relationship Type="http://schemas.openxmlformats.org/officeDocument/2006/relationships/hyperlink" Target="https://pncp.gov.br/app/editais/00394684000153/2026/104" TargetMode="External" Id="rId38" /><Relationship Type="http://schemas.openxmlformats.org/officeDocument/2006/relationships/hyperlink" Target="https://pncp.gov.br/app/editais/00394684000153/2026/113" TargetMode="External" Id="rId39" /><Relationship Type="http://schemas.openxmlformats.org/officeDocument/2006/relationships/hyperlink" Target="https://pncp.gov.br/app/editais/00394684000153/2026/49" TargetMode="External" Id="rId40" /><Relationship Type="http://schemas.openxmlformats.org/officeDocument/2006/relationships/hyperlink" Target="https://pncp.gov.br/app/editais/00396895000125/2025/576" TargetMode="External" Id="rId41" /><Relationship Type="http://schemas.openxmlformats.org/officeDocument/2006/relationships/hyperlink" Target="https://pncp.gov.br/app/editais/00489828000155/2025/620" TargetMode="External" Id="rId42" /><Relationship Type="http://schemas.openxmlformats.org/officeDocument/2006/relationships/hyperlink" Target="https://pncp.gov.br/app/editais/00508903000188/2025/2169" TargetMode="External" Id="rId43" /><Relationship Type="http://schemas.openxmlformats.org/officeDocument/2006/relationships/hyperlink" Target="https://pncp.gov.br/app/editais/00508903000188/2026/1432" TargetMode="External" Id="rId44" /><Relationship Type="http://schemas.openxmlformats.org/officeDocument/2006/relationships/hyperlink" Target="https://pncp.gov.br/app/editais/00508903000188/2026/967" TargetMode="External" Id="rId45" /><Relationship Type="http://schemas.openxmlformats.org/officeDocument/2006/relationships/hyperlink" Target="https://pncp.gov.br/app/editais/00509018000113/2025/1112" TargetMode="External" Id="rId46" /><Relationship Type="http://schemas.openxmlformats.org/officeDocument/2006/relationships/hyperlink" Target="https://pncp.gov.br/app/editais/00509018000113/2025/1577" TargetMode="External" Id="rId47" /><Relationship Type="http://schemas.openxmlformats.org/officeDocument/2006/relationships/hyperlink" Target="https://pncp.gov.br/app/editais/00509018000113/2025/2719" TargetMode="External" Id="rId48" /><Relationship Type="http://schemas.openxmlformats.org/officeDocument/2006/relationships/hyperlink" Target="https://pncp.gov.br/app/editais/00509018000113/2026/1080" TargetMode="External" Id="rId49" /><Relationship Type="http://schemas.openxmlformats.org/officeDocument/2006/relationships/hyperlink" Target="https://pncp.gov.br/app/editais/00509018000113/2026/494" TargetMode="External" Id="rId50" /><Relationship Type="http://schemas.openxmlformats.org/officeDocument/2006/relationships/hyperlink" Target="https://pncp.gov.br/app/editais/00509968000148/2024/4438" TargetMode="External" Id="rId51" /><Relationship Type="http://schemas.openxmlformats.org/officeDocument/2006/relationships/hyperlink" Target="https://pncp.gov.br/app/editais/00509968000148/2025/160" TargetMode="External" Id="rId52" /><Relationship Type="http://schemas.openxmlformats.org/officeDocument/2006/relationships/hyperlink" Target="https://pncp.gov.br/app/editais/00509968000148/2026/1604" TargetMode="External" Id="rId53" /><Relationship Type="http://schemas.openxmlformats.org/officeDocument/2006/relationships/hyperlink" Target="https://pncp.gov.br/app/editais/00531954000120/2025/154" TargetMode="External" Id="rId54" /><Relationship Type="http://schemas.openxmlformats.org/officeDocument/2006/relationships/hyperlink" Target="https://pncp.gov.br/app/editais/00675468000186/2025/67" TargetMode="External" Id="rId55" /><Relationship Type="http://schemas.openxmlformats.org/officeDocument/2006/relationships/hyperlink" Target="https://pncp.gov.br/app/editais/01005727000124/2025/88" TargetMode="External" Id="rId56" /><Relationship Type="http://schemas.openxmlformats.org/officeDocument/2006/relationships/hyperlink" Target="https://pncp.gov.br/app/editais/01005727000124/2026/158" TargetMode="External" Id="rId57" /><Relationship Type="http://schemas.openxmlformats.org/officeDocument/2006/relationships/hyperlink" Target="https://pncp.gov.br/app/editais/01005727000124/2026/21" TargetMode="External" Id="rId58" /><Relationship Type="http://schemas.openxmlformats.org/officeDocument/2006/relationships/hyperlink" Target="https://pncp.gov.br/app/editais/01005727000124/2026/4" TargetMode="External" Id="rId59" /><Relationship Type="http://schemas.openxmlformats.org/officeDocument/2006/relationships/hyperlink" Target="https://pncp.gov.br/app/editais/01005917000141/2025/257" TargetMode="External" Id="rId60" /><Relationship Type="http://schemas.openxmlformats.org/officeDocument/2006/relationships/hyperlink" Target="https://pncp.gov.br/app/editais/01005917000141/2025/75" TargetMode="External" Id="rId61" /><Relationship Type="http://schemas.openxmlformats.org/officeDocument/2006/relationships/hyperlink" Target="https://pncp.gov.br/app/editais/01005917000141/2026/54" TargetMode="External" Id="rId62" /><Relationship Type="http://schemas.openxmlformats.org/officeDocument/2006/relationships/hyperlink" Target="https://pncp.gov.br/app/editais/01005917000141/2026/70" TargetMode="External" Id="rId63" /><Relationship Type="http://schemas.openxmlformats.org/officeDocument/2006/relationships/hyperlink" Target="https://pncp.gov.br/app/editais/01015676000111/2025/47" TargetMode="External" Id="rId64" /><Relationship Type="http://schemas.openxmlformats.org/officeDocument/2006/relationships/hyperlink" Target="https://pncp.gov.br/app/editais/01015676000111/2025/60" TargetMode="External" Id="rId65" /><Relationship Type="http://schemas.openxmlformats.org/officeDocument/2006/relationships/hyperlink" Target="https://pncp.gov.br/app/editais/01065846000172/2026/282" TargetMode="External" Id="rId66" /><Relationship Type="http://schemas.openxmlformats.org/officeDocument/2006/relationships/hyperlink" Target="https://pncp.gov.br/app/editais/01065846000172/2026/584" TargetMode="External" Id="rId67" /><Relationship Type="http://schemas.openxmlformats.org/officeDocument/2006/relationships/hyperlink" Target="https://pncp.gov.br/app/editais/01065846000172/2026/72" TargetMode="External" Id="rId68" /><Relationship Type="http://schemas.openxmlformats.org/officeDocument/2006/relationships/hyperlink" Target="https://pncp.gov.br/app/editais/01067081000100/2025/10" TargetMode="External" Id="rId69" /><Relationship Type="http://schemas.openxmlformats.org/officeDocument/2006/relationships/hyperlink" Target="https://pncp.gov.br/app/editais/01067081000100/2025/3" TargetMode="External" Id="rId70" /><Relationship Type="http://schemas.openxmlformats.org/officeDocument/2006/relationships/hyperlink" Target="https://pncp.gov.br/app/editais/01067081000100/2026/91" TargetMode="External" Id="rId71" /><Relationship Type="http://schemas.openxmlformats.org/officeDocument/2006/relationships/hyperlink" Target="https://pncp.gov.br/app/editais/01067206000100/2025/201" TargetMode="External" Id="rId72" /><Relationship Type="http://schemas.openxmlformats.org/officeDocument/2006/relationships/hyperlink" Target="https://pncp.gov.br/app/editais/01067255000134/2026/4" TargetMode="External" Id="rId73" /><Relationship Type="http://schemas.openxmlformats.org/officeDocument/2006/relationships/hyperlink" Target="https://pncp.gov.br/app/editais/01067255000134/2026/55" TargetMode="External" Id="rId74" /><Relationship Type="http://schemas.openxmlformats.org/officeDocument/2006/relationships/hyperlink" Target="https://pncp.gov.br/app/editais/01067255000134/2026/63" TargetMode="External" Id="rId75" /><Relationship Type="http://schemas.openxmlformats.org/officeDocument/2006/relationships/hyperlink" Target="https://pncp.gov.br/app/editais/01067305000183/2025/311" TargetMode="External" Id="rId76" /><Relationship Type="http://schemas.openxmlformats.org/officeDocument/2006/relationships/hyperlink" Target="https://pncp.gov.br/app/editais/01067479000146/2025/157" TargetMode="External" Id="rId77" /><Relationship Type="http://schemas.openxmlformats.org/officeDocument/2006/relationships/hyperlink" Target="https://pncp.gov.br/app/editais/01067479000146/2025/34" TargetMode="External" Id="rId78" /><Relationship Type="http://schemas.openxmlformats.org/officeDocument/2006/relationships/hyperlink" Target="https://pncp.gov.br/app/editais/01067479000146/2026/118" TargetMode="External" Id="rId79" /><Relationship Type="http://schemas.openxmlformats.org/officeDocument/2006/relationships/hyperlink" Target="https://pncp.gov.br/app/editais/01067925000112/2025/33" TargetMode="External" Id="rId80" /><Relationship Type="http://schemas.openxmlformats.org/officeDocument/2006/relationships/hyperlink" Target="https://pncp.gov.br/app/editais/01067941000105/2026/20" TargetMode="External" Id="rId81" /><Relationship Type="http://schemas.openxmlformats.org/officeDocument/2006/relationships/hyperlink" Target="https://pncp.gov.br/app/editais/01067974000155/2026/20" TargetMode="External" Id="rId82" /><Relationship Type="http://schemas.openxmlformats.org/officeDocument/2006/relationships/hyperlink" Target="https://pncp.gov.br/app/editais/01067990000148/2026/2" TargetMode="External" Id="rId83" /><Relationship Type="http://schemas.openxmlformats.org/officeDocument/2006/relationships/hyperlink" Target="https://pncp.gov.br/app/editais/01068014000100/2026/132" TargetMode="External" Id="rId84" /><Relationship Type="http://schemas.openxmlformats.org/officeDocument/2006/relationships/hyperlink" Target="https://pncp.gov.br/app/editais/01068030000100/2025/774" TargetMode="External" Id="rId85" /><Relationship Type="http://schemas.openxmlformats.org/officeDocument/2006/relationships/hyperlink" Target="https://pncp.gov.br/app/editais/01068030000100/2025/830" TargetMode="External" Id="rId86" /><Relationship Type="http://schemas.openxmlformats.org/officeDocument/2006/relationships/hyperlink" Target="https://pncp.gov.br/app/editais/01068030000100/2026/205" TargetMode="External" Id="rId87" /><Relationship Type="http://schemas.openxmlformats.org/officeDocument/2006/relationships/hyperlink" Target="https://pncp.gov.br/app/editais/01071408000117/2025/2" TargetMode="External" Id="rId88" /><Relationship Type="http://schemas.openxmlformats.org/officeDocument/2006/relationships/hyperlink" Target="https://pncp.gov.br/app/editais/01071438000123/2026/1" TargetMode="External" Id="rId89" /><Relationship Type="http://schemas.openxmlformats.org/officeDocument/2006/relationships/hyperlink" Target="https://pncp.gov.br/app/editais/01086980000150/2026/1" TargetMode="External" Id="rId90" /><Relationship Type="http://schemas.openxmlformats.org/officeDocument/2006/relationships/hyperlink" Target="https://pncp.gov.br/app/editais/01098929000168/2026/24" TargetMode="External" Id="rId91" /><Relationship Type="http://schemas.openxmlformats.org/officeDocument/2006/relationships/hyperlink" Target="https://pncp.gov.br/app/editais/01105626000125/2025/96" TargetMode="External" Id="rId92" /><Relationship Type="http://schemas.openxmlformats.org/officeDocument/2006/relationships/hyperlink" Target="https://pncp.gov.br/app/editais/01123678000124/2026/3" TargetMode="External" Id="rId93" /><Relationship Type="http://schemas.openxmlformats.org/officeDocument/2006/relationships/hyperlink" Target="https://pncp.gov.br/app/editais/01131713000157/2025/72" TargetMode="External" Id="rId94" /><Relationship Type="http://schemas.openxmlformats.org/officeDocument/2006/relationships/hyperlink" Target="https://pncp.gov.br/app/editais/01131713000157/2026/25" TargetMode="External" Id="rId95" /><Relationship Type="http://schemas.openxmlformats.org/officeDocument/2006/relationships/hyperlink" Target="https://pncp.gov.br/app/editais/01137116000130/2026/33" TargetMode="External" Id="rId96" /><Relationship Type="http://schemas.openxmlformats.org/officeDocument/2006/relationships/hyperlink" Target="https://pncp.gov.br/app/editais/01138330000100/2027/1" TargetMode="External" Id="rId97" /><Relationship Type="http://schemas.openxmlformats.org/officeDocument/2006/relationships/hyperlink" Target="https://pncp.gov.br/app/editais/01138957000161/2026/37" TargetMode="External" Id="rId98" /><Relationship Type="http://schemas.openxmlformats.org/officeDocument/2006/relationships/hyperlink" Target="https://pncp.gov.br/app/editais/01146604000103/2025/131" TargetMode="External" Id="rId99" /><Relationship Type="http://schemas.openxmlformats.org/officeDocument/2006/relationships/hyperlink" Target="https://pncp.gov.br/app/editais/01146604000103/2025/166" TargetMode="External" Id="rId100" /><Relationship Type="http://schemas.openxmlformats.org/officeDocument/2006/relationships/hyperlink" Target="https://pncp.gov.br/app/editais/01146604000103/2025/86" TargetMode="External" Id="rId101" /><Relationship Type="http://schemas.openxmlformats.org/officeDocument/2006/relationships/hyperlink" Target="https://pncp.gov.br/app/editais/01146604000103/2026/90" TargetMode="External" Id="rId102" /><Relationship Type="http://schemas.openxmlformats.org/officeDocument/2006/relationships/hyperlink" Target="https://pncp.gov.br/app/editais/01149624000138/2025/230" TargetMode="External" Id="rId103" /><Relationship Type="http://schemas.openxmlformats.org/officeDocument/2006/relationships/hyperlink" Target="https://pncp.gov.br/app/editais/01149624000138/2026/88" TargetMode="External" Id="rId104" /><Relationship Type="http://schemas.openxmlformats.org/officeDocument/2006/relationships/hyperlink" Target="https://pncp.gov.br/app/editais/01149624000138/2026/90" TargetMode="External" Id="rId105" /><Relationship Type="http://schemas.openxmlformats.org/officeDocument/2006/relationships/hyperlink" Target="https://pncp.gov.br/app/editais/01157536000188/2025/268" TargetMode="External" Id="rId106" /><Relationship Type="http://schemas.openxmlformats.org/officeDocument/2006/relationships/hyperlink" Target="https://pncp.gov.br/app/editais/01164292000160/2025/13" TargetMode="External" Id="rId107" /><Relationship Type="http://schemas.openxmlformats.org/officeDocument/2006/relationships/hyperlink" Target="https://pncp.gov.br/app/editais/01164292000160/2025/26" TargetMode="External" Id="rId108" /><Relationship Type="http://schemas.openxmlformats.org/officeDocument/2006/relationships/hyperlink" Target="https://pncp.gov.br/app/editais/01165729000180/2025/246" TargetMode="External" Id="rId109" /><Relationship Type="http://schemas.openxmlformats.org/officeDocument/2006/relationships/hyperlink" Target="https://pncp.gov.br/app/editais/01165729000180/2026/161" TargetMode="External" Id="rId110" /><Relationship Type="http://schemas.openxmlformats.org/officeDocument/2006/relationships/hyperlink" Target="https://pncp.gov.br/app/editais/01165729000180/2026/206" TargetMode="External" Id="rId111" /><Relationship Type="http://schemas.openxmlformats.org/officeDocument/2006/relationships/hyperlink" Target="https://pncp.gov.br/app/editais/01165729000180/2026/264" TargetMode="External" Id="rId112" /><Relationship Type="http://schemas.openxmlformats.org/officeDocument/2006/relationships/hyperlink" Target="https://pncp.gov.br/app/editais/01165729000180/2026/282" TargetMode="External" Id="rId113" /><Relationship Type="http://schemas.openxmlformats.org/officeDocument/2006/relationships/hyperlink" Target="https://pncp.gov.br/app/editais/01165729000180/2026/290" TargetMode="External" Id="rId114" /><Relationship Type="http://schemas.openxmlformats.org/officeDocument/2006/relationships/hyperlink" Target="https://pncp.gov.br/app/editais/01165729000180/2026/304" TargetMode="External" Id="rId115" /><Relationship Type="http://schemas.openxmlformats.org/officeDocument/2006/relationships/hyperlink" Target="https://pncp.gov.br/app/editais/01165729000180/2026/92" TargetMode="External" Id="rId116" /><Relationship Type="http://schemas.openxmlformats.org/officeDocument/2006/relationships/hyperlink" Target="https://pncp.gov.br/app/editais/01170331000132/2025/110" TargetMode="External" Id="rId117" /><Relationship Type="http://schemas.openxmlformats.org/officeDocument/2006/relationships/hyperlink" Target="https://pncp.gov.br/app/editais/01170331000132/2026/66" TargetMode="External" Id="rId118" /><Relationship Type="http://schemas.openxmlformats.org/officeDocument/2006/relationships/hyperlink" Target="https://pncp.gov.br/app/editais/01174580000104/2026/49" TargetMode="External" Id="rId119" /><Relationship Type="http://schemas.openxmlformats.org/officeDocument/2006/relationships/hyperlink" Target="https://pncp.gov.br/app/editais/01179647000195/2026/156" TargetMode="External" Id="rId120" /><Relationship Type="http://schemas.openxmlformats.org/officeDocument/2006/relationships/hyperlink" Target="https://pncp.gov.br/app/editais/01181169000158/2026/1" TargetMode="External" Id="rId121" /><Relationship Type="http://schemas.openxmlformats.org/officeDocument/2006/relationships/hyperlink" Target="https://pncp.gov.br/app/editais/01181239000178/2026/4" TargetMode="External" Id="rId122" /><Relationship Type="http://schemas.openxmlformats.org/officeDocument/2006/relationships/hyperlink" Target="https://pncp.gov.br/app/editais/01181585000156/2026/59" TargetMode="External" Id="rId123" /><Relationship Type="http://schemas.openxmlformats.org/officeDocument/2006/relationships/hyperlink" Target="https://pncp.gov.br/app/editais/01184383000168/2026/2" TargetMode="External" Id="rId124" /><Relationship Type="http://schemas.openxmlformats.org/officeDocument/2006/relationships/hyperlink" Target="https://pncp.gov.br/app/editais/01184383000168/2026/3" TargetMode="External" Id="rId125" /><Relationship Type="http://schemas.openxmlformats.org/officeDocument/2006/relationships/hyperlink" Target="https://pncp.gov.br/app/editais/01210830000106/2025/136" TargetMode="External" Id="rId126" /><Relationship Type="http://schemas.openxmlformats.org/officeDocument/2006/relationships/hyperlink" Target="https://pncp.gov.br/app/editais/01215474000113/2026/19" TargetMode="External" Id="rId127" /><Relationship Type="http://schemas.openxmlformats.org/officeDocument/2006/relationships/hyperlink" Target="https://pncp.gov.br/app/editais/01217538000115/2025/197" TargetMode="External" Id="rId128" /><Relationship Type="http://schemas.openxmlformats.org/officeDocument/2006/relationships/hyperlink" Target="https://pncp.gov.br/app/editais/01219807000182/2025/187" TargetMode="External" Id="rId129" /><Relationship Type="http://schemas.openxmlformats.org/officeDocument/2006/relationships/hyperlink" Target="https://pncp.gov.br/app/editais/01219807000182/2025/236" TargetMode="External" Id="rId130" /><Relationship Type="http://schemas.openxmlformats.org/officeDocument/2006/relationships/hyperlink" Target="https://pncp.gov.br/app/editais/01219807000182/2026/154" TargetMode="External" Id="rId131" /><Relationship Type="http://schemas.openxmlformats.org/officeDocument/2006/relationships/hyperlink" Target="https://pncp.gov.br/app/editais/01224716000135/2026/109" TargetMode="External" Id="rId132" /><Relationship Type="http://schemas.openxmlformats.org/officeDocument/2006/relationships/hyperlink" Target="https://pncp.gov.br/app/editais/01224716000135/2026/110" TargetMode="External" Id="rId133" /><Relationship Type="http://schemas.openxmlformats.org/officeDocument/2006/relationships/hyperlink" Target="https://pncp.gov.br/app/editais/01233716000100/2026/9" TargetMode="External" Id="rId134" /><Relationship Type="http://schemas.openxmlformats.org/officeDocument/2006/relationships/hyperlink" Target="https://pncp.gov.br/app/editais/01237403000111/2026/17" TargetMode="External" Id="rId135" /><Relationship Type="http://schemas.openxmlformats.org/officeDocument/2006/relationships/hyperlink" Target="https://pncp.gov.br/app/editais/01259530000111/2026/14" TargetMode="External" Id="rId136" /><Relationship Type="http://schemas.openxmlformats.org/officeDocument/2006/relationships/hyperlink" Target="https://pncp.gov.br/app/editais/01296363000189/2026/5" TargetMode="External" Id="rId137" /><Relationship Type="http://schemas.openxmlformats.org/officeDocument/2006/relationships/hyperlink" Target="https://pncp.gov.br/app/editais/01298975000100/2026/61" TargetMode="External" Id="rId138" /><Relationship Type="http://schemas.openxmlformats.org/officeDocument/2006/relationships/hyperlink" Target="https://pncp.gov.br/app/editais/01302603000100/2026/110" TargetMode="External" Id="rId139" /><Relationship Type="http://schemas.openxmlformats.org/officeDocument/2006/relationships/hyperlink" Target="https://pncp.gov.br/app/editais/01302603000100/2026/114" TargetMode="External" Id="rId140" /><Relationship Type="http://schemas.openxmlformats.org/officeDocument/2006/relationships/hyperlink" Target="https://pncp.gov.br/app/editais/01304286000161/2025/139" TargetMode="External" Id="rId141" /><Relationship Type="http://schemas.openxmlformats.org/officeDocument/2006/relationships/hyperlink" Target="https://pncp.gov.br/app/editais/01318898000103/2026/54" TargetMode="External" Id="rId142" /><Relationship Type="http://schemas.openxmlformats.org/officeDocument/2006/relationships/hyperlink" Target="https://pncp.gov.br/app/editais/01319326000149/2026/19" TargetMode="External" Id="rId143" /><Relationship Type="http://schemas.openxmlformats.org/officeDocument/2006/relationships/hyperlink" Target="https://pncp.gov.br/app/editais/01319326000149/2026/49" TargetMode="External" Id="rId144" /><Relationship Type="http://schemas.openxmlformats.org/officeDocument/2006/relationships/hyperlink" Target="https://pncp.gov.br/app/editais/01345537000156/2026/269" TargetMode="External" Id="rId145" /><Relationship Type="http://schemas.openxmlformats.org/officeDocument/2006/relationships/hyperlink" Target="https://pncp.gov.br/app/editais/01345909000144/2026/113" TargetMode="External" Id="rId146" /><Relationship Type="http://schemas.openxmlformats.org/officeDocument/2006/relationships/hyperlink" Target="https://pncp.gov.br/app/editais/01345909000144/2026/96" TargetMode="External" Id="rId147" /><Relationship Type="http://schemas.openxmlformats.org/officeDocument/2006/relationships/hyperlink" Target="https://pncp.gov.br/app/editais/01362680000156/2026/124" TargetMode="External" Id="rId148" /><Relationship Type="http://schemas.openxmlformats.org/officeDocument/2006/relationships/hyperlink" Target="https://pncp.gov.br/app/editais/01367853000129/2026/4" TargetMode="External" Id="rId149" /><Relationship Type="http://schemas.openxmlformats.org/officeDocument/2006/relationships/hyperlink" Target="https://pncp.gov.br/app/editais/01373497000156/2026/218" TargetMode="External" Id="rId150" /><Relationship Type="http://schemas.openxmlformats.org/officeDocument/2006/relationships/hyperlink" Target="https://pncp.gov.br/app/editais/01392733000181/2026/1" TargetMode="External" Id="rId151" /><Relationship Type="http://schemas.openxmlformats.org/officeDocument/2006/relationships/hyperlink" Target="https://pncp.gov.br/app/editais/01409580000138/2023/639" TargetMode="External" Id="rId152" /><Relationship Type="http://schemas.openxmlformats.org/officeDocument/2006/relationships/hyperlink" Target="https://pncp.gov.br/app/editais/01409580000138/2025/11" TargetMode="External" Id="rId153" /><Relationship Type="http://schemas.openxmlformats.org/officeDocument/2006/relationships/hyperlink" Target="https://pncp.gov.br/app/editais/01409580000138/2025/1608" TargetMode="External" Id="rId154" /><Relationship Type="http://schemas.openxmlformats.org/officeDocument/2006/relationships/hyperlink" Target="https://pncp.gov.br/app/editais/01409580000138/2025/1690" TargetMode="External" Id="rId155" /><Relationship Type="http://schemas.openxmlformats.org/officeDocument/2006/relationships/hyperlink" Target="https://pncp.gov.br/app/editais/01409580000138/2025/1836" TargetMode="External" Id="rId156" /><Relationship Type="http://schemas.openxmlformats.org/officeDocument/2006/relationships/hyperlink" Target="https://pncp.gov.br/app/editais/01409580000138/2025/1950" TargetMode="External" Id="rId157" /><Relationship Type="http://schemas.openxmlformats.org/officeDocument/2006/relationships/hyperlink" Target="https://pncp.gov.br/app/editais/01409580000138/2025/1971" TargetMode="External" Id="rId158" /><Relationship Type="http://schemas.openxmlformats.org/officeDocument/2006/relationships/hyperlink" Target="https://pncp.gov.br/app/editais/01409580000138/2025/2034" TargetMode="External" Id="rId159" /><Relationship Type="http://schemas.openxmlformats.org/officeDocument/2006/relationships/hyperlink" Target="https://pncp.gov.br/app/editais/01409580000138/2025/2067" TargetMode="External" Id="rId160" /><Relationship Type="http://schemas.openxmlformats.org/officeDocument/2006/relationships/hyperlink" Target="https://pncp.gov.br/app/editais/01409580000138/2025/2124" TargetMode="External" Id="rId161" /><Relationship Type="http://schemas.openxmlformats.org/officeDocument/2006/relationships/hyperlink" Target="https://pncp.gov.br/app/editais/01409580000138/2025/2200" TargetMode="External" Id="rId162" /><Relationship Type="http://schemas.openxmlformats.org/officeDocument/2006/relationships/hyperlink" Target="https://pncp.gov.br/app/editais/01409580000138/2025/2288" TargetMode="External" Id="rId163" /><Relationship Type="http://schemas.openxmlformats.org/officeDocument/2006/relationships/hyperlink" Target="https://pncp.gov.br/app/editais/01409580000138/2025/2398" TargetMode="External" Id="rId164" /><Relationship Type="http://schemas.openxmlformats.org/officeDocument/2006/relationships/hyperlink" Target="https://pncp.gov.br/app/editais/01409580000138/2025/2809" TargetMode="External" Id="rId165" /><Relationship Type="http://schemas.openxmlformats.org/officeDocument/2006/relationships/hyperlink" Target="https://pncp.gov.br/app/editais/01409580000138/2025/2964" TargetMode="External" Id="rId166" /><Relationship Type="http://schemas.openxmlformats.org/officeDocument/2006/relationships/hyperlink" Target="https://pncp.gov.br/app/editais/01409580000138/2025/3114" TargetMode="External" Id="rId167" /><Relationship Type="http://schemas.openxmlformats.org/officeDocument/2006/relationships/hyperlink" Target="https://pncp.gov.br/app/editais/01409580000138/2025/3136" TargetMode="External" Id="rId168" /><Relationship Type="http://schemas.openxmlformats.org/officeDocument/2006/relationships/hyperlink" Target="https://pncp.gov.br/app/editais/01409580000138/2025/3467" TargetMode="External" Id="rId169" /><Relationship Type="http://schemas.openxmlformats.org/officeDocument/2006/relationships/hyperlink" Target="https://pncp.gov.br/app/editais/01409580000138/2025/3502" TargetMode="External" Id="rId170" /><Relationship Type="http://schemas.openxmlformats.org/officeDocument/2006/relationships/hyperlink" Target="https://pncp.gov.br/app/editais/01409580000138/2025/3537" TargetMode="External" Id="rId171" /><Relationship Type="http://schemas.openxmlformats.org/officeDocument/2006/relationships/hyperlink" Target="https://pncp.gov.br/app/editais/01409580000138/2025/924" TargetMode="External" Id="rId172" /><Relationship Type="http://schemas.openxmlformats.org/officeDocument/2006/relationships/hyperlink" Target="https://pncp.gov.br/app/editais/01409580000138/2026/387" TargetMode="External" Id="rId173" /><Relationship Type="http://schemas.openxmlformats.org/officeDocument/2006/relationships/hyperlink" Target="https://pncp.gov.br/app/editais/01409580000138/2026/764" TargetMode="External" Id="rId174" /><Relationship Type="http://schemas.openxmlformats.org/officeDocument/2006/relationships/hyperlink" Target="https://pncp.gov.br/app/editais/01409580000138/2026/922" TargetMode="External" Id="rId175" /><Relationship Type="http://schemas.openxmlformats.org/officeDocument/2006/relationships/hyperlink" Target="https://pncp.gov.br/app/editais/01465988000127/2025/382" TargetMode="External" Id="rId176" /><Relationship Type="http://schemas.openxmlformats.org/officeDocument/2006/relationships/hyperlink" Target="https://pncp.gov.br/app/editais/01465988000127/2025/412" TargetMode="External" Id="rId177" /><Relationship Type="http://schemas.openxmlformats.org/officeDocument/2006/relationships/hyperlink" Target="https://pncp.gov.br/app/editais/01465988000127/2026/128" TargetMode="External" Id="rId178" /><Relationship Type="http://schemas.openxmlformats.org/officeDocument/2006/relationships/hyperlink" Target="https://pncp.gov.br/app/editais/01465988000127/2026/34" TargetMode="External" Id="rId179" /><Relationship Type="http://schemas.openxmlformats.org/officeDocument/2006/relationships/hyperlink" Target="https://pncp.gov.br/app/editais/01485531000184/2025/70" TargetMode="External" Id="rId180" /><Relationship Type="http://schemas.openxmlformats.org/officeDocument/2006/relationships/hyperlink" Target="https://pncp.gov.br/app/editais/01485531000184/2026/29" TargetMode="External" Id="rId181" /><Relationship Type="http://schemas.openxmlformats.org/officeDocument/2006/relationships/hyperlink" Target="https://pncp.gov.br/app/editais/01485531000184/2026/42" TargetMode="External" Id="rId182" /><Relationship Type="http://schemas.openxmlformats.org/officeDocument/2006/relationships/hyperlink" Target="https://pncp.gov.br/app/editais/01493998000176/2026/123" TargetMode="External" Id="rId183" /><Relationship Type="http://schemas.openxmlformats.org/officeDocument/2006/relationships/hyperlink" Target="https://pncp.gov.br/app/editais/01493998000176/2026/188" TargetMode="External" Id="rId184" /><Relationship Type="http://schemas.openxmlformats.org/officeDocument/2006/relationships/hyperlink" Target="https://pncp.gov.br/app/editais/01494665000161/2025/102" TargetMode="External" Id="rId185" /><Relationship Type="http://schemas.openxmlformats.org/officeDocument/2006/relationships/hyperlink" Target="https://pncp.gov.br/app/editais/01505643000150/2025/216" TargetMode="External" Id="rId186" /><Relationship Type="http://schemas.openxmlformats.org/officeDocument/2006/relationships/hyperlink" Target="https://pncp.gov.br/app/editais/01541283000141/2026/21" TargetMode="External" Id="rId187" /><Relationship Type="http://schemas.openxmlformats.org/officeDocument/2006/relationships/hyperlink" Target="https://pncp.gov.br/app/editais/01541283000141/2026/22" TargetMode="External" Id="rId188" /><Relationship Type="http://schemas.openxmlformats.org/officeDocument/2006/relationships/hyperlink" Target="https://pncp.gov.br/app/editais/01561372000150/2026/2" TargetMode="External" Id="rId189" /><Relationship Type="http://schemas.openxmlformats.org/officeDocument/2006/relationships/hyperlink" Target="https://pncp.gov.br/app/editais/01567601000143/2024/326" TargetMode="External" Id="rId190" /><Relationship Type="http://schemas.openxmlformats.org/officeDocument/2006/relationships/hyperlink" Target="https://pncp.gov.br/app/editais/01612551000179/2026/26" TargetMode="External" Id="rId191" /><Relationship Type="http://schemas.openxmlformats.org/officeDocument/2006/relationships/hyperlink" Target="https://pncp.gov.br/app/editais/01612817000183/2025/830" TargetMode="External" Id="rId192" /><Relationship Type="http://schemas.openxmlformats.org/officeDocument/2006/relationships/hyperlink" Target="https://pncp.gov.br/app/editais/01613940000119/2025/149" TargetMode="External" Id="rId193" /><Relationship Type="http://schemas.openxmlformats.org/officeDocument/2006/relationships/hyperlink" Target="https://pncp.gov.br/app/editais/01613940000119/2025/260" TargetMode="External" Id="rId194" /><Relationship Type="http://schemas.openxmlformats.org/officeDocument/2006/relationships/hyperlink" Target="https://pncp.gov.br/app/editais/01613940000119/2025/281" TargetMode="External" Id="rId195" /><Relationship Type="http://schemas.openxmlformats.org/officeDocument/2006/relationships/hyperlink" Target="https://pncp.gov.br/app/editais/01613940000119/2025/328" TargetMode="External" Id="rId196" /><Relationship Type="http://schemas.openxmlformats.org/officeDocument/2006/relationships/hyperlink" Target="https://pncp.gov.br/app/editais/01613940000119/2025/366" TargetMode="External" Id="rId197" /><Relationship Type="http://schemas.openxmlformats.org/officeDocument/2006/relationships/hyperlink" Target="https://pncp.gov.br/app/editais/01613940000119/2026/11" TargetMode="External" Id="rId198" /><Relationship Type="http://schemas.openxmlformats.org/officeDocument/2006/relationships/hyperlink" Target="https://pncp.gov.br/app/editais/01613940000119/2026/167" TargetMode="External" Id="rId199" /><Relationship Type="http://schemas.openxmlformats.org/officeDocument/2006/relationships/hyperlink" Target="https://pncp.gov.br/app/editais/01613940000119/2026/169" TargetMode="External" Id="rId200" /><Relationship Type="http://schemas.openxmlformats.org/officeDocument/2006/relationships/hyperlink" Target="https://pncp.gov.br/app/editais/01613940000119/2026/45" TargetMode="External" Id="rId201" /><Relationship Type="http://schemas.openxmlformats.org/officeDocument/2006/relationships/hyperlink" Target="https://pncp.gov.br/app/editais/01614225000109/2026/129" TargetMode="External" Id="rId202" /><Relationship Type="http://schemas.openxmlformats.org/officeDocument/2006/relationships/hyperlink" Target="https://pncp.gov.br/app/editais/01614225000109/2026/171" TargetMode="External" Id="rId203" /><Relationship Type="http://schemas.openxmlformats.org/officeDocument/2006/relationships/hyperlink" Target="https://pncp.gov.br/app/editais/01614225000109/2026/197" TargetMode="External" Id="rId204" /><Relationship Type="http://schemas.openxmlformats.org/officeDocument/2006/relationships/hyperlink" Target="https://pncp.gov.br/app/editais/01614225000109/2026/201" TargetMode="External" Id="rId205" /><Relationship Type="http://schemas.openxmlformats.org/officeDocument/2006/relationships/hyperlink" Target="https://pncp.gov.br/app/editais/01614225000109/2026/225" TargetMode="External" Id="rId206" /><Relationship Type="http://schemas.openxmlformats.org/officeDocument/2006/relationships/hyperlink" Target="https://pncp.gov.br/app/editais/01614225000109/2026/228" TargetMode="External" Id="rId207" /><Relationship Type="http://schemas.openxmlformats.org/officeDocument/2006/relationships/hyperlink" Target="https://pncp.gov.br/app/editais/01614517000133/2026/68" TargetMode="External" Id="rId208" /><Relationship Type="http://schemas.openxmlformats.org/officeDocument/2006/relationships/hyperlink" Target="https://pncp.gov.br/app/editais/01614862000177/2026/62" TargetMode="External" Id="rId209" /><Relationship Type="http://schemas.openxmlformats.org/officeDocument/2006/relationships/hyperlink" Target="https://pncp.gov.br/app/editais/01616520000196/2025/188" TargetMode="External" Id="rId210" /><Relationship Type="http://schemas.openxmlformats.org/officeDocument/2006/relationships/hyperlink" Target="https://pncp.gov.br/app/editais/01619022000105/2026/8" TargetMode="External" Id="rId211" /><Relationship Type="http://schemas.openxmlformats.org/officeDocument/2006/relationships/hyperlink" Target="https://pncp.gov.br/app/editais/01738772000198/2025/18" TargetMode="External" Id="rId212" /><Relationship Type="http://schemas.openxmlformats.org/officeDocument/2006/relationships/hyperlink" Target="https://pncp.gov.br/app/editais/01738772000198/2025/87" TargetMode="External" Id="rId213" /><Relationship Type="http://schemas.openxmlformats.org/officeDocument/2006/relationships/hyperlink" Target="https://pncp.gov.br/app/editais/01738772000198/2026/154" TargetMode="External" Id="rId214" /><Relationship Type="http://schemas.openxmlformats.org/officeDocument/2006/relationships/hyperlink" Target="https://pncp.gov.br/app/editais/01740422000166/2026/69" TargetMode="External" Id="rId215" /><Relationship Type="http://schemas.openxmlformats.org/officeDocument/2006/relationships/hyperlink" Target="https://pncp.gov.br/app/editais/01740430000102/2026/71" TargetMode="External" Id="rId216" /><Relationship Type="http://schemas.openxmlformats.org/officeDocument/2006/relationships/hyperlink" Target="https://pncp.gov.br/app/editais/01740463000152/2025/312" TargetMode="External" Id="rId217" /><Relationship Type="http://schemas.openxmlformats.org/officeDocument/2006/relationships/hyperlink" Target="https://pncp.gov.br/app/editais/01740463000152/2026/104" TargetMode="External" Id="rId218" /><Relationship Type="http://schemas.openxmlformats.org/officeDocument/2006/relationships/hyperlink" Target="https://pncp.gov.br/app/editais/01740463000152/2026/118" TargetMode="External" Id="rId219" /><Relationship Type="http://schemas.openxmlformats.org/officeDocument/2006/relationships/hyperlink" Target="https://pncp.gov.br/app/editais/01740463000152/2026/169" TargetMode="External" Id="rId220" /><Relationship Type="http://schemas.openxmlformats.org/officeDocument/2006/relationships/hyperlink" Target="https://pncp.gov.br/app/editais/01743335000162/2026/102" TargetMode="External" Id="rId221" /><Relationship Type="http://schemas.openxmlformats.org/officeDocument/2006/relationships/hyperlink" Target="https://pncp.gov.br/app/editais/01753722000180/2026/232" TargetMode="External" Id="rId222" /><Relationship Type="http://schemas.openxmlformats.org/officeDocument/2006/relationships/hyperlink" Target="https://pncp.gov.br/app/editais/01763614000198/2025/155" TargetMode="External" Id="rId223" /><Relationship Type="http://schemas.openxmlformats.org/officeDocument/2006/relationships/hyperlink" Target="https://pncp.gov.br/app/editais/01787506000155/2025/107" TargetMode="External" Id="rId224" /><Relationship Type="http://schemas.openxmlformats.org/officeDocument/2006/relationships/hyperlink" Target="https://pncp.gov.br/app/editais/01787506000155/2025/119" TargetMode="External" Id="rId225" /><Relationship Type="http://schemas.openxmlformats.org/officeDocument/2006/relationships/hyperlink" Target="https://pncp.gov.br/app/editais/01787506000155/2026/103" TargetMode="External" Id="rId226" /><Relationship Type="http://schemas.openxmlformats.org/officeDocument/2006/relationships/hyperlink" Target="https://pncp.gov.br/app/editais/01788082000143/2026/22" TargetMode="External" Id="rId227" /><Relationship Type="http://schemas.openxmlformats.org/officeDocument/2006/relationships/hyperlink" Target="https://pncp.gov.br/app/editais/01788082000143/2026/24" TargetMode="External" Id="rId228" /><Relationship Type="http://schemas.openxmlformats.org/officeDocument/2006/relationships/hyperlink" Target="https://pncp.gov.br/app/editais/01789551000149/2026/389" TargetMode="External" Id="rId229" /><Relationship Type="http://schemas.openxmlformats.org/officeDocument/2006/relationships/hyperlink" Target="https://pncp.gov.br/app/editais/01791276000106/2025/12" TargetMode="External" Id="rId230" /><Relationship Type="http://schemas.openxmlformats.org/officeDocument/2006/relationships/hyperlink" Target="https://pncp.gov.br/app/editais/01791276000106/2026/62" TargetMode="External" Id="rId231" /><Relationship Type="http://schemas.openxmlformats.org/officeDocument/2006/relationships/hyperlink" Target="https://pncp.gov.br/app/editais/01795483000120/2026/17" TargetMode="External" Id="rId232" /><Relationship Type="http://schemas.openxmlformats.org/officeDocument/2006/relationships/hyperlink" Target="https://pncp.gov.br/app/editais/01799683000151/2025/582" TargetMode="External" Id="rId233" /><Relationship Type="http://schemas.openxmlformats.org/officeDocument/2006/relationships/hyperlink" Target="https://pncp.gov.br/app/editais/01799683000151/2026/143" TargetMode="External" Id="rId234" /><Relationship Type="http://schemas.openxmlformats.org/officeDocument/2006/relationships/hyperlink" Target="https://pncp.gov.br/app/editais/01800242000122/2026/16" TargetMode="External" Id="rId235" /><Relationship Type="http://schemas.openxmlformats.org/officeDocument/2006/relationships/hyperlink" Target="https://pncp.gov.br/app/editais/01815216000178/2025/177" TargetMode="External" Id="rId236" /><Relationship Type="http://schemas.openxmlformats.org/officeDocument/2006/relationships/hyperlink" Target="https://pncp.gov.br/app/editais/01815216000178/2025/259" TargetMode="External" Id="rId237" /><Relationship Type="http://schemas.openxmlformats.org/officeDocument/2006/relationships/hyperlink" Target="https://pncp.gov.br/app/editais/01825413000178/2026/19" TargetMode="External" Id="rId238" /><Relationship Type="http://schemas.openxmlformats.org/officeDocument/2006/relationships/hyperlink" Target="https://pncp.gov.br/app/editais/01875665000101/2026/1" TargetMode="External" Id="rId239" /><Relationship Type="http://schemas.openxmlformats.org/officeDocument/2006/relationships/hyperlink" Target="https://pncp.gov.br/app/editais/02024933000144/2025/74" TargetMode="External" Id="rId240" /><Relationship Type="http://schemas.openxmlformats.org/officeDocument/2006/relationships/hyperlink" Target="https://pncp.gov.br/app/editais/02056745000106/2025/251" TargetMode="External" Id="rId241" /><Relationship Type="http://schemas.openxmlformats.org/officeDocument/2006/relationships/hyperlink" Target="https://pncp.gov.br/app/editais/02056752000108/2026/97" TargetMode="External" Id="rId242" /><Relationship Type="http://schemas.openxmlformats.org/officeDocument/2006/relationships/hyperlink" Target="https://pncp.gov.br/app/editais/02056778000148/2026/37" TargetMode="External" Id="rId243" /><Relationship Type="http://schemas.openxmlformats.org/officeDocument/2006/relationships/hyperlink" Target="https://pncp.gov.br/app/editais/02070589000120/2026/76" TargetMode="External" Id="rId244" /><Relationship Type="http://schemas.openxmlformats.org/officeDocument/2006/relationships/hyperlink" Target="https://pncp.gov.br/app/editais/02125227000199/2025/123" TargetMode="External" Id="rId245" /><Relationship Type="http://schemas.openxmlformats.org/officeDocument/2006/relationships/hyperlink" Target="https://pncp.gov.br/app/editais/02204196000161/2025/314" TargetMode="External" Id="rId246" /><Relationship Type="http://schemas.openxmlformats.org/officeDocument/2006/relationships/hyperlink" Target="https://pncp.gov.br/app/editais/02204196000161/2025/333" TargetMode="External" Id="rId247" /><Relationship Type="http://schemas.openxmlformats.org/officeDocument/2006/relationships/hyperlink" Target="https://pncp.gov.br/app/editais/02204196000161/2025/383" TargetMode="External" Id="rId248" /><Relationship Type="http://schemas.openxmlformats.org/officeDocument/2006/relationships/hyperlink" Target="https://pncp.gov.br/app/editais/02204196000161/2025/747" TargetMode="External" Id="rId249" /><Relationship Type="http://schemas.openxmlformats.org/officeDocument/2006/relationships/hyperlink" Target="https://pncp.gov.br/app/editais/02204196000161/2026/312" TargetMode="External" Id="rId250" /><Relationship Type="http://schemas.openxmlformats.org/officeDocument/2006/relationships/hyperlink" Target="https://pncp.gov.br/app/editais/02204196000161/2026/377" TargetMode="External" Id="rId251" /><Relationship Type="http://schemas.openxmlformats.org/officeDocument/2006/relationships/hyperlink" Target="https://pncp.gov.br/app/editais/02204196000161/2026/391" TargetMode="External" Id="rId252" /><Relationship Type="http://schemas.openxmlformats.org/officeDocument/2006/relationships/hyperlink" Target="https://pncp.gov.br/app/editais/02215895000107/2025/103" TargetMode="External" Id="rId253" /><Relationship Type="http://schemas.openxmlformats.org/officeDocument/2006/relationships/hyperlink" Target="https://pncp.gov.br/app/editais/02218683000183/2025/223" TargetMode="External" Id="rId254" /><Relationship Type="http://schemas.openxmlformats.org/officeDocument/2006/relationships/hyperlink" Target="https://pncp.gov.br/app/editais/02218683000183/2025/278" TargetMode="External" Id="rId255" /><Relationship Type="http://schemas.openxmlformats.org/officeDocument/2006/relationships/hyperlink" Target="https://pncp.gov.br/app/editais/02218683000183/2025/317" TargetMode="External" Id="rId256" /><Relationship Type="http://schemas.openxmlformats.org/officeDocument/2006/relationships/hyperlink" Target="https://pncp.gov.br/app/editais/02218683000183/2025/345" TargetMode="External" Id="rId257" /><Relationship Type="http://schemas.openxmlformats.org/officeDocument/2006/relationships/hyperlink" Target="https://pncp.gov.br/app/editais/02218683000183/2025/9" TargetMode="External" Id="rId258" /><Relationship Type="http://schemas.openxmlformats.org/officeDocument/2006/relationships/hyperlink" Target="https://pncp.gov.br/app/editais/02218683000183/2026/12" TargetMode="External" Id="rId259" /><Relationship Type="http://schemas.openxmlformats.org/officeDocument/2006/relationships/hyperlink" Target="https://pncp.gov.br/app/editais/02218683000183/2026/154" TargetMode="External" Id="rId260" /><Relationship Type="http://schemas.openxmlformats.org/officeDocument/2006/relationships/hyperlink" Target="https://pncp.gov.br/app/editais/02218683000183/2026/155" TargetMode="External" Id="rId261" /><Relationship Type="http://schemas.openxmlformats.org/officeDocument/2006/relationships/hyperlink" Target="https://pncp.gov.br/app/editais/02218683000183/2026/206" TargetMode="External" Id="rId262" /><Relationship Type="http://schemas.openxmlformats.org/officeDocument/2006/relationships/hyperlink" Target="https://pncp.gov.br/app/editais/02218683000183/2026/227" TargetMode="External" Id="rId263" /><Relationship Type="http://schemas.openxmlformats.org/officeDocument/2006/relationships/hyperlink" Target="https://pncp.gov.br/app/editais/02218683000183/2026/263" TargetMode="External" Id="rId264" /><Relationship Type="http://schemas.openxmlformats.org/officeDocument/2006/relationships/hyperlink" Target="https://pncp.gov.br/app/editais/02218683000183/2026/43" TargetMode="External" Id="rId265" /><Relationship Type="http://schemas.openxmlformats.org/officeDocument/2006/relationships/hyperlink" Target="https://pncp.gov.br/app/editais/02218683000183/2026/51" TargetMode="External" Id="rId266" /><Relationship Type="http://schemas.openxmlformats.org/officeDocument/2006/relationships/hyperlink" Target="https://pncp.gov.br/app/editais/02218683000183/2026/52" TargetMode="External" Id="rId267" /><Relationship Type="http://schemas.openxmlformats.org/officeDocument/2006/relationships/hyperlink" Target="https://pncp.gov.br/app/editais/02262368000153/2025/142" TargetMode="External" Id="rId268" /><Relationship Type="http://schemas.openxmlformats.org/officeDocument/2006/relationships/hyperlink" Target="https://pncp.gov.br/app/editais/02262368000153/2025/79" TargetMode="External" Id="rId269" /><Relationship Type="http://schemas.openxmlformats.org/officeDocument/2006/relationships/hyperlink" Target="https://pncp.gov.br/app/editais/02267698000131/2026/25" TargetMode="External" Id="rId270" /><Relationship Type="http://schemas.openxmlformats.org/officeDocument/2006/relationships/hyperlink" Target="https://pncp.gov.br/app/editais/02291730000114/2025/123" TargetMode="External" Id="rId271" /><Relationship Type="http://schemas.openxmlformats.org/officeDocument/2006/relationships/hyperlink" Target="https://pncp.gov.br/app/editais/02291730000114/2025/70" TargetMode="External" Id="rId272" /><Relationship Type="http://schemas.openxmlformats.org/officeDocument/2006/relationships/hyperlink" Target="https://pncp.gov.br/app/editais/02295772000123/2026/133" TargetMode="External" Id="rId273" /><Relationship Type="http://schemas.openxmlformats.org/officeDocument/2006/relationships/hyperlink" Target="https://pncp.gov.br/app/editais/02296325000199/2026/6" TargetMode="External" Id="rId274" /><Relationship Type="http://schemas.openxmlformats.org/officeDocument/2006/relationships/hyperlink" Target="https://pncp.gov.br/app/editais/02316487000141/2025/44" TargetMode="External" Id="rId275" /><Relationship Type="http://schemas.openxmlformats.org/officeDocument/2006/relationships/hyperlink" Target="https://pncp.gov.br/app/editais/02316487000141/2025/51" TargetMode="External" Id="rId276" /><Relationship Type="http://schemas.openxmlformats.org/officeDocument/2006/relationships/hyperlink" Target="https://pncp.gov.br/app/editais/02316487000141/2026/21" TargetMode="External" Id="rId277" /><Relationship Type="http://schemas.openxmlformats.org/officeDocument/2006/relationships/hyperlink" Target="https://pncp.gov.br/app/editais/02316537000190/2026/360" TargetMode="External" Id="rId278" /><Relationship Type="http://schemas.openxmlformats.org/officeDocument/2006/relationships/hyperlink" Target="https://pncp.gov.br/app/editais/02320406000187/2025/87" TargetMode="External" Id="rId279" /><Relationship Type="http://schemas.openxmlformats.org/officeDocument/2006/relationships/hyperlink" Target="https://pncp.gov.br/app/editais/02320406000187/2026/22" TargetMode="External" Id="rId280" /><Relationship Type="http://schemas.openxmlformats.org/officeDocument/2006/relationships/hyperlink" Target="https://pncp.gov.br/app/editais/02321891000103/2026/82" TargetMode="External" Id="rId281" /><Relationship Type="http://schemas.openxmlformats.org/officeDocument/2006/relationships/hyperlink" Target="https://pncp.gov.br/app/editais/02355675000189/2025/30" TargetMode="External" Id="rId282" /><Relationship Type="http://schemas.openxmlformats.org/officeDocument/2006/relationships/hyperlink" Target="https://pncp.gov.br/app/editais/02382067000163/2025/551" TargetMode="External" Id="rId283" /><Relationship Type="http://schemas.openxmlformats.org/officeDocument/2006/relationships/hyperlink" Target="https://pncp.gov.br/app/editais/02382067000163/2026/336" TargetMode="External" Id="rId284" /><Relationship Type="http://schemas.openxmlformats.org/officeDocument/2006/relationships/hyperlink" Target="https://pncp.gov.br/app/editais/02382836000123/2025/45" TargetMode="External" Id="rId285" /><Relationship Type="http://schemas.openxmlformats.org/officeDocument/2006/relationships/hyperlink" Target="https://pncp.gov.br/app/editais/02382836000123/2025/85" TargetMode="External" Id="rId286" /><Relationship Type="http://schemas.openxmlformats.org/officeDocument/2006/relationships/hyperlink" Target="https://pncp.gov.br/app/editais/02382836000123/2026/105" TargetMode="External" Id="rId287" /><Relationship Type="http://schemas.openxmlformats.org/officeDocument/2006/relationships/hyperlink" Target="https://pncp.gov.br/app/editais/02382836000123/2026/106" TargetMode="External" Id="rId288" /><Relationship Type="http://schemas.openxmlformats.org/officeDocument/2006/relationships/hyperlink" Target="https://pncp.gov.br/app/editais/02394757000132/2025/181" TargetMode="External" Id="rId289" /><Relationship Type="http://schemas.openxmlformats.org/officeDocument/2006/relationships/hyperlink" Target="https://pncp.gov.br/app/editais/02394757000132/2025/237" TargetMode="External" Id="rId290" /><Relationship Type="http://schemas.openxmlformats.org/officeDocument/2006/relationships/hyperlink" Target="https://pncp.gov.br/app/editais/02394757000132/2025/264" TargetMode="External" Id="rId291" /><Relationship Type="http://schemas.openxmlformats.org/officeDocument/2006/relationships/hyperlink" Target="https://pncp.gov.br/app/editais/02394765000189/2025/418" TargetMode="External" Id="rId292" /><Relationship Type="http://schemas.openxmlformats.org/officeDocument/2006/relationships/hyperlink" Target="https://pncp.gov.br/app/editais/02395812000109/2026/48" TargetMode="External" Id="rId293" /><Relationship Type="http://schemas.openxmlformats.org/officeDocument/2006/relationships/hyperlink" Target="https://pncp.gov.br/app/editais/02395812000109/2026/62" TargetMode="External" Id="rId294" /><Relationship Type="http://schemas.openxmlformats.org/officeDocument/2006/relationships/hyperlink" Target="https://pncp.gov.br/app/editais/02396166000102/2025/1" TargetMode="External" Id="rId295" /><Relationship Type="http://schemas.openxmlformats.org/officeDocument/2006/relationships/hyperlink" Target="https://pncp.gov.br/app/editais/02451938000153/2025/346" TargetMode="External" Id="rId296" /><Relationship Type="http://schemas.openxmlformats.org/officeDocument/2006/relationships/hyperlink" Target="https://pncp.gov.br/app/editais/02451938000153/2025/70" TargetMode="External" Id="rId297" /><Relationship Type="http://schemas.openxmlformats.org/officeDocument/2006/relationships/hyperlink" Target="https://pncp.gov.br/app/editais/02542538000153/2026/27" TargetMode="External" Id="rId298" /><Relationship Type="http://schemas.openxmlformats.org/officeDocument/2006/relationships/hyperlink" Target="https://pncp.gov.br/app/editais/02756070000108/2025/15" TargetMode="External" Id="rId299" /><Relationship Type="http://schemas.openxmlformats.org/officeDocument/2006/relationships/hyperlink" Target="https://pncp.gov.br/app/editais/03155926000144/2026/33" TargetMode="External" Id="rId300" /><Relationship Type="http://schemas.openxmlformats.org/officeDocument/2006/relationships/hyperlink" Target="https://pncp.gov.br/app/editais/03155926000144/2026/43" TargetMode="External" Id="rId301" /><Relationship Type="http://schemas.openxmlformats.org/officeDocument/2006/relationships/hyperlink" Target="https://pncp.gov.br/app/editais/03184041000173/2025/118" TargetMode="External" Id="rId302" /><Relationship Type="http://schemas.openxmlformats.org/officeDocument/2006/relationships/hyperlink" Target="https://pncp.gov.br/app/editais/03184066000177/2026/84" TargetMode="External" Id="rId303" /><Relationship Type="http://schemas.openxmlformats.org/officeDocument/2006/relationships/hyperlink" Target="https://pncp.gov.br/app/editais/03214145000183/2026/83" TargetMode="External" Id="rId304" /><Relationship Type="http://schemas.openxmlformats.org/officeDocument/2006/relationships/hyperlink" Target="https://pncp.gov.br/app/editais/03238631000131/2026/48" TargetMode="External" Id="rId305" /><Relationship Type="http://schemas.openxmlformats.org/officeDocument/2006/relationships/hyperlink" Target="https://pncp.gov.br/app/editais/03239076000162/2026/104" TargetMode="External" Id="rId306" /><Relationship Type="http://schemas.openxmlformats.org/officeDocument/2006/relationships/hyperlink" Target="https://pncp.gov.br/app/editais/03288908000483/2025/67" TargetMode="External" Id="rId307" /><Relationship Type="http://schemas.openxmlformats.org/officeDocument/2006/relationships/hyperlink" Target="https://pncp.gov.br/app/editais/03288908000483/2025/77" TargetMode="External" Id="rId308" /><Relationship Type="http://schemas.openxmlformats.org/officeDocument/2006/relationships/hyperlink" Target="https://pncp.gov.br/app/editais/03296968000790/2025/44" TargetMode="External" Id="rId309" /><Relationship Type="http://schemas.openxmlformats.org/officeDocument/2006/relationships/hyperlink" Target="https://pncp.gov.br/app/editais/03296968000790/2025/47" TargetMode="External" Id="rId310" /><Relationship Type="http://schemas.openxmlformats.org/officeDocument/2006/relationships/hyperlink" Target="https://pncp.gov.br/app/editais/03342938000188/2025/98" TargetMode="External" Id="rId311" /><Relationship Type="http://schemas.openxmlformats.org/officeDocument/2006/relationships/hyperlink" Target="https://pncp.gov.br/app/editais/03342938000188/2025/99" TargetMode="External" Id="rId312" /><Relationship Type="http://schemas.openxmlformats.org/officeDocument/2006/relationships/hyperlink" Target="https://pncp.gov.br/app/editais/03354560000132/2025/58" TargetMode="External" Id="rId313" /><Relationship Type="http://schemas.openxmlformats.org/officeDocument/2006/relationships/hyperlink" Target="https://pncp.gov.br/app/editais/03408911000140/2026/23" TargetMode="External" Id="rId314" /><Relationship Type="http://schemas.openxmlformats.org/officeDocument/2006/relationships/hyperlink" Target="https://pncp.gov.br/app/editais/03408911000140/2026/59" TargetMode="External" Id="rId315" /><Relationship Type="http://schemas.openxmlformats.org/officeDocument/2006/relationships/hyperlink" Target="https://pncp.gov.br/app/editais/03501509000106/2026/85" TargetMode="External" Id="rId316" /><Relationship Type="http://schemas.openxmlformats.org/officeDocument/2006/relationships/hyperlink" Target="https://pncp.gov.br/app/editais/03501525000107/2025/110" TargetMode="External" Id="rId317" /><Relationship Type="http://schemas.openxmlformats.org/officeDocument/2006/relationships/hyperlink" Target="https://pncp.gov.br/app/editais/03501525000107/2026/15" TargetMode="External" Id="rId318" /><Relationship Type="http://schemas.openxmlformats.org/officeDocument/2006/relationships/hyperlink" Target="https://pncp.gov.br/app/editais/03501525000107/2026/61" TargetMode="External" Id="rId319" /><Relationship Type="http://schemas.openxmlformats.org/officeDocument/2006/relationships/hyperlink" Target="https://pncp.gov.br/app/editais/03501533000145/2026/39" TargetMode="External" Id="rId320" /><Relationship Type="http://schemas.openxmlformats.org/officeDocument/2006/relationships/hyperlink" Target="https://pncp.gov.br/app/editais/03507415002864/2026/144" TargetMode="External" Id="rId321" /><Relationship Type="http://schemas.openxmlformats.org/officeDocument/2006/relationships/hyperlink" Target="https://pncp.gov.br/app/editais/03507498000171/2026/113" TargetMode="External" Id="rId322" /><Relationship Type="http://schemas.openxmlformats.org/officeDocument/2006/relationships/hyperlink" Target="https://pncp.gov.br/app/editais/03507498000171/2026/77" TargetMode="External" Id="rId323" /><Relationship Type="http://schemas.openxmlformats.org/officeDocument/2006/relationships/hyperlink" Target="https://pncp.gov.br/app/editais/03507498000171/2026/96" TargetMode="External" Id="rId324" /><Relationship Type="http://schemas.openxmlformats.org/officeDocument/2006/relationships/hyperlink" Target="https://pncp.gov.br/app/editais/03532661000156/2023/1" TargetMode="External" Id="rId325" /><Relationship Type="http://schemas.openxmlformats.org/officeDocument/2006/relationships/hyperlink" Target="https://pncp.gov.br/app/editais/03532661000156/2025/13" TargetMode="External" Id="rId326" /><Relationship Type="http://schemas.openxmlformats.org/officeDocument/2006/relationships/hyperlink" Target="https://pncp.gov.br/app/editais/03532661000156/2025/33" TargetMode="External" Id="rId327" /><Relationship Type="http://schemas.openxmlformats.org/officeDocument/2006/relationships/hyperlink" Target="https://pncp.gov.br/app/editais/03535606000110/2026/72" TargetMode="External" Id="rId328" /><Relationship Type="http://schemas.openxmlformats.org/officeDocument/2006/relationships/hyperlink" Target="https://pncp.gov.br/app/editais/03560440000191/2026/25" TargetMode="External" Id="rId329" /><Relationship Type="http://schemas.openxmlformats.org/officeDocument/2006/relationships/hyperlink" Target="https://pncp.gov.br/app/editais/03567930000110/2026/17" TargetMode="External" Id="rId330" /><Relationship Type="http://schemas.openxmlformats.org/officeDocument/2006/relationships/hyperlink" Target="https://pncp.gov.br/app/editais/03659166001931/2024/345" TargetMode="External" Id="rId331" /><Relationship Type="http://schemas.openxmlformats.org/officeDocument/2006/relationships/hyperlink" Target="https://pncp.gov.br/app/editais/03681582000107/2026/23" TargetMode="External" Id="rId332" /><Relationship Type="http://schemas.openxmlformats.org/officeDocument/2006/relationships/hyperlink" Target="https://pncp.gov.br/app/editais/03741683000126/2025/22" TargetMode="External" Id="rId333" /><Relationship Type="http://schemas.openxmlformats.org/officeDocument/2006/relationships/hyperlink" Target="https://pncp.gov.br/app/editais/03773942000109/2026/20" TargetMode="External" Id="rId334" /><Relationship Type="http://schemas.openxmlformats.org/officeDocument/2006/relationships/hyperlink" Target="https://pncp.gov.br/app/editais/03903176000141/2026/1" TargetMode="External" Id="rId335" /><Relationship Type="http://schemas.openxmlformats.org/officeDocument/2006/relationships/hyperlink" Target="https://pncp.gov.br/app/editais/03929049000111/2025/49" TargetMode="External" Id="rId336" /><Relationship Type="http://schemas.openxmlformats.org/officeDocument/2006/relationships/hyperlink" Target="https://pncp.gov.br/app/editais/03954047000182/2026/25" TargetMode="External" Id="rId337" /><Relationship Type="http://schemas.openxmlformats.org/officeDocument/2006/relationships/hyperlink" Target="https://pncp.gov.br/app/editais/03979663000198/2025/26" TargetMode="External" Id="rId338" /><Relationship Type="http://schemas.openxmlformats.org/officeDocument/2006/relationships/hyperlink" Target="https://pncp.gov.br/app/editais/03979663000198/2026/162" TargetMode="External" Id="rId339" /><Relationship Type="http://schemas.openxmlformats.org/officeDocument/2006/relationships/hyperlink" Target="https://pncp.gov.br/app/editais/04178518000170/2026/16" TargetMode="External" Id="rId340" /><Relationship Type="http://schemas.openxmlformats.org/officeDocument/2006/relationships/hyperlink" Target="https://pncp.gov.br/app/editais/04213687000102/2026/56" TargetMode="External" Id="rId341" /><Relationship Type="http://schemas.openxmlformats.org/officeDocument/2006/relationships/hyperlink" Target="https://pncp.gov.br/app/editais/04214704000118/2025/58" TargetMode="External" Id="rId342" /><Relationship Type="http://schemas.openxmlformats.org/officeDocument/2006/relationships/hyperlink" Target="https://pncp.gov.br/app/editais/04215993000170/2026/24" TargetMode="External" Id="rId343" /><Relationship Type="http://schemas.openxmlformats.org/officeDocument/2006/relationships/hyperlink" Target="https://pncp.gov.br/app/editais/04215993000170/2026/37" TargetMode="External" Id="rId344" /><Relationship Type="http://schemas.openxmlformats.org/officeDocument/2006/relationships/hyperlink" Target="https://pncp.gov.br/app/editais/04253881000103/2026/36" TargetMode="External" Id="rId345" /><Relationship Type="http://schemas.openxmlformats.org/officeDocument/2006/relationships/hyperlink" Target="https://pncp.gov.br/app/editais/04709778000125/2026/15" TargetMode="External" Id="rId346" /><Relationship Type="http://schemas.openxmlformats.org/officeDocument/2006/relationships/hyperlink" Target="https://pncp.gov.br/app/editais/04755973000191/2025/109" TargetMode="External" Id="rId347" /><Relationship Type="http://schemas.openxmlformats.org/officeDocument/2006/relationships/hyperlink" Target="https://pncp.gov.br/app/editais/04842827000101/2026/52" TargetMode="External" Id="rId348" /><Relationship Type="http://schemas.openxmlformats.org/officeDocument/2006/relationships/hyperlink" Target="https://pncp.gov.br/app/editais/04892707000372/2025/15" TargetMode="External" Id="rId349" /><Relationship Type="http://schemas.openxmlformats.org/officeDocument/2006/relationships/hyperlink" Target="https://pncp.gov.br/app/editais/04892707000453/2025/10" TargetMode="External" Id="rId350" /><Relationship Type="http://schemas.openxmlformats.org/officeDocument/2006/relationships/hyperlink" Target="https://pncp.gov.br/app/editais/05487631000109/2026/97" TargetMode="External" Id="rId351" /><Relationship Type="http://schemas.openxmlformats.org/officeDocument/2006/relationships/hyperlink" Target="https://pncp.gov.br/app/editais/05921795000194/2025/32" TargetMode="External" Id="rId352" /><Relationship Type="http://schemas.openxmlformats.org/officeDocument/2006/relationships/hyperlink" Target="https://pncp.gov.br/app/editais/07158578000110/2026/44" TargetMode="External" Id="rId353" /><Relationship Type="http://schemas.openxmlformats.org/officeDocument/2006/relationships/hyperlink" Target="https://pncp.gov.br/app/editais/07222467000125/2026/75" TargetMode="External" Id="rId354" /><Relationship Type="http://schemas.openxmlformats.org/officeDocument/2006/relationships/hyperlink" Target="https://pncp.gov.br/app/editais/07248660000135/2026/44" TargetMode="External" Id="rId355" /><Relationship Type="http://schemas.openxmlformats.org/officeDocument/2006/relationships/hyperlink" Target="https://pncp.gov.br/app/editais/07947821000189/2025/138" TargetMode="External" Id="rId356" /><Relationship Type="http://schemas.openxmlformats.org/officeDocument/2006/relationships/hyperlink" Target="https://pncp.gov.br/app/editais/08083086000175/2026/13" TargetMode="External" Id="rId357" /><Relationship Type="http://schemas.openxmlformats.org/officeDocument/2006/relationships/hyperlink" Target="https://pncp.gov.br/app/editais/08654446000141/2026/9" TargetMode="External" Id="rId358" /><Relationship Type="http://schemas.openxmlformats.org/officeDocument/2006/relationships/hyperlink" Target="https://pncp.gov.br/app/editais/09108857000102/2025/4" TargetMode="External" Id="rId359" /><Relationship Type="http://schemas.openxmlformats.org/officeDocument/2006/relationships/hyperlink" Target="https://pncp.gov.br/app/editais/09168704000142/2026/45" TargetMode="External" Id="rId360" /><Relationship Type="http://schemas.openxmlformats.org/officeDocument/2006/relationships/hyperlink" Target="https://pncp.gov.br/app/editais/10376719000185/2026/2" TargetMode="External" Id="rId361" /><Relationship Type="http://schemas.openxmlformats.org/officeDocument/2006/relationships/hyperlink" Target="https://pncp.gov.br/app/editais/10476288000129/2026/245" TargetMode="External" Id="rId362" /><Relationship Type="http://schemas.openxmlformats.org/officeDocument/2006/relationships/hyperlink" Target="https://pncp.gov.br/app/editais/10480867000145/2026/30" TargetMode="External" Id="rId363" /><Relationship Type="http://schemas.openxmlformats.org/officeDocument/2006/relationships/hyperlink" Target="https://pncp.gov.br/app/editais/10581764000171/2026/74" TargetMode="External" Id="rId364" /><Relationship Type="http://schemas.openxmlformats.org/officeDocument/2006/relationships/hyperlink" Target="https://pncp.gov.br/app/editais/10626896000172/2026/216" TargetMode="External" Id="rId365" /><Relationship Type="http://schemas.openxmlformats.org/officeDocument/2006/relationships/hyperlink" Target="https://pncp.gov.br/app/editais/10651417000178/2026/119" TargetMode="External" Id="rId366" /><Relationship Type="http://schemas.openxmlformats.org/officeDocument/2006/relationships/hyperlink" Target="https://pncp.gov.br/app/editais/10727655000110/2026/148" TargetMode="External" Id="rId367" /><Relationship Type="http://schemas.openxmlformats.org/officeDocument/2006/relationships/hyperlink" Target="https://pncp.gov.br/app/editais/11111771000172/2025/126" TargetMode="External" Id="rId368" /><Relationship Type="http://schemas.openxmlformats.org/officeDocument/2006/relationships/hyperlink" Target="https://pncp.gov.br/app/editais/11168270000122/2025/60" TargetMode="External" Id="rId369" /><Relationship Type="http://schemas.openxmlformats.org/officeDocument/2006/relationships/hyperlink" Target="https://pncp.gov.br/app/editais/11324516000108/2025/105" TargetMode="External" Id="rId370" /><Relationship Type="http://schemas.openxmlformats.org/officeDocument/2006/relationships/hyperlink" Target="https://pncp.gov.br/app/editais/11336672000199/2026/29" TargetMode="External" Id="rId371" /><Relationship Type="http://schemas.openxmlformats.org/officeDocument/2006/relationships/hyperlink" Target="https://pncp.gov.br/app/editais/11675300000197/2026/2" TargetMode="External" Id="rId372" /><Relationship Type="http://schemas.openxmlformats.org/officeDocument/2006/relationships/hyperlink" Target="https://pncp.gov.br/app/editais/11675300000197/2026/3" TargetMode="External" Id="rId373" /><Relationship Type="http://schemas.openxmlformats.org/officeDocument/2006/relationships/hyperlink" Target="https://pncp.gov.br/app/editais/11809185000104/2026/22" TargetMode="External" Id="rId374" /><Relationship Type="http://schemas.openxmlformats.org/officeDocument/2006/relationships/hyperlink" Target="https://pncp.gov.br/app/editais/11877880000103/2026/34" TargetMode="External" Id="rId375" /><Relationship Type="http://schemas.openxmlformats.org/officeDocument/2006/relationships/hyperlink" Target="https://pncp.gov.br/app/editais/11924138000101/2024/540" TargetMode="External" Id="rId376" /><Relationship Type="http://schemas.openxmlformats.org/officeDocument/2006/relationships/hyperlink" Target="https://pncp.gov.br/app/editais/11924138000101/2025/1136" TargetMode="External" Id="rId377" /><Relationship Type="http://schemas.openxmlformats.org/officeDocument/2006/relationships/hyperlink" Target="https://pncp.gov.br/app/editais/11924138000101/2025/1444" TargetMode="External" Id="rId378" /><Relationship Type="http://schemas.openxmlformats.org/officeDocument/2006/relationships/hyperlink" Target="https://pncp.gov.br/app/editais/12053489000149/2025/139" TargetMode="External" Id="rId379" /><Relationship Type="http://schemas.openxmlformats.org/officeDocument/2006/relationships/hyperlink" Target="https://pncp.gov.br/app/editais/12053489000149/2026/158" TargetMode="External" Id="rId380" /><Relationship Type="http://schemas.openxmlformats.org/officeDocument/2006/relationships/hyperlink" Target="https://pncp.gov.br/app/editais/12333051000114/2026/16" TargetMode="External" Id="rId381" /><Relationship Type="http://schemas.openxmlformats.org/officeDocument/2006/relationships/hyperlink" Target="https://pncp.gov.br/app/editais/12560864000147/2026/16" TargetMode="External" Id="rId382" /><Relationship Type="http://schemas.openxmlformats.org/officeDocument/2006/relationships/hyperlink" Target="https://pncp.gov.br/app/editais/12600146000157/2026/37" TargetMode="External" Id="rId383" /><Relationship Type="http://schemas.openxmlformats.org/officeDocument/2006/relationships/hyperlink" Target="https://pncp.gov.br/app/editais/12775985000106/2026/4" TargetMode="External" Id="rId384" /><Relationship Type="http://schemas.openxmlformats.org/officeDocument/2006/relationships/hyperlink" Target="https://pncp.gov.br/app/editais/13842783000100/2026/15" TargetMode="External" Id="rId385" /><Relationship Type="http://schemas.openxmlformats.org/officeDocument/2006/relationships/hyperlink" Target="https://pncp.gov.br/app/editais/14004655000142/2025/55" TargetMode="External" Id="rId386" /><Relationship Type="http://schemas.openxmlformats.org/officeDocument/2006/relationships/hyperlink" Target="https://pncp.gov.br/app/editais/14627173000149/2026/15" TargetMode="External" Id="rId387" /><Relationship Type="http://schemas.openxmlformats.org/officeDocument/2006/relationships/hyperlink" Target="https://pncp.gov.br/app/editais/15024037000127/2026/12" TargetMode="External" Id="rId388" /><Relationship Type="http://schemas.openxmlformats.org/officeDocument/2006/relationships/hyperlink" Target="https://pncp.gov.br/app/editais/15126437000143/2025/4" TargetMode="External" Id="rId389" /><Relationship Type="http://schemas.openxmlformats.org/officeDocument/2006/relationships/hyperlink" Target="https://pncp.gov.br/app/editais/15410665000140/2026/8" TargetMode="External" Id="rId390" /><Relationship Type="http://schemas.openxmlformats.org/officeDocument/2006/relationships/hyperlink" Target="https://pncp.gov.br/app/editais/15457856000168/2026/85" TargetMode="External" Id="rId391" /><Relationship Type="http://schemas.openxmlformats.org/officeDocument/2006/relationships/hyperlink" Target="https://pncp.gov.br/app/editais/15461510000133/2025/239" TargetMode="External" Id="rId392" /><Relationship Type="http://schemas.openxmlformats.org/officeDocument/2006/relationships/hyperlink" Target="https://pncp.gov.br/app/editais/15465016000147/2026/38" TargetMode="External" Id="rId393" /><Relationship Type="http://schemas.openxmlformats.org/officeDocument/2006/relationships/hyperlink" Target="https://pncp.gov.br/app/editais/15469091000186/2026/3" TargetMode="External" Id="rId394" /><Relationship Type="http://schemas.openxmlformats.org/officeDocument/2006/relationships/hyperlink" Target="https://pncp.gov.br/app/editais/15487762000131/2026/10" TargetMode="External" Id="rId395" /><Relationship Type="http://schemas.openxmlformats.org/officeDocument/2006/relationships/hyperlink" Target="https://pncp.gov.br/app/editais/15905003000141/2026/21" TargetMode="External" Id="rId396" /><Relationship Type="http://schemas.openxmlformats.org/officeDocument/2006/relationships/hyperlink" Target="https://pncp.gov.br/app/editais/16907746000113/2026/81" TargetMode="External" Id="rId397" /><Relationship Type="http://schemas.openxmlformats.org/officeDocument/2006/relationships/hyperlink" Target="https://pncp.gov.br/app/editais/17058108000138/2026/75" TargetMode="External" Id="rId398" /><Relationship Type="http://schemas.openxmlformats.org/officeDocument/2006/relationships/hyperlink" Target="https://pncp.gov.br/app/editais/17361639000103/2026/44" TargetMode="External" Id="rId399" /><Relationship Type="http://schemas.openxmlformats.org/officeDocument/2006/relationships/hyperlink" Target="https://pncp.gov.br/app/editais/17361639000103/2026/46" TargetMode="External" Id="rId400" /><Relationship Type="http://schemas.openxmlformats.org/officeDocument/2006/relationships/hyperlink" Target="https://pncp.gov.br/app/editais/17590843000198/2026/19" TargetMode="External" Id="rId401" /><Relationship Type="http://schemas.openxmlformats.org/officeDocument/2006/relationships/hyperlink" Target="https://pncp.gov.br/app/editais/17701982000141/2026/5" TargetMode="External" Id="rId402" /><Relationship Type="http://schemas.openxmlformats.org/officeDocument/2006/relationships/hyperlink" Target="https://pncp.gov.br/app/editais/17819061000188/2026/77" TargetMode="External" Id="rId403" /><Relationship Type="http://schemas.openxmlformats.org/officeDocument/2006/relationships/hyperlink" Target="https://pncp.gov.br/app/editais/17955386000198/2026/182" TargetMode="External" Id="rId404" /><Relationship Type="http://schemas.openxmlformats.org/officeDocument/2006/relationships/hyperlink" Target="https://pncp.gov.br/app/editais/18008920000111/2026/38" TargetMode="External" Id="rId405" /><Relationship Type="http://schemas.openxmlformats.org/officeDocument/2006/relationships/hyperlink" Target="https://pncp.gov.br/app/editais/18025965000102/2026/53" TargetMode="External" Id="rId406" /><Relationship Type="http://schemas.openxmlformats.org/officeDocument/2006/relationships/hyperlink" Target="https://pncp.gov.br/app/editais/18070772000165/2025/111" TargetMode="External" Id="rId407" /><Relationship Type="http://schemas.openxmlformats.org/officeDocument/2006/relationships/hyperlink" Target="https://pncp.gov.br/app/editais/18128231000140/2026/120" TargetMode="External" Id="rId408" /><Relationship Type="http://schemas.openxmlformats.org/officeDocument/2006/relationships/hyperlink" Target="https://pncp.gov.br/app/editais/18132464000117/2026/65" TargetMode="External" Id="rId409" /><Relationship Type="http://schemas.openxmlformats.org/officeDocument/2006/relationships/hyperlink" Target="https://pncp.gov.br/app/editais/18188219000121/2026/331" TargetMode="External" Id="rId410" /><Relationship Type="http://schemas.openxmlformats.org/officeDocument/2006/relationships/hyperlink" Target="https://pncp.gov.br/app/editais/18242792000176/2026/147" TargetMode="External" Id="rId411" /><Relationship Type="http://schemas.openxmlformats.org/officeDocument/2006/relationships/hyperlink" Target="https://pncp.gov.br/app/editais/18244376000107/2026/137" TargetMode="External" Id="rId412" /><Relationship Type="http://schemas.openxmlformats.org/officeDocument/2006/relationships/hyperlink" Target="https://pncp.gov.br/app/editais/18245167000188/2026/106" TargetMode="External" Id="rId413" /><Relationship Type="http://schemas.openxmlformats.org/officeDocument/2006/relationships/hyperlink" Target="https://pncp.gov.br/app/editais/18245183000170/2026/136" TargetMode="External" Id="rId414" /><Relationship Type="http://schemas.openxmlformats.org/officeDocument/2006/relationships/hyperlink" Target="https://pncp.gov.br/app/editais/18295329000192/2024/244" TargetMode="External" Id="rId415" /><Relationship Type="http://schemas.openxmlformats.org/officeDocument/2006/relationships/hyperlink" Target="https://pncp.gov.br/app/editais/18296681000142/2026/184" TargetMode="External" Id="rId416" /><Relationship Type="http://schemas.openxmlformats.org/officeDocument/2006/relationships/hyperlink" Target="https://pncp.gov.br/app/editais/18303697000135/2025/3" TargetMode="External" Id="rId417" /><Relationship Type="http://schemas.openxmlformats.org/officeDocument/2006/relationships/hyperlink" Target="https://pncp.gov.br/app/editais/18338848000190/2026/57" TargetMode="External" Id="rId418" /><Relationship Type="http://schemas.openxmlformats.org/officeDocument/2006/relationships/hyperlink" Target="https://pncp.gov.br/app/editais/18347419000180/2026/20" TargetMode="External" Id="rId419" /><Relationship Type="http://schemas.openxmlformats.org/officeDocument/2006/relationships/hyperlink" Target="https://pncp.gov.br/app/editais/18362730000106/2025/13" TargetMode="External" Id="rId420" /><Relationship Type="http://schemas.openxmlformats.org/officeDocument/2006/relationships/hyperlink" Target="https://pncp.gov.br/app/editais/18409227000150/2026/81" TargetMode="External" Id="rId421" /><Relationship Type="http://schemas.openxmlformats.org/officeDocument/2006/relationships/hyperlink" Target="https://pncp.gov.br/app/editais/18423582000184/2026/119" TargetMode="External" Id="rId422" /><Relationship Type="http://schemas.openxmlformats.org/officeDocument/2006/relationships/hyperlink" Target="https://pncp.gov.br/app/editais/18428847000137/2026/101" TargetMode="External" Id="rId423" /><Relationship Type="http://schemas.openxmlformats.org/officeDocument/2006/relationships/hyperlink" Target="https://pncp.gov.br/app/editais/18457259000121/2026/25" TargetMode="External" Id="rId424" /><Relationship Type="http://schemas.openxmlformats.org/officeDocument/2006/relationships/hyperlink" Target="https://pncp.gov.br/app/editais/18477315000190/2026/31" TargetMode="External" Id="rId425" /><Relationship Type="http://schemas.openxmlformats.org/officeDocument/2006/relationships/hyperlink" Target="https://pncp.gov.br/app/editais/18663401000197/2026/219" TargetMode="External" Id="rId426" /><Relationship Type="http://schemas.openxmlformats.org/officeDocument/2006/relationships/hyperlink" Target="https://pncp.gov.br/app/editais/18675975000185/2026/94" TargetMode="External" Id="rId427" /><Relationship Type="http://schemas.openxmlformats.org/officeDocument/2006/relationships/hyperlink" Target="https://pncp.gov.br/app/editais/18677609000165/2025/80" TargetMode="External" Id="rId428" /><Relationship Type="http://schemas.openxmlformats.org/officeDocument/2006/relationships/hyperlink" Target="https://pncp.gov.br/app/editais/19607632000146/2026/9" TargetMode="External" Id="rId429" /><Relationship Type="http://schemas.openxmlformats.org/officeDocument/2006/relationships/hyperlink" Target="https://pncp.gov.br/app/editais/19645908000180/2026/4" TargetMode="External" Id="rId430" /><Relationship Type="http://schemas.openxmlformats.org/officeDocument/2006/relationships/hyperlink" Target="https://pncp.gov.br/app/editais/20267427000168/2025/85" TargetMode="External" Id="rId431" /><Relationship Type="http://schemas.openxmlformats.org/officeDocument/2006/relationships/hyperlink" Target="https://pncp.gov.br/app/editais/20669834000100/2026/36" TargetMode="External" Id="rId432" /><Relationship Type="http://schemas.openxmlformats.org/officeDocument/2006/relationships/hyperlink" Target="https://pncp.gov.br/app/editais/20905865000104/2026/81" TargetMode="External" Id="rId433" /><Relationship Type="http://schemas.openxmlformats.org/officeDocument/2006/relationships/hyperlink" Target="https://pncp.gov.br/app/editais/21744847000150/2025/1074" TargetMode="External" Id="rId434" /><Relationship Type="http://schemas.openxmlformats.org/officeDocument/2006/relationships/hyperlink" Target="https://pncp.gov.br/app/editais/21744847000150/2025/1952" TargetMode="External" Id="rId435" /><Relationship Type="http://schemas.openxmlformats.org/officeDocument/2006/relationships/hyperlink" Target="https://pncp.gov.br/app/editais/22100219000103/2025/6" TargetMode="External" Id="rId436" /><Relationship Type="http://schemas.openxmlformats.org/officeDocument/2006/relationships/hyperlink" Target="https://pncp.gov.br/app/editais/22794608000178/2026/9" TargetMode="External" Id="rId437" /><Relationship Type="http://schemas.openxmlformats.org/officeDocument/2006/relationships/hyperlink" Target="https://pncp.gov.br/app/editais/24121284000132/2026/10" TargetMode="External" Id="rId438" /><Relationship Type="http://schemas.openxmlformats.org/officeDocument/2006/relationships/hyperlink" Target="https://pncp.gov.br/app/editais/24644502000113/2026/12" TargetMode="External" Id="rId439" /><Relationship Type="http://schemas.openxmlformats.org/officeDocument/2006/relationships/hyperlink" Target="https://pncp.gov.br/app/editais/24651200000172/2026/102" TargetMode="External" Id="rId440" /><Relationship Type="http://schemas.openxmlformats.org/officeDocument/2006/relationships/hyperlink" Target="https://pncp.gov.br/app/editais/24672727000183/2026/28" TargetMode="External" Id="rId441" /><Relationship Type="http://schemas.openxmlformats.org/officeDocument/2006/relationships/hyperlink" Target="https://pncp.gov.br/app/editais/24772162000106/2026/147" TargetMode="External" Id="rId442" /><Relationship Type="http://schemas.openxmlformats.org/officeDocument/2006/relationships/hyperlink" Target="https://pncp.gov.br/app/editais/24772162000106/2026/165" TargetMode="External" Id="rId443" /><Relationship Type="http://schemas.openxmlformats.org/officeDocument/2006/relationships/hyperlink" Target="https://pncp.gov.br/app/editais/24772162000106/2026/39" TargetMode="External" Id="rId444" /><Relationship Type="http://schemas.openxmlformats.org/officeDocument/2006/relationships/hyperlink" Target="https://pncp.gov.br/app/editais/24772188000154/2026/67" TargetMode="External" Id="rId445" /><Relationship Type="http://schemas.openxmlformats.org/officeDocument/2006/relationships/hyperlink" Target="https://pncp.gov.br/app/editais/24772220000100/2026/23" TargetMode="External" Id="rId446" /><Relationship Type="http://schemas.openxmlformats.org/officeDocument/2006/relationships/hyperlink" Target="https://pncp.gov.br/app/editais/24850109000186/2026/46" TargetMode="External" Id="rId447" /><Relationship Type="http://schemas.openxmlformats.org/officeDocument/2006/relationships/hyperlink" Target="https://pncp.gov.br/app/editais/24856569000111/2025/604" TargetMode="External" Id="rId448" /><Relationship Type="http://schemas.openxmlformats.org/officeDocument/2006/relationships/hyperlink" Target="https://pncp.gov.br/app/editais/24857096000177/2026/6" TargetMode="External" Id="rId449" /><Relationship Type="http://schemas.openxmlformats.org/officeDocument/2006/relationships/hyperlink" Target="https://pncp.gov.br/app/editais/24859316000100/2025/211" TargetMode="External" Id="rId450" /><Relationship Type="http://schemas.openxmlformats.org/officeDocument/2006/relationships/hyperlink" Target="https://pncp.gov.br/app/editais/24859316000100/2026/208" TargetMode="External" Id="rId451" /><Relationship Type="http://schemas.openxmlformats.org/officeDocument/2006/relationships/hyperlink" Target="https://pncp.gov.br/app/editais/24859324000148/2026/41" TargetMode="External" Id="rId452" /><Relationship Type="http://schemas.openxmlformats.org/officeDocument/2006/relationships/hyperlink" Target="https://pncp.gov.br/app/editais/24859332000194/2024/102" TargetMode="External" Id="rId453" /><Relationship Type="http://schemas.openxmlformats.org/officeDocument/2006/relationships/hyperlink" Target="https://pncp.gov.br/app/editais/24859332000194/2025/110" TargetMode="External" Id="rId454" /><Relationship Type="http://schemas.openxmlformats.org/officeDocument/2006/relationships/hyperlink" Target="https://pncp.gov.br/app/editais/24859332000194/2025/30" TargetMode="External" Id="rId455" /><Relationship Type="http://schemas.openxmlformats.org/officeDocument/2006/relationships/hyperlink" Target="https://pncp.gov.br/app/editais/24859332000194/2026/1" TargetMode="External" Id="rId456" /><Relationship Type="http://schemas.openxmlformats.org/officeDocument/2006/relationships/hyperlink" Target="https://pncp.gov.br/app/editais/24859332000194/2026/15" TargetMode="External" Id="rId457" /><Relationship Type="http://schemas.openxmlformats.org/officeDocument/2006/relationships/hyperlink" Target="https://pncp.gov.br/app/editais/24859332000194/2026/163" TargetMode="External" Id="rId458" /><Relationship Type="http://schemas.openxmlformats.org/officeDocument/2006/relationships/hyperlink" Target="https://pncp.gov.br/app/editais/24859332000194/2026/175" TargetMode="External" Id="rId459" /><Relationship Type="http://schemas.openxmlformats.org/officeDocument/2006/relationships/hyperlink" Target="https://pncp.gov.br/app/editais/24859332000194/2026/299" TargetMode="External" Id="rId460" /><Relationship Type="http://schemas.openxmlformats.org/officeDocument/2006/relationships/hyperlink" Target="https://pncp.gov.br/app/editais/24859332000194/2026/385" TargetMode="External" Id="rId461" /><Relationship Type="http://schemas.openxmlformats.org/officeDocument/2006/relationships/hyperlink" Target="https://pncp.gov.br/app/editais/24950461000193/2026/21" TargetMode="External" Id="rId462" /><Relationship Type="http://schemas.openxmlformats.org/officeDocument/2006/relationships/hyperlink" Target="https://pncp.gov.br/app/editais/25004771000188/2026/31" TargetMode="External" Id="rId463" /><Relationship Type="http://schemas.openxmlformats.org/officeDocument/2006/relationships/hyperlink" Target="https://pncp.gov.br/app/editais/25005166000121/2025/255" TargetMode="External" Id="rId464" /><Relationship Type="http://schemas.openxmlformats.org/officeDocument/2006/relationships/hyperlink" Target="https://pncp.gov.br/app/editais/25043530000148/2026/48" TargetMode="External" Id="rId465" /><Relationship Type="http://schemas.openxmlformats.org/officeDocument/2006/relationships/hyperlink" Target="https://pncp.gov.br/app/editais/25043621000183/2026/128" TargetMode="External" Id="rId466" /><Relationship Type="http://schemas.openxmlformats.org/officeDocument/2006/relationships/hyperlink" Target="https://pncp.gov.br/app/editais/25043621000183/2026/240" TargetMode="External" Id="rId467" /><Relationship Type="http://schemas.openxmlformats.org/officeDocument/2006/relationships/hyperlink" Target="https://pncp.gov.br/app/editais/25053133000157/2026/73" TargetMode="External" Id="rId468" /><Relationship Type="http://schemas.openxmlformats.org/officeDocument/2006/relationships/hyperlink" Target="https://pncp.gov.br/app/editais/25053190000136/2026/123" TargetMode="External" Id="rId469" /><Relationship Type="http://schemas.openxmlformats.org/officeDocument/2006/relationships/hyperlink" Target="https://pncp.gov.br/app/editais/25063983000136/2026/8" TargetMode="External" Id="rId470" /><Relationship Type="http://schemas.openxmlformats.org/officeDocument/2006/relationships/hyperlink" Target="https://pncp.gov.br/app/editais/25105255000140/2025/21" TargetMode="External" Id="rId471" /><Relationship Type="http://schemas.openxmlformats.org/officeDocument/2006/relationships/hyperlink" Target="https://pncp.gov.br/app/editais/25105339000183/2026/42" TargetMode="External" Id="rId472" /><Relationship Type="http://schemas.openxmlformats.org/officeDocument/2006/relationships/hyperlink" Target="https://pncp.gov.br/app/editais/25107517000105/2025/304" TargetMode="External" Id="rId473" /><Relationship Type="http://schemas.openxmlformats.org/officeDocument/2006/relationships/hyperlink" Target="https://pncp.gov.br/app/editais/25107525000151/2024/237" TargetMode="External" Id="rId474" /><Relationship Type="http://schemas.openxmlformats.org/officeDocument/2006/relationships/hyperlink" Target="https://pncp.gov.br/app/editais/25107525000151/2025/123" TargetMode="External" Id="rId475" /><Relationship Type="http://schemas.openxmlformats.org/officeDocument/2006/relationships/hyperlink" Target="https://pncp.gov.br/app/editais/25107525000151/2025/160" TargetMode="External" Id="rId476" /><Relationship Type="http://schemas.openxmlformats.org/officeDocument/2006/relationships/hyperlink" Target="https://pncp.gov.br/app/editais/25107525000151/2025/283" TargetMode="External" Id="rId477" /><Relationship Type="http://schemas.openxmlformats.org/officeDocument/2006/relationships/hyperlink" Target="https://pncp.gov.br/app/editais/25107525000151/2025/359" TargetMode="External" Id="rId478" /><Relationship Type="http://schemas.openxmlformats.org/officeDocument/2006/relationships/hyperlink" Target="https://pncp.gov.br/app/editais/25107525000151/2025/367" TargetMode="External" Id="rId479" /><Relationship Type="http://schemas.openxmlformats.org/officeDocument/2006/relationships/hyperlink" Target="https://pncp.gov.br/app/editais/25107525000151/2025/369" TargetMode="External" Id="rId480" /><Relationship Type="http://schemas.openxmlformats.org/officeDocument/2006/relationships/hyperlink" Target="https://pncp.gov.br/app/editais/25107525000151/2026/296" TargetMode="External" Id="rId481" /><Relationship Type="http://schemas.openxmlformats.org/officeDocument/2006/relationships/hyperlink" Target="https://pncp.gov.br/app/editais/25107525000151/2026/331" TargetMode="External" Id="rId482" /><Relationship Type="http://schemas.openxmlformats.org/officeDocument/2006/relationships/hyperlink" Target="https://pncp.gov.br/app/editais/25107657000183/2025/24" TargetMode="External" Id="rId483" /><Relationship Type="http://schemas.openxmlformats.org/officeDocument/2006/relationships/hyperlink" Target="https://pncp.gov.br/app/editais/25107657000183/2025/41" TargetMode="External" Id="rId484" /><Relationship Type="http://schemas.openxmlformats.org/officeDocument/2006/relationships/hyperlink" Target="https://pncp.gov.br/app/editais/25107657000183/2026/60" TargetMode="External" Id="rId485" /><Relationship Type="http://schemas.openxmlformats.org/officeDocument/2006/relationships/hyperlink" Target="https://pncp.gov.br/app/editais/25141524000123/2025/100" TargetMode="External" Id="rId486" /><Relationship Type="http://schemas.openxmlformats.org/officeDocument/2006/relationships/hyperlink" Target="https://pncp.gov.br/app/editais/25269069000146/2026/37" TargetMode="External" Id="rId487" /><Relationship Type="http://schemas.openxmlformats.org/officeDocument/2006/relationships/hyperlink" Target="https://pncp.gov.br/app/editais/25269069000146/2026/47" TargetMode="External" Id="rId488" /><Relationship Type="http://schemas.openxmlformats.org/officeDocument/2006/relationships/hyperlink" Target="https://pncp.gov.br/app/editais/25437484000161/2026/64" TargetMode="External" Id="rId489" /><Relationship Type="http://schemas.openxmlformats.org/officeDocument/2006/relationships/hyperlink" Target="https://pncp.gov.br/app/editais/26040238000134/2026/29" TargetMode="External" Id="rId490" /><Relationship Type="http://schemas.openxmlformats.org/officeDocument/2006/relationships/hyperlink" Target="https://pncp.gov.br/app/editais/26867770000120/2026/172" TargetMode="External" Id="rId491" /><Relationship Type="http://schemas.openxmlformats.org/officeDocument/2006/relationships/hyperlink" Target="https://pncp.gov.br/app/editais/26867770000120/2026/67" TargetMode="External" Id="rId492" /><Relationship Type="http://schemas.openxmlformats.org/officeDocument/2006/relationships/hyperlink" Target="https://pncp.gov.br/app/editais/26989350000116/2026/65" TargetMode="External" Id="rId493" /><Relationship Type="http://schemas.openxmlformats.org/officeDocument/2006/relationships/hyperlink" Target="https://pncp.gov.br/app/editais/26989715000102/2025/2471" TargetMode="External" Id="rId494" /><Relationship Type="http://schemas.openxmlformats.org/officeDocument/2006/relationships/hyperlink" Target="https://pncp.gov.br/app/editais/26989715000102/2025/606" TargetMode="External" Id="rId495" /><Relationship Type="http://schemas.openxmlformats.org/officeDocument/2006/relationships/hyperlink" Target="https://pncp.gov.br/app/editais/26989715000102/2026/1070" TargetMode="External" Id="rId496" /><Relationship Type="http://schemas.openxmlformats.org/officeDocument/2006/relationships/hyperlink" Target="https://pncp.gov.br/app/editais/26989715000102/2026/1206" TargetMode="External" Id="rId497" /><Relationship Type="http://schemas.openxmlformats.org/officeDocument/2006/relationships/hyperlink" Target="https://pncp.gov.br/app/editais/26989715000102/2026/1341" TargetMode="External" Id="rId498" /><Relationship Type="http://schemas.openxmlformats.org/officeDocument/2006/relationships/hyperlink" Target="https://pncp.gov.br/app/editais/26989715000102/2026/347" TargetMode="External" Id="rId499" /><Relationship Type="http://schemas.openxmlformats.org/officeDocument/2006/relationships/hyperlink" Target="https://pncp.gov.br/app/editais/26989715000102/2026/451" TargetMode="External" Id="rId500" /><Relationship Type="http://schemas.openxmlformats.org/officeDocument/2006/relationships/hyperlink" Target="https://pncp.gov.br/app/editais/26994558000123/2026/126" TargetMode="External" Id="rId501" /><Relationship Type="http://schemas.openxmlformats.org/officeDocument/2006/relationships/hyperlink" Target="https://pncp.gov.br/app/editais/27136980000100/2026/35" TargetMode="External" Id="rId502" /><Relationship Type="http://schemas.openxmlformats.org/officeDocument/2006/relationships/hyperlink" Target="https://pncp.gov.br/app/editais/33618570000107/2026/31" TargetMode="External" Id="rId503" /><Relationship Type="http://schemas.openxmlformats.org/officeDocument/2006/relationships/hyperlink" Target="https://pncp.gov.br/app/editais/33683822000173/2026/26" TargetMode="External" Id="rId504" /><Relationship Type="http://schemas.openxmlformats.org/officeDocument/2006/relationships/hyperlink" Target="https://pncp.gov.br/app/editais/33683822000173/2026/44" TargetMode="External" Id="rId505" /><Relationship Type="http://schemas.openxmlformats.org/officeDocument/2006/relationships/hyperlink" Target="https://pncp.gov.br/app/editais/33683822000173/2026/45" TargetMode="External" Id="rId506" /><Relationship Type="http://schemas.openxmlformats.org/officeDocument/2006/relationships/hyperlink" Target="https://pncp.gov.br/app/editais/35834377000120/2025/69" TargetMode="External" Id="rId507" /><Relationship Type="http://schemas.openxmlformats.org/officeDocument/2006/relationships/hyperlink" Target="https://pncp.gov.br/app/editais/35840659000130/2024/48" TargetMode="External" Id="rId508" /><Relationship Type="http://schemas.openxmlformats.org/officeDocument/2006/relationships/hyperlink" Target="https://pncp.gov.br/app/editais/35840659000130/2025/13" TargetMode="External" Id="rId509" /><Relationship Type="http://schemas.openxmlformats.org/officeDocument/2006/relationships/hyperlink" Target="https://pncp.gov.br/app/editais/35840659000130/2026/27" TargetMode="External" Id="rId510" /><Relationship Type="http://schemas.openxmlformats.org/officeDocument/2006/relationships/hyperlink" Target="https://pncp.gov.br/app/editais/36975571000199/2025/866" TargetMode="External" Id="rId511" /><Relationship Type="http://schemas.openxmlformats.org/officeDocument/2006/relationships/hyperlink" Target="https://pncp.gov.br/app/editais/36975571000199/2026/132" TargetMode="External" Id="rId512" /><Relationship Type="http://schemas.openxmlformats.org/officeDocument/2006/relationships/hyperlink" Target="https://pncp.gov.br/app/editais/36975571000199/2026/200" TargetMode="External" Id="rId513" /><Relationship Type="http://schemas.openxmlformats.org/officeDocument/2006/relationships/hyperlink" Target="https://pncp.gov.br/app/editais/36985463000105/2026/19" TargetMode="External" Id="rId514" /><Relationship Type="http://schemas.openxmlformats.org/officeDocument/2006/relationships/hyperlink" Target="https://pncp.gov.br/app/editais/37115342000167/2026/57" TargetMode="External" Id="rId515" /><Relationship Type="http://schemas.openxmlformats.org/officeDocument/2006/relationships/hyperlink" Target="https://pncp.gov.br/app/editais/37226644000102/2026/15" TargetMode="External" Id="rId516" /><Relationship Type="http://schemas.openxmlformats.org/officeDocument/2006/relationships/hyperlink" Target="https://pncp.gov.br/app/editais/37226644000102/2026/69" TargetMode="External" Id="rId517" /><Relationship Type="http://schemas.openxmlformats.org/officeDocument/2006/relationships/hyperlink" Target="https://pncp.gov.br/app/editais/37226644000102/2026/95" TargetMode="External" Id="rId518" /><Relationship Type="http://schemas.openxmlformats.org/officeDocument/2006/relationships/hyperlink" Target="https://pncp.gov.br/app/editais/37344397000149/2026/11" TargetMode="External" Id="rId519" /><Relationship Type="http://schemas.openxmlformats.org/officeDocument/2006/relationships/hyperlink" Target="https://pncp.gov.br/app/editais/37388295000125/2025/20" TargetMode="External" Id="rId520" /><Relationship Type="http://schemas.openxmlformats.org/officeDocument/2006/relationships/hyperlink" Target="https://pncp.gov.br/app/editais/37426889000183/2025/4" TargetMode="External" Id="rId521" /><Relationship Type="http://schemas.openxmlformats.org/officeDocument/2006/relationships/hyperlink" Target="https://pncp.gov.br/app/editais/37426889000183/2026/3" TargetMode="External" Id="rId522" /><Relationship Type="http://schemas.openxmlformats.org/officeDocument/2006/relationships/hyperlink" Target="https://pncp.gov.br/app/editais/37465309000167/2026/45" TargetMode="External" Id="rId523" /><Relationship Type="http://schemas.openxmlformats.org/officeDocument/2006/relationships/hyperlink" Target="https://pncp.gov.br/app/editais/45316509000186/2025/144" TargetMode="External" Id="rId524" /><Relationship Type="http://schemas.openxmlformats.org/officeDocument/2006/relationships/hyperlink" Target="https://pncp.gov.br/app/editais/45960936000100/2026/103" TargetMode="External" Id="rId525" /><Relationship Type="http://schemas.openxmlformats.org/officeDocument/2006/relationships/hyperlink" Target="https://pncp.gov.br/app/editais/49868348000194/2026/13" TargetMode="External" Id="rId526" /><Relationship Type="http://schemas.openxmlformats.org/officeDocument/2006/relationships/hyperlink" Target="https://pncp.gov.br/app/editais/50563382000130/2024/182" TargetMode="External" Id="rId527" /><Relationship Type="http://schemas.openxmlformats.org/officeDocument/2006/relationships/hyperlink" Target="https://pncp.gov.br/app/editais/50563382000130/2024/184" TargetMode="External" Id="rId528" /><Relationship Type="http://schemas.openxmlformats.org/officeDocument/2006/relationships/hyperlink" Target="https://pncp.gov.br/app/editais/50563382000130/2026/20" TargetMode="External" Id="rId529" /><Relationship Type="http://schemas.openxmlformats.org/officeDocument/2006/relationships/hyperlink" Target="https://pncp.gov.br/app/editais/55262249000167/2025/40" TargetMode="External" Id="rId530" /><Relationship Type="http://schemas.openxmlformats.org/officeDocument/2006/relationships/hyperlink" Target="https://pncp.gov.br/app/editais/56085410000137/2026/61" TargetMode="External" Id="rId531" /><Relationship Type="http://schemas.openxmlformats.org/officeDocument/2006/relationships/hyperlink" Target="https://pncp.gov.br/app/editais/59558305000166/2026/4" TargetMode="External" Id="rId532" /><Relationship Type="http://schemas.openxmlformats.org/officeDocument/2006/relationships/hyperlink" Target="https://pncp.gov.br/app/editais/64794950000118/2026/1" TargetMode="External" Id="rId533" /><Relationship Type="http://schemas.openxmlformats.org/officeDocument/2006/relationships/hyperlink" Target="https://pncp.gov.br/app/editais/66229857000196/2026/54" TargetMode="External" Id="rId534" /><Relationship Type="http://schemas.openxmlformats.org/officeDocument/2006/relationships/hyperlink" Target="https://pncp.gov.br/app/editais/73357469000156/2026/127" TargetMode="External" Id="rId535" /></Relationships>
</file>

<file path=xl/worksheets/_rels/sheet4.xml.rels><Relationships xmlns="http://schemas.openxmlformats.org/package/2006/relationships"><Relationship Type="http://schemas.openxmlformats.org/officeDocument/2006/relationships/hyperlink" Target="https://www.planalto.gov.br/ccivil_03/_ato2023-2026/2025/decreto/d12797.htm" TargetMode="External" Id="rId1" /><Relationship Type="http://schemas.openxmlformats.org/officeDocument/2006/relationships/hyperlink" Target="https://www.sintracomgoiania.com.br/images/convencoes_arquivos/construcao-civil/CCT_2025_2027_Divulgacao_Conjunta_Sinduscon_e_Sintracom_Goias_assinado.pdf" TargetMode="External" Id="rId2" /><Relationship Type="http://schemas.openxmlformats.org/officeDocument/2006/relationships/hyperlink" Target="https://www.sintracomgoiania.com.br/images/convencoes_arquivos/construcao-civil/CCT_2025_2027_Divulgacao_Conjunta_Sinduscon_e_Sintracom_Goias_assinado.pdf" TargetMode="External" Id="rId3" /><Relationship Type="http://schemas.openxmlformats.org/officeDocument/2006/relationships/hyperlink" Target="https://www.sintracomgoiania.com.br/images/convencoes_arquivos/construcao-civil/CCT_2025_2027_Divulgacao_Conjunta_Sinduscon_e_Sintracom_Goias_assinado.pdf" TargetMode="External" Id="rId4" /><Relationship Type="http://schemas.openxmlformats.org/officeDocument/2006/relationships/hyperlink" Target="https://www.sintracomgoiania.com.br/images/convencoes_arquivos/construcao-civil/CCT_2025_2027_Divulgacao_Conjunta_Sinduscon_e_Sintracom_Goias_assinado.pdf" TargetMode="External" Id="rId5" /><Relationship Type="http://schemas.openxmlformats.org/officeDocument/2006/relationships/hyperlink" Target="https://www.sintracomgoiania.com.br/images/convencoes_arquivos/construcao-civil/CCT_2025_2027_Divulgacao_Conjunta_Sinduscon_e_Sintracom_Goias_assinado.pdf" TargetMode="External" Id="rId6" /><Relationship Type="http://schemas.openxmlformats.org/officeDocument/2006/relationships/hyperlink" Target="https://www.sintracomgoiania.com.br/images/convencoes_arquivos/construcao-civil/CCT_2025_2027_Divulgacao_Conjunta_Sinduscon_e_Sintracom_Goias_assinado.pdf" TargetMode="External" Id="rId7" /><Relationship Type="http://schemas.openxmlformats.org/officeDocument/2006/relationships/hyperlink" Target="https://www.sintracomgoiania.com.br/images/convencoes_arquivos/construcao-civil/CCT_2025_2027_Divulgacao_Conjunta_Sinduscon_e_Sintracom_Goias_assinado.pdf" TargetMode="External" Id="rId8" /><Relationship Type="http://schemas.openxmlformats.org/officeDocument/2006/relationships/hyperlink" Target="https://www.sintracomgoiania.com.br/images/convencoes_arquivos/construcao-civil/CCT_2025_2027_Divulgacao_Conjunta_Sinduscon_e_Sintracom_Goias_assinado.pdf" TargetMode="External" Id="rId9" /><Relationship Type="http://schemas.openxmlformats.org/officeDocument/2006/relationships/hyperlink" Target="https://www.sintracomgoiania.com.br/images/convencoes_arquivos/construcao-civil/CCT_2025_2027_Divulgacao_Conjunta_Sinduscon_e_Sintracom_Goias_assinado.pdf" TargetMode="External" Id="rId10" /><Relationship Type="http://schemas.openxmlformats.org/officeDocument/2006/relationships/hyperlink" Target="https://www.planalto.gov.br/ccivil_03/leis/l4950a.htm" TargetMode="External" Id="rId11" /><Relationship Type="http://schemas.openxmlformats.org/officeDocument/2006/relationships/hyperlink" Target="https://www.planalto.gov.br/ccivil_03/leis/l4950a.htm" TargetMode="External" Id="rId12" /><Relationship Type="http://schemas.openxmlformats.org/officeDocument/2006/relationships/hyperlink" Target="https://goias.gov.br/seinfra/wp-content/uploads/sites/6/2025/09/ANEXO-3.pdf" TargetMode="External" Id="rId13" /><Relationship Type="http://schemas.openxmlformats.org/officeDocument/2006/relationships/hyperlink" Target="https://goias.gov.br/seinfra/wp-content/uploads/sites/6/2025/09/ANEXO-3.pdf" TargetMode="External" Id="rId14" /><Relationship Type="http://schemas.openxmlformats.org/officeDocument/2006/relationships/hyperlink" Target="https://goias.gov.br/seinfra/wp-content/uploads/sites/6/2025/09/ANEXO-3.pdf" TargetMode="External" Id="rId15" /><Relationship Type="http://schemas.openxmlformats.org/officeDocument/2006/relationships/hyperlink" Target="https://goias.gov.br/seinfra/wp-content/uploads/sites/6/2025/09/ANEXO-3.pdf" TargetMode="External" Id="rId16" /><Relationship Type="http://schemas.openxmlformats.org/officeDocument/2006/relationships/hyperlink" Target="https://goias.gov.br/seinfra/wp-content/uploads/sites/6/2025/09/ANEXO-3.pdf" TargetMode="External" Id="rId17" /><Relationship Type="http://schemas.openxmlformats.org/officeDocument/2006/relationships/hyperlink" Target="https://febrac.org.br/wp-content/uploads/2026/01/GO001031.2025C-CCT-2026-2027-LIMPEZA-AMBIENTAL-ESTADO-DE-GOIAS-REGISTRADA.pdf" TargetMode="External" Id="rId18" /><Relationship Type="http://schemas.openxmlformats.org/officeDocument/2006/relationships/hyperlink" Target="https://goias.gov.br/seinfra/wp-content/uploads/sites/6/2025/09/ANEXO-3.pdf" TargetMode="External" Id="rId19" /><Relationship Type="http://schemas.openxmlformats.org/officeDocument/2006/relationships/hyperlink" Target="https://goias.gov.br/seinfra/wp-content/uploads/sites/6/2025/09/ANEXO-3.pdf" TargetMode="External" Id="rId20" /><Relationship Type="http://schemas.openxmlformats.org/officeDocument/2006/relationships/hyperlink" Target="https://sindmetalgo.com.br/wp-content/uploads/2024/04/Mediador_-_Extrato_Convencao_Coletiva_SIMELGO_ULTIMA_assinado_assinado.pdf" TargetMode="External" Id="rId21" /><Relationship Type="http://schemas.openxmlformats.org/officeDocument/2006/relationships/hyperlink" Target="https://www.setceg.org.br/wp-content/uploads/2026/05/CCT-CARGA-2026-2028.pdf" TargetMode="External" Id="rId22" /><Relationship Type="http://schemas.openxmlformats.org/officeDocument/2006/relationships/hyperlink" Target="https://www.setceg.org.br/wp-content/uploads/2026/05/CCT-CARGA-2026-2028.pdf" TargetMode="External" Id="rId23" /><Relationship Type="http://schemas.openxmlformats.org/officeDocument/2006/relationships/hyperlink" Target="https://www.setceg.org.br/wp-content/uploads/2026/05/CCT-CARGA-2026-2028.pdf" TargetMode="External" Id="rId24" /><Relationship Type="http://schemas.openxmlformats.org/officeDocument/2006/relationships/hyperlink" Target="https://www.setceg.org.br/wp-content/uploads/2026/05/CCT-CARGA-2026-2028.pdf" TargetMode="External" Id="rId25" /><Relationship Type="http://schemas.openxmlformats.org/officeDocument/2006/relationships/hyperlink" Target="https://sindipesa.org.br/wp-content/uploads/2025/09/CCT-SINDICARGAS-2025.2026-REGISTRADA.pdf" TargetMode="External" Id="rId26" /><Relationship Type="http://schemas.openxmlformats.org/officeDocument/2006/relationships/hyperlink" Target="https://sindipesa.org.br/wp-content/uploads/2025/09/CCT-SINDICARGAS-2025.2026-REGISTRADA.pdf" TargetMode="External" Id="rId27" /><Relationship Type="http://schemas.openxmlformats.org/officeDocument/2006/relationships/hyperlink" Target="https://www.caixa.gov.br/Downloads/sinapi-metodologia/Livro_SINAPI_Calculos_Parametros.pdf" TargetMode="External" Id="rId28" /><Relationship Type="http://schemas.openxmlformats.org/officeDocument/2006/relationships/hyperlink" Target="https://www.caixa.gov.br/Downloads/sinapi-metodologia/Livro_SINAPI_Calculos_Parametros.pdf" TargetMode="External" Id="rId29" /><Relationship Type="http://schemas.openxmlformats.org/officeDocument/2006/relationships/hyperlink" Target="https://www.caixa.gov.br/Downloads/sinapi-metodologia/Livro_SINAPI_Calculos_Parametros.pdf" TargetMode="External" Id="rId30" /><Relationship Type="http://schemas.openxmlformats.org/officeDocument/2006/relationships/hyperlink" Target="https://www.caixa.gov.br/Downloads/sinapi-metodologia/Livro_SINAPI_Calculos_Parametros.pdf" TargetMode="External" Id="rId31" /><Relationship Type="http://schemas.openxmlformats.org/officeDocument/2006/relationships/hyperlink" Target="https://www.caixa.gov.br/Downloads/sinapi-metodologia/Livro_SINAPI_Calculos_Parametros.pdf" TargetMode="External" Id="rId32" /><Relationship Type="http://schemas.openxmlformats.org/officeDocument/2006/relationships/hyperlink" Target="https://www.editais.uff.br/sites/default/files/arquivos/Base%20BDI%20-%20Ac%C3%B3rd%C3%A3o-2622-2013.pdf" TargetMode="External" Id="rId33" /><Relationship Type="http://schemas.openxmlformats.org/officeDocument/2006/relationships/hyperlink" Target="https://www.editais.uff.br/sites/default/files/arquivos/Base%20BDI%20-%20Ac%C3%B3rd%C3%A3o-2622-2013.pdf" TargetMode="External" Id="rId34" /><Relationship Type="http://schemas.openxmlformats.org/officeDocument/2006/relationships/hyperlink" Target="https://www.editais.uff.br/sites/default/files/arquivos/Base%20BDI%20-%20Ac%C3%B3rd%C3%A3o-2622-2013.pdf" TargetMode="External" Id="rId35" /><Relationship Type="http://schemas.openxmlformats.org/officeDocument/2006/relationships/hyperlink" Target="https://www.editais.uff.br/sites/default/files/arquivos/Base%20BDI%20-%20Ac%C3%B3rd%C3%A3o-2622-2013.pdf" TargetMode="External" Id="rId36" /><Relationship Type="http://schemas.openxmlformats.org/officeDocument/2006/relationships/hyperlink" Target="https://www.editais.uff.br/sites/default/files/arquivos/Base%20BDI%20-%20Ac%C3%B3rd%C3%A3o-2622-2013.pdf" TargetMode="External" Id="rId37" /><Relationship Type="http://schemas.openxmlformats.org/officeDocument/2006/relationships/hyperlink" Target="https://www.editais.uff.br/sites/default/files/arquivos/Base%20BDI%20-%20Ac%C3%B3rd%C3%A3o-2622-2013.pdf" TargetMode="External" Id="rId38" /><Relationship Type="http://schemas.openxmlformats.org/officeDocument/2006/relationships/hyperlink" Target="https://www.editais.uff.br/sites/default/files/arquivos/Base%20BDI%20-%20Ac%C3%B3rd%C3%A3o-2622-2013.pdf" TargetMode="External" Id="rId39" /><Relationship Type="http://schemas.openxmlformats.org/officeDocument/2006/relationships/hyperlink" Target="https://www.editais.uff.br/sites/default/files/arquivos/Base%20BDI%20-%20Ac%C3%B3rd%C3%A3o-2622-2013.pdf" TargetMode="External" Id="rId40" /><Relationship Type="http://schemas.openxmlformats.org/officeDocument/2006/relationships/hyperlink" Target="https://www.editais.uff.br/sites/default/files/arquivos/Base%20BDI%20-%20Ac%C3%B3rd%C3%A3o-2622-2013.pdf" TargetMode="External" Id="rId41" /><Relationship Type="http://schemas.openxmlformats.org/officeDocument/2006/relationships/hyperlink" Target="https://www.editais.uff.br/sites/default/files/arquivos/Base%20BDI%20-%20Ac%C3%B3rd%C3%A3o-2622-2013.pdf" TargetMode="External" Id="rId42" /><Relationship Type="http://schemas.openxmlformats.org/officeDocument/2006/relationships/hyperlink" Target="https://www.editais.uff.br/sites/default/files/arquivos/Base%20BDI%20-%20Ac%C3%B3rd%C3%A3o-2622-2013.pdf" TargetMode="External" Id="rId43" /><Relationship Type="http://schemas.openxmlformats.org/officeDocument/2006/relationships/hyperlink" Target="https://www.editais.uff.br/sites/default/files/arquivos/Base%20BDI%20-%20Ac%C3%B3rd%C3%A3o-2622-2013.pdf" TargetMode="External" Id="rId44" /><Relationship Type="http://schemas.openxmlformats.org/officeDocument/2006/relationships/hyperlink" Target="https://www.editais.uff.br/sites/default/files/arquivos/Base%20BDI%20-%20Ac%C3%B3rd%C3%A3o-2622-2013.pdf" TargetMode="External" Id="rId45" /><Relationship Type="http://schemas.openxmlformats.org/officeDocument/2006/relationships/hyperlink" Target="https://www.editais.uff.br/sites/default/files/arquivos/Base%20BDI%20-%20Ac%C3%B3rd%C3%A3o-2622-2013.pdf" TargetMode="External" Id="rId46" /><Relationship Type="http://schemas.openxmlformats.org/officeDocument/2006/relationships/hyperlink" Target="https://www.editais.uff.br/sites/default/files/arquivos/Base%20BDI%20-%20Ac%C3%B3rd%C3%A3o-2622-2013.pdf" TargetMode="External" Id="rId47" /><Relationship Type="http://schemas.openxmlformats.org/officeDocument/2006/relationships/hyperlink" Target="https://www.editais.uff.br/sites/default/files/arquivos/Base%20BDI%20-%20Ac%C3%B3rd%C3%A3o-2622-2013.pdf" TargetMode="External" Id="rId48" /><Relationship Type="http://schemas.openxmlformats.org/officeDocument/2006/relationships/hyperlink" Target="https://www.editais.uff.br/sites/default/files/arquivos/Base%20BDI%20-%20Ac%C3%B3rd%C3%A3o-2622-2013.pdf" TargetMode="External" Id="rId49" /><Relationship Type="http://schemas.openxmlformats.org/officeDocument/2006/relationships/hyperlink" Target="https://www.editais.uff.br/sites/default/files/arquivos/Base%20BDI%20-%20Ac%C3%B3rd%C3%A3o-2622-2013.pdf" TargetMode="External" Id="rId50" /><Relationship Type="http://schemas.openxmlformats.org/officeDocument/2006/relationships/hyperlink" Target="https://www.editais.uff.br/sites/default/files/arquivos/Base%20BDI%20-%20Ac%C3%B3rd%C3%A3o-2622-2013.pdf" TargetMode="External" Id="rId51" /><Relationship Type="http://schemas.openxmlformats.org/officeDocument/2006/relationships/hyperlink" Target="https://www.editais.uff.br/sites/default/files/arquivos/Base%20BDI%20-%20Ac%C3%B3rd%C3%A3o-2622-2013.pdf" TargetMode="External" Id="rId52" /><Relationship Type="http://schemas.openxmlformats.org/officeDocument/2006/relationships/hyperlink" Target="https://www.editais.uff.br/sites/default/files/arquivos/Base%20BDI%20-%20Ac%C3%B3rd%C3%A3o-2622-2013.pdf" TargetMode="External" Id="rId53" /><Relationship Type="http://schemas.openxmlformats.org/officeDocument/2006/relationships/hyperlink" Target="https://www.goiania.go.gov.br/download/financas/novoctm.pdf" TargetMode="External" Id="rId54" /><Relationship Type="http://schemas.openxmlformats.org/officeDocument/2006/relationships/hyperlink" Target="https://www.marciobalduchi.com.br/diversos-servicos-de-instalacao-e-manutencao-tributados-no-anexo-iii-do-simples-nacional/" TargetMode="External" Id="rId55" /><Relationship Type="http://schemas.openxmlformats.org/officeDocument/2006/relationships/hyperlink" Target="https://www.multifrioshop.com/fluidos-refrigerantes/gas-r410a-botija-11-35kg-r410-410a-refrigerante" TargetMode="External" Id="rId56" /><Relationship Type="http://schemas.openxmlformats.org/officeDocument/2006/relationships/hyperlink" Target="https://www.frigelar.com.br/gas-refrigerante-r410a-eos-cilindro-de-1134kg/p/kit5357" TargetMode="External" Id="rId57" /><Relationship Type="http://schemas.openxmlformats.org/officeDocument/2006/relationships/hyperlink" Target="https://www.rlrefrigeracao.com.br/produto/botija-gas-r410a-113kg.html" TargetMode="External" Id="rId58" /><Relationship Type="http://schemas.openxmlformats.org/officeDocument/2006/relationships/hyperlink" Target="ver 2 itens acima (Multifrio R$961,28 tabela / R$865,15 Pix; Frigelar ~R$890 Pix)" TargetMode="External" Id="rId59" /><Relationship Type="http://schemas.openxmlformats.org/officeDocument/2006/relationships/hyperlink" Target="https://www.multifrioshop.com/fluidos-refrigerantes/gas-r22-refrigerante-original-botija-13-6kg-generico" TargetMode="External" Id="rId60" /><Relationship Type="http://schemas.openxmlformats.org/officeDocument/2006/relationships/hyperlink" Target="https://www.refricenter.com.br/linha-da-gases/fluido-refrigerante-ou-gas-eos-r22-cilindro-13-62-kg" TargetMode="External" Id="rId61" /><Relationship Type="http://schemas.openxmlformats.org/officeDocument/2006/relationships/hyperlink" Target="https://www.rlrefrigeracao.com.br/produto/gas-r22-cilindro-botija-136kg.html" TargetMode="External" Id="rId62" /><Relationship Type="http://schemas.openxmlformats.org/officeDocument/2006/relationships/hyperlink" Target="ver 3 itens acima" TargetMode="External" Id="rId63" /><Relationship Type="http://schemas.openxmlformats.org/officeDocument/2006/relationships/hyperlink" Target="https://www.eletroarbc.com.br/produtos/tubo-de-cobre-1-4-para-ar-condicionado-preco-de-1-metro/" TargetMode="External" Id="rId64" /><Relationship Type="http://schemas.openxmlformats.org/officeDocument/2006/relationships/hyperlink" Target="-" TargetMode="External" Id="rId65" /><Relationship Type="http://schemas.openxmlformats.org/officeDocument/2006/relationships/hyperlink" Target="https://www.tudoar.com.br/quanto-custa-um-capacitor-de-ar-condicionado ; https://www.friopecas.com.br/pecas-e-servicos/pecas-ar-condicionado/capacitores" TargetMode="External" Id="rId66" /><Relationship Type="http://schemas.openxmlformats.org/officeDocument/2006/relationships/hyperlink" Target="https://www.casaeletropecas.com.br/pecas-geladeira/termostato" TargetMode="External" Id="rId67" /><Relationship Type="http://schemas.openxmlformats.org/officeDocument/2006/relationships/hyperlink" Target="https://www.eletrofrigor.com.br/produto/compressor-1-4-hp-r134a-220v-1f-reciproco-hermetico-embraco-emr80hlr-6975" TargetMode="External" Id="rId68" /><Relationship Type="http://schemas.openxmlformats.org/officeDocument/2006/relationships/hyperlink" Target="https://geofrio.com.br/produtos/gas-refrigerante-r134-ar-condicionado-automotivo-botija-13kg/" TargetMode="External" Id="rId69" /><Relationship Type="http://schemas.openxmlformats.org/officeDocument/2006/relationships/hyperlink" Target="https://www.dsfrio.com.br/gas-refrigerante-r134a-botija-cilindro-de-136kg" TargetMode="External" Id="rId70" /><Relationship Type="http://schemas.openxmlformats.org/officeDocument/2006/relationships/hyperlink" Target="https://www.eletrofrigor.com.br/produto/gas-fluido-refrigerante-r404a-botija-10-9kg-friven-1712" TargetMode="External" Id="rId71" /><Relationship Type="http://schemas.openxmlformats.org/officeDocument/2006/relationships/hyperlink" Target="https://www.lojamincarone.com.br/MLB-3206717017-botija-de-gas-fluido-refrigerante-r404a-genetron-10896kg-_JM" TargetMode="External" Id="rId72" /><Relationship Type="http://schemas.openxmlformats.org/officeDocument/2006/relationships/hyperlink" Target="https://www.refritron.com.br/material-de-instalacao-e-manutencao/produtos-de-limpeza-e-higienizacao" TargetMode="External" Id="rId73" /><Relationship Type="http://schemas.openxmlformats.org/officeDocument/2006/relationships/hyperlink" Target="-" TargetMode="External" Id="rId74" /><Relationship Type="http://schemas.openxmlformats.org/officeDocument/2006/relationships/hyperlink" Target="-" TargetMode="External" Id="rId75" /><Relationship Type="http://schemas.openxmlformats.org/officeDocument/2006/relationships/hyperlink" Target="-" TargetMode="External" Id="rId76" /><Relationship Type="http://schemas.openxmlformats.org/officeDocument/2006/relationships/hyperlink" Target="https://demape.com.br/produto/reator-vapor-de-sodio-70w-externo-galvanizado/" TargetMode="External" Id="rId77" /><Relationship Type="http://schemas.openxmlformats.org/officeDocument/2006/relationships/hyperlink" Target="https://demape.com.br/produto/reator-vapor-de-sodio-150w-externo-galvanizado-ence/" TargetMode="External" Id="rId78" /><Relationship Type="http://schemas.openxmlformats.org/officeDocument/2006/relationships/hyperlink" Target="https://www.vlpcomercial.com.br/iluminacao/reatores/eletromagnetico/para-lampada-sodio.html" TargetMode="External" Id="rId79" /><Relationship Type="http://schemas.openxmlformats.org/officeDocument/2006/relationships/hyperlink" Target="https://www.ourolux.com.br/produtos/iluminac-o/lampadas-de-descarga/vapor-de-sodio.html" TargetMode="External" Id="rId80" /><Relationship Type="http://schemas.openxmlformats.org/officeDocument/2006/relationships/hyperlink" Target="https://lista.mercadolivre.com.br/rele-fotocelula-para-iluminacao-publica" TargetMode="External" Id="rId81" /><Relationship Type="http://schemas.openxmlformats.org/officeDocument/2006/relationships/hyperlink" Target="https://www.sustentaled.com.br/ ; https://lista.mercadolivre.com.br/luminaria-publica-led-60w" TargetMode="External" Id="rId82" /><Relationship Type="http://schemas.openxmlformats.org/officeDocument/2006/relationships/hyperlink" Target="https://www.irmaossoares.com.br/braco-para-luminaria-publica-1m-2-polegadas-reto-eletrometa/p" TargetMode="External" Id="rId83" /><Relationship Type="http://schemas.openxmlformats.org/officeDocument/2006/relationships/hyperlink" Target="-" TargetMode="External" Id="rId84" /><Relationship Type="http://schemas.openxmlformats.org/officeDocument/2006/relationships/hyperlink" Target="https://www.disfer.com.br/disjuntores ; https://www.pjneblina.com.br/produto/disjuntor-mini-din-unipolar-25a-curva-c-3ka-230400v-sdd61c25-steck/5026776" TargetMode="External" Id="rId85" /><Relationship Type="http://schemas.openxmlformats.org/officeDocument/2006/relationships/hyperlink" Target="https://www.casadoeletricistasc.com.br/cabo-flexivel-750v-2-5mm2-antichama-preto-corfio-rolo-100m/p/kit611" TargetMode="External" Id="rId86" /><Relationship Type="http://schemas.openxmlformats.org/officeDocument/2006/relationships/hyperlink" Target="https://www.acsmateriaiseletricos.com.br/produtos/cabo-flexivel-25mm-750v-antichama-azul-100-metros/" TargetMode="External" Id="rId87" /><Relationship Type="http://schemas.openxmlformats.org/officeDocument/2006/relationships/hyperlink" Target="ver 2 itens acima" TargetMode="External" Id="rId88" /><Relationship Type="http://schemas.openxmlformats.org/officeDocument/2006/relationships/hyperlink" Target="-" TargetMode="External" Id="rId89" /><Relationship Type="http://schemas.openxmlformats.org/officeDocument/2006/relationships/hyperlink" Target="https://cetti.com.br/p/cabo-de-cobre-nu-35-mm2-com-7-fios-solidos-para-aterramento-eletrico-1-metro/" TargetMode="External" Id="rId90" /><Relationship Type="http://schemas.openxmlformats.org/officeDocument/2006/relationships/hyperlink" Target="https://www.lojacentraleletrica.com.br/produto/cabo-de-cobre-nu-50mm-para-aterramento" TargetMode="External" Id="rId91" /><Relationship Type="http://schemas.openxmlformats.org/officeDocument/2006/relationships/hyperlink" Target="https://www.wermar.com.br/materiais-eletricos/haste-copperweld-para-aterramento-com-conector-2-40m" TargetMode="External" Id="rId92" /><Relationship Type="http://schemas.openxmlformats.org/officeDocument/2006/relationships/hyperlink" Target="https://goias.gov.br/goinfra/wp-content/uploads/sites/77/tabela-de-composicao/118/arquivos/OBRAS%20CIVIS%20-%20TABELA%20334%20-%20FEVEREIRO-2026%20-%20SEM%20DESONERA%C3%87%C3%83O%20-%20Publicada%20em%2005-05-2026.%20Clique%20aqui%20para%20download%20em%20PDF%20Clique%20aqui%20para%20download%20em%20XLS.xls" TargetMode="External" Id="rId93" /><Relationship Type="http://schemas.openxmlformats.org/officeDocument/2006/relationships/hyperlink" Target="https://goias.gov.br/goinfra/wp-content/uploads/sites/77/tabela-de-composicao/118/arquivos/OBRAS%20CIVIS%20-%20TABELA%20334%20-%20FEVEREIRO-2026%20-%20SEM%20DESONERA%C3%87%C3%83O%20-%20Publicada%20em%2005-05-2026.%20Clique%20aqui%20para%20download%20em%20PDF%20Clique%20aqui%20para%20download%20em%20XLS.xls" TargetMode="External" Id="rId94" /><Relationship Type="http://schemas.openxmlformats.org/officeDocument/2006/relationships/hyperlink" Target="https://buscadorsicro.com.br/go/insumo/E9690" TargetMode="External" Id="rId95" /><Relationship Type="http://schemas.openxmlformats.org/officeDocument/2006/relationships/hyperlink" Target="https://buscadorsicro.com.br/go/insumo/E9686" TargetMode="External" Id="rId96" /><Relationship Type="http://schemas.openxmlformats.org/officeDocument/2006/relationships/hyperlink" Target="https://buscadorsicro.com.br/go/insumo/E9041" TargetMode="External" Id="rId97" /><Relationship Type="http://schemas.openxmlformats.org/officeDocument/2006/relationships/hyperlink" Target="https://www.munk.com.br/locacao-de-caminhao-munck/locacao-de-caminhao-munck-com-operador/valor-de-locacao-de-caminhao-munck-por-hora-osasco" TargetMode="External" Id="rId98" /><Relationship Type="http://schemas.openxmlformats.org/officeDocument/2006/relationships/hyperlink" Target="https://www.csmmuncksp.com.br/blog/categorias/artigos/quanto-custa-a-locacao-de-um-munck-entenda-os-fatores-que-influenciam-o-preco" TargetMode="External" Id="rId99" /><Relationship Type="http://schemas.openxmlformats.org/officeDocument/2006/relationships/hyperlink" Target="https://valorfinal.com.br/calculadora-custo-por-km" TargetMode="External" Id="rId100" /><Relationship Type="http://schemas.openxmlformats.org/officeDocument/2006/relationships/hyperlink" Target="https://www.gov.br/anp/pt-br/assuntos/precos-e-defesa-da-concorrencia/precos/arquivos-lpc/2026/revendas_lpc_2026-09-20_2026-09-26.xlsx" TargetMode="External" Id="rId101" /><Relationship Type="http://schemas.openxmlformats.org/officeDocument/2006/relationships/hyperlink" Target="https://www.gov.br/anp/pt-br/assuntos/precos-e-defesa-da-concorrencia/precos/arquivos-lpc/2026/revendas_lpc_2026-09-20_2026-09-26.xlsx" TargetMode="External" Id="rId102" /><Relationship Type="http://schemas.openxmlformats.org/officeDocument/2006/relationships/hyperlink" Target="https://www.gov.br/anp/pt-br/assuntos/precos-e-defesa-da-concorrencia/precos/arquivos-lpc/2026/revendas_lpc_2026-09-20_2026-09-26.xlsx" TargetMode="External" Id="rId103" /><Relationship Type="http://schemas.openxmlformats.org/officeDocument/2006/relationships/hyperlink" Target="https://www.gov.br/anp/pt-br/assuntos/precos-e-defesa-da-concorrencia/precos/arquivos-lpc/2026/revendas_lpc_2026-09-20_2026-09-26.xlsx" TargetMode="External" Id="rId104" /><Relationship Type="http://schemas.openxmlformats.org/officeDocument/2006/relationships/hyperlink" Target="https://www.gov.br/anp/pt-br/assuntos/precos-e-defesa-da-concorrencia/precos/arquivos-lpc/2026/revendas_lpc_2026-09-20_2026-09-26.xlsx" TargetMode="External" Id="rId105" /><Relationship Type="http://schemas.openxmlformats.org/officeDocument/2006/relationships/hyperlink" Target="https://www.combustiveis-anp.com.br/estado/go" TargetMode="External" Id="rId106" /><Relationship Type="http://schemas.openxmlformats.org/officeDocument/2006/relationships/hyperlink" Target="https://www.planalto.gov.br/ccivil_03/_ato2019-2022/2021/lei/l14133.htm" TargetMode="External" Id="rId107" /><Relationship Type="http://schemas.openxmlformats.org/officeDocument/2006/relationships/hyperlink" Target="https://effecti.com.br/seguro-garantia-licitacoes-publicas/" TargetMode="External" Id="rId108" /><Relationship Type="http://schemas.openxmlformats.org/officeDocument/2006/relationships/hyperlink" Target="https://www.planalto.gov.br/ccivil_03/_ato2019-2022/2021/lei/l14133.htm" TargetMode="External" Id="rId109" /><Relationship Type="http://schemas.openxmlformats.org/officeDocument/2006/relationships/hyperlink" Target="https://www.planalto.gov.br/ccivil_03/_ato2019-2022/2021/lei/l14133.htm" TargetMode="External" Id="rId110" /><Relationship Type="http://schemas.openxmlformats.org/officeDocument/2006/relationships/hyperlink" Target="https://conlicitacao.com.br/prazo-de-pagamento-na-licitacao/" TargetMode="External" Id="rId111" /></Relationships>
</file>

<file path=xl/worksheets/_rels/sheet5.xml.rels><Relationships xmlns="http://schemas.openxmlformats.org/package/2006/relationships"><Relationship Type="http://schemas.openxmlformats.org/officeDocument/2006/relationships/hyperlink" Target="-" TargetMode="External" Id="rId1" /><Relationship Type="http://schemas.openxmlformats.org/officeDocument/2006/relationships/hyperlink" Target="https://buscadorsicro.com.br/go/insumo/E9041" TargetMode="External" Id="rId2" /><Relationship Type="http://schemas.openxmlformats.org/officeDocument/2006/relationships/hyperlink" Target="https://buscadorsicro.com.br/go/insumo/E9686" TargetMode="External" Id="rId3" /><Relationship Type="http://schemas.openxmlformats.org/officeDocument/2006/relationships/hyperlink" Target="https://buscadorsicro.com.br/go/insumo/E9690" TargetMode="External" Id="rId4" /><Relationship Type="http://schemas.openxmlformats.org/officeDocument/2006/relationships/hyperlink" Target="https://cetti.com.br/p/cabo-de-cobre-nu-35-mm2-com-7-fios-solidos-para-aterramento-eletrico-1-metro/" TargetMode="External" Id="rId5" /><Relationship Type="http://schemas.openxmlformats.org/officeDocument/2006/relationships/hyperlink" Target="https://conlicitacao.com.br/prazo-de-pagamento-na-licitacao/" TargetMode="External" Id="rId6" /><Relationship Type="http://schemas.openxmlformats.org/officeDocument/2006/relationships/hyperlink" Target="https://demape.com.br/produto/reator-vapor-de-sodio-150w-externo-galvanizado-ence/" TargetMode="External" Id="rId7" /><Relationship Type="http://schemas.openxmlformats.org/officeDocument/2006/relationships/hyperlink" Target="https://demape.com.br/produto/reator-vapor-de-sodio-70w-externo-galvanizado/" TargetMode="External" Id="rId8" /><Relationship Type="http://schemas.openxmlformats.org/officeDocument/2006/relationships/hyperlink" Target="https://effecti.com.br/seguro-garantia-licitacoes-publicas/" TargetMode="External" Id="rId9" /><Relationship Type="http://schemas.openxmlformats.org/officeDocument/2006/relationships/hyperlink" Target="https://febrac.org.br/wp-content/uploads/2026/01/GO001031.2025C-CCT-2026-2027-LIMPEZA-AMBIENTAL-ESTADO-DE-GOIAS-REGISTRADA.pdf" TargetMode="External" Id="rId10" /><Relationship Type="http://schemas.openxmlformats.org/officeDocument/2006/relationships/hyperlink" Target="https://geofrio.com.br/produtos/gas-refrigerante-r134-ar-condicionado-automotivo-botija-13kg/" TargetMode="External" Id="rId11" /><Relationship Type="http://schemas.openxmlformats.org/officeDocument/2006/relationships/hyperlink" Target="https://goias.gov.br/goinfra/wp-content/uploads/sites/77/tabela-de-composicao/118/arquivos/OBRAS%20CIVIS%20-%20TABELA%20334%20-%20FEVEREIRO-2026%20-%20SEM%20DESONERA%C3%87%C3%83O%20-%20Publicada%20em%2005-05-2026.%20Clique%20aqui%20para%20download%20em%20PDF%20Clique%20aqui%20para%20download%20em%20XLS.xls" TargetMode="External" Id="rId12" /><Relationship Type="http://schemas.openxmlformats.org/officeDocument/2006/relationships/hyperlink" Target="https://goias.gov.br/seinfra/wp-content/uploads/sites/6/2025/09/ANEXO-3.pdf" TargetMode="External" Id="rId13" /><Relationship Type="http://schemas.openxmlformats.org/officeDocument/2006/relationships/hyperlink" Target="https://lista.mercadolivre.com.br/rele-fotocelula-para-iluminacao-publica" TargetMode="External" Id="rId14" /><Relationship Type="http://schemas.openxmlformats.org/officeDocument/2006/relationships/hyperlink" Target="https://sindipesa.org.br/wp-content/uploads/2025/09/CCT-SINDICARGAS-2025.2026-REGISTRADA.pdf" TargetMode="External" Id="rId15" /><Relationship Type="http://schemas.openxmlformats.org/officeDocument/2006/relationships/hyperlink" Target="https://sindmetalgo.com.br/wp-content/uploads/2024/04/Mediador_-_Extrato_Convencao_Coletiva_SIMELGO_ULTIMA_assinado_assinado.pdf" TargetMode="External" Id="rId16" /><Relationship Type="http://schemas.openxmlformats.org/officeDocument/2006/relationships/hyperlink" Target="https://valorfinal.com.br/calculadora-custo-por-km" TargetMode="External" Id="rId17" /><Relationship Type="http://schemas.openxmlformats.org/officeDocument/2006/relationships/hyperlink" Target="https://www.acsmateriaiseletricos.com.br/produtos/cabo-flexivel-25mm-750v-antichama-azul-100-metros/" TargetMode="External" Id="rId18" /><Relationship Type="http://schemas.openxmlformats.org/officeDocument/2006/relationships/hyperlink" Target="https://www.caixa.gov.br/Downloads/sinapi-metodologia/Livro_SINAPI_Calculos_Parametros.pdf" TargetMode="External" Id="rId19" /><Relationship Type="http://schemas.openxmlformats.org/officeDocument/2006/relationships/hyperlink" Target="https://www.casadoeletricistasc.com.br/cabo-flexivel-750v-2-5mm2-antichama-preto-corfio-rolo-100m/p/kit611" TargetMode="External" Id="rId20" /><Relationship Type="http://schemas.openxmlformats.org/officeDocument/2006/relationships/hyperlink" Target="https://www.casaeletropecas.com.br/pecas-geladeira/termostato" TargetMode="External" Id="rId21" /><Relationship Type="http://schemas.openxmlformats.org/officeDocument/2006/relationships/hyperlink" Target="https://www.combustiveis-anp.com.br/estado/go" TargetMode="External" Id="rId22" /><Relationship Type="http://schemas.openxmlformats.org/officeDocument/2006/relationships/hyperlink" Target="https://www.csmmuncksp.com.br/blog/categorias/artigos/quanto-custa-a-locacao-de-um-munck-entenda-os-fatores-que-influenciam-o-preco" TargetMode="External" Id="rId23" /><Relationship Type="http://schemas.openxmlformats.org/officeDocument/2006/relationships/hyperlink" Target="https://www.disfer.com.br/disjuntores ; https://www.pjneblina.com.br/produto/disjuntor-mini-din-unipolar-25a-curva-c-3ka-230400v-sdd61c25-steck/5026776" TargetMode="External" Id="rId24" /><Relationship Type="http://schemas.openxmlformats.org/officeDocument/2006/relationships/hyperlink" Target="https://www.dsfrio.com.br/gas-refrigerante-r134a-botija-cilindro-de-136kg" TargetMode="External" Id="rId25" /><Relationship Type="http://schemas.openxmlformats.org/officeDocument/2006/relationships/hyperlink" Target="https://www.editais.uff.br/sites/default/files/arquivos/Base%20BDI%20-%20Ac%C3%B3rd%C3%A3o-2622-2013.pdf" TargetMode="External" Id="rId26" /><Relationship Type="http://schemas.openxmlformats.org/officeDocument/2006/relationships/hyperlink" Target="https://www.eletroarbc.com.br/produtos/tubo-de-cobre-1-4-para-ar-condicionado-preco-de-1-metro/" TargetMode="External" Id="rId27" /><Relationship Type="http://schemas.openxmlformats.org/officeDocument/2006/relationships/hyperlink" Target="https://www.eletrofrigor.com.br/produto/compressor-1-4-hp-r134a-220v-1f-reciproco-hermetico-embraco-emr80hlr-6975" TargetMode="External" Id="rId28" /><Relationship Type="http://schemas.openxmlformats.org/officeDocument/2006/relationships/hyperlink" Target="https://www.eletrofrigor.com.br/produto/gas-fluido-refrigerante-r404a-botija-10-9kg-friven-1712" TargetMode="External" Id="rId29" /><Relationship Type="http://schemas.openxmlformats.org/officeDocument/2006/relationships/hyperlink" Target="https://www.frigelar.com.br/gas-refrigerante-r410a-eos-cilindro-de-1134kg/p/kit5357" TargetMode="External" Id="rId30" /><Relationship Type="http://schemas.openxmlformats.org/officeDocument/2006/relationships/hyperlink" Target="https://www.goiania.go.gov.br/download/financas/novoctm.pdf" TargetMode="External" Id="rId31" /><Relationship Type="http://schemas.openxmlformats.org/officeDocument/2006/relationships/hyperlink" Target="https://www.gov.br/anp/pt-br/assuntos/precos-e-defesa-da-concorrencia/precos/arquivos-lpc/2026/revendas_lpc_2026-09-20_2026-09-26.xlsx" TargetMode="External" Id="rId32" /><Relationship Type="http://schemas.openxmlformats.org/officeDocument/2006/relationships/hyperlink" Target="https://www.irmaossoares.com.br/braco-para-luminaria-publica-1m-2-polegadas-reto-eletrometa/p" TargetMode="External" Id="rId33" /><Relationship Type="http://schemas.openxmlformats.org/officeDocument/2006/relationships/hyperlink" Target="https://www.lojacentraleletrica.com.br/produto/cabo-de-cobre-nu-50mm-para-aterramento" TargetMode="External" Id="rId34" /><Relationship Type="http://schemas.openxmlformats.org/officeDocument/2006/relationships/hyperlink" Target="https://www.lojamincarone.com.br/MLB-3206717017-botija-de-gas-fluido-refrigerante-r404a-genetron-10896kg-_JM" TargetMode="External" Id="rId35" /><Relationship Type="http://schemas.openxmlformats.org/officeDocument/2006/relationships/hyperlink" Target="https://www.marciobalduchi.com.br/diversos-servicos-de-instalacao-e-manutencao-tributados-no-anexo-iii-do-simples-nacional/" TargetMode="External" Id="rId36" /><Relationship Type="http://schemas.openxmlformats.org/officeDocument/2006/relationships/hyperlink" Target="https://www.multifrioshop.com/fluidos-refrigerantes/gas-r22-refrigerante-original-botija-13-6kg-generico" TargetMode="External" Id="rId37" /><Relationship Type="http://schemas.openxmlformats.org/officeDocument/2006/relationships/hyperlink" Target="https://www.multifrioshop.com/fluidos-refrigerantes/gas-r410a-botija-11-35kg-r410-410a-refrigerante" TargetMode="External" Id="rId38" /><Relationship Type="http://schemas.openxmlformats.org/officeDocument/2006/relationships/hyperlink" Target="https://www.munk.com.br/locacao-de-caminhao-munck/locacao-de-caminhao-munck-com-operador/valor-de-locacao-de-caminhao-munck-por-hora-osasco" TargetMode="External" Id="rId39" /><Relationship Type="http://schemas.openxmlformats.org/officeDocument/2006/relationships/hyperlink" Target="https://www.ourolux.com.br/produtos/iluminac-o/lampadas-de-descarga/vapor-de-sodio.html" TargetMode="External" Id="rId40" /><Relationship Type="http://schemas.openxmlformats.org/officeDocument/2006/relationships/hyperlink" Target="https://www.planalto.gov.br/ccivil_03/_ato2019-2022/2021/lei/l14133.htm" TargetMode="External" Id="rId41" /><Relationship Type="http://schemas.openxmlformats.org/officeDocument/2006/relationships/hyperlink" Target="https://www.planalto.gov.br/ccivil_03/_ato2023-2026/2025/decreto/d12797.htm" TargetMode="External" Id="rId42" /><Relationship Type="http://schemas.openxmlformats.org/officeDocument/2006/relationships/hyperlink" Target="https://www.planalto.gov.br/ccivil_03/leis/l4950a.htm" TargetMode="External" Id="rId43" /><Relationship Type="http://schemas.openxmlformats.org/officeDocument/2006/relationships/hyperlink" Target="https://www.refricenter.com.br/linha-da-gases/fluido-refrigerante-ou-gas-eos-r22-cilindro-13-62-kg" TargetMode="External" Id="rId44" /><Relationship Type="http://schemas.openxmlformats.org/officeDocument/2006/relationships/hyperlink" Target="https://www.refritron.com.br/material-de-instalacao-e-manutencao/produtos-de-limpeza-e-higienizacao" TargetMode="External" Id="rId45" /><Relationship Type="http://schemas.openxmlformats.org/officeDocument/2006/relationships/hyperlink" Target="https://www.rlrefrigeracao.com.br/produto/botija-gas-r410a-113kg.html" TargetMode="External" Id="rId46" /><Relationship Type="http://schemas.openxmlformats.org/officeDocument/2006/relationships/hyperlink" Target="https://www.rlrefrigeracao.com.br/produto/gas-r22-cilindro-botija-136kg.html" TargetMode="External" Id="rId47" /><Relationship Type="http://schemas.openxmlformats.org/officeDocument/2006/relationships/hyperlink" Target="https://www.setceg.org.br/wp-content/uploads/2026/05/CCT-CARGA-2026-2028.pdf" TargetMode="External" Id="rId48" /><Relationship Type="http://schemas.openxmlformats.org/officeDocument/2006/relationships/hyperlink" Target="https://www.sintracomgoiania.com.br/images/convencoes_arquivos/construcao-civil/CCT_2025_2027_Divulgacao_Conjunta_Sinduscon_e_Sintracom_Goias_assinado.pdf" TargetMode="External" Id="rId49" /><Relationship Type="http://schemas.openxmlformats.org/officeDocument/2006/relationships/hyperlink" Target="https://www.sustentaled.com.br/ ; https://lista.mercadolivre.com.br/luminaria-publica-led-60w" TargetMode="External" Id="rId50" /><Relationship Type="http://schemas.openxmlformats.org/officeDocument/2006/relationships/hyperlink" Target="https://www.tudoar.com.br/quanto-custa-um-capacitor-de-ar-condicionado ; https://www.friopecas.com.br/pecas-e-servicos/pecas-ar-condicionado/capacitores" TargetMode="External" Id="rId51" /><Relationship Type="http://schemas.openxmlformats.org/officeDocument/2006/relationships/hyperlink" Target="https://www.vlpcomercial.com.br/iluminacao/reatores/eletromagnetico/para-lampada-sodio.html" TargetMode="External" Id="rId52" /><Relationship Type="http://schemas.openxmlformats.org/officeDocument/2006/relationships/hyperlink" Target="https://www.wermar.com.br/materiais-eletricos/haste-copperweld-para-aterramento-com-conector-2-40m" TargetMode="External" Id="rId53" /><Relationship Type="http://schemas.openxmlformats.org/officeDocument/2006/relationships/hyperlink" Target="ver 2 itens acima" TargetMode="External" Id="rId54" /><Relationship Type="http://schemas.openxmlformats.org/officeDocument/2006/relationships/hyperlink" Target="ver 2 itens acima (Multifrio R$961,28 tabela / R$865,15 Pix; Frigelar ~R$890 Pix)" TargetMode="External" Id="rId55" /><Relationship Type="http://schemas.openxmlformats.org/officeDocument/2006/relationships/hyperlink" Target="ver 3 itens acima" TargetMode="External" Id="rId56" /></Relationships>
</file>

<file path=xl/worksheets/sheet1.xml><?xml version="1.0" encoding="utf-8"?>
<worksheet xmlns="http://schemas.openxmlformats.org/spreadsheetml/2006/main">
  <sheetPr>
    <outlinePr summaryBelow="1" summaryRight="1"/>
    <pageSetUpPr/>
  </sheetPr>
  <dimension ref="A1:AU536"/>
  <sheetViews>
    <sheetView workbookViewId="0">
      <pane ySplit="1" topLeftCell="A2" activePane="bottomLeft" state="frozen"/>
      <selection pane="bottomLeft" activeCell="A1" sqref="A1"/>
    </sheetView>
  </sheetViews>
  <sheetFormatPr baseColWidth="8" defaultRowHeight="15"/>
  <cols>
    <col width="45" customWidth="1" min="2" max="2"/>
    <col width="60" customWidth="1" min="11" max="11"/>
    <col width="40" customWidth="1" min="45" max="45"/>
  </cols>
  <sheetData>
    <row r="1">
      <c r="A1" s="1" t="inlineStr">
        <is>
          <t>id</t>
        </is>
      </c>
      <c r="B1" s="1" t="inlineStr">
        <is>
          <t>link_pncp</t>
        </is>
      </c>
      <c r="C1" s="1" t="inlineStr">
        <is>
          <t>data_acesso</t>
        </is>
      </c>
      <c r="D1" s="1" t="inlineStr">
        <is>
          <t>uf</t>
        </is>
      </c>
      <c r="E1" s="1" t="inlineStr">
        <is>
          <t>grupo_uf</t>
        </is>
      </c>
      <c r="F1" s="1" t="inlineStr">
        <is>
          <t>municipio</t>
        </is>
      </c>
      <c r="G1" s="1" t="inlineStr">
        <is>
          <t>orgao</t>
        </is>
      </c>
      <c r="H1" s="1" t="inlineStr">
        <is>
          <t>esfera</t>
        </is>
      </c>
      <c r="I1" s="1" t="inlineStr">
        <is>
          <t>data_publicacao</t>
        </is>
      </c>
      <c r="J1" s="1" t="inlineStr">
        <is>
          <t>modalidade</t>
        </is>
      </c>
      <c r="K1" s="1" t="inlineStr">
        <is>
          <t>objeto</t>
        </is>
      </c>
      <c r="L1" s="1" t="inlineStr">
        <is>
          <t>srp</t>
        </is>
      </c>
      <c r="M1" s="1" t="inlineStr">
        <is>
          <t>areas</t>
        </is>
      </c>
      <c r="N1" s="1" t="inlineStr">
        <is>
          <t>area_principal</t>
        </is>
      </c>
      <c r="O1" s="1" t="inlineStr">
        <is>
          <t>valor_estimado_total</t>
        </is>
      </c>
      <c r="P1" s="1" t="inlineStr">
        <is>
          <t>valor_homologado_total</t>
        </is>
      </c>
      <c r="Q1" s="1" t="inlineStr">
        <is>
          <t>estimado_itens_com_resultado</t>
        </is>
      </c>
      <c r="R1" s="1" t="inlineStr">
        <is>
          <t>desconto</t>
        </is>
      </c>
      <c r="S1" s="1" t="inlineStr">
        <is>
          <t>desconto_suspeito</t>
        </is>
      </c>
      <c r="T1" s="1" t="inlineStr">
        <is>
          <t>n_itens</t>
        </is>
      </c>
      <c r="U1" s="1" t="inlineStr">
        <is>
          <t>n_com_resultado</t>
        </is>
      </c>
      <c r="V1" s="1" t="inlineStr">
        <is>
          <t>n_homologados</t>
        </is>
      </c>
      <c r="W1" s="1" t="inlineStr">
        <is>
          <t>n_desertos</t>
        </is>
      </c>
      <c r="X1" s="1" t="inlineStr">
        <is>
          <t>n_fracassados</t>
        </is>
      </c>
      <c r="Y1" s="1" t="inlineStr">
        <is>
          <t>n_anulados_cancelados</t>
        </is>
      </c>
      <c r="Z1" s="1" t="inlineStr">
        <is>
          <t>houve_deserta_ou_fracassada</t>
        </is>
      </c>
      <c r="AA1" s="1" t="inlineStr">
        <is>
          <t>exclusiva_total_meepp</t>
        </is>
      </c>
      <c r="AB1" s="1" t="inlineStr">
        <is>
          <t>exclusiva_parcial_meepp</t>
        </is>
      </c>
      <c r="AC1" s="1" t="inlineStr">
        <is>
          <t>cota_meepp</t>
        </is>
      </c>
      <c r="AD1" s="1" t="inlineStr">
        <is>
          <t>aplicou_beneficio_meepp</t>
        </is>
      </c>
      <c r="AE1" s="1" t="inlineStr">
        <is>
          <t>n_fornecedores_vencedores</t>
        </is>
      </c>
      <c r="AF1" s="1" t="inlineStr">
        <is>
          <t>vencedores_resumo</t>
        </is>
      </c>
      <c r="AG1" s="1" t="inlineStr">
        <is>
          <t>n_participantes</t>
        </is>
      </c>
      <c r="AH1" s="1" t="inlineStr">
        <is>
          <t>tipo_contrato</t>
        </is>
      </c>
      <c r="AI1" s="1" t="inlineStr">
        <is>
          <t>vigencia_meses</t>
        </is>
      </c>
      <c r="AJ1" s="1" t="inlineStr">
        <is>
          <t>cesto_aereo</t>
        </is>
      </c>
      <c r="AK1" s="1" t="inlineStr">
        <is>
          <t>munck_guindauto</t>
        </is>
      </c>
      <c r="AL1" s="1" t="inlineStr">
        <is>
          <t>aceita_munck_com_cesto</t>
        </is>
      </c>
      <c r="AM1" s="1" t="inlineStr">
        <is>
          <t>pmoc_responsavel_tecnico</t>
        </is>
      </c>
      <c r="AN1" s="1" t="inlineStr">
        <is>
          <t>crea_cft</t>
        </is>
      </c>
      <c r="AO1" s="1" t="inlineStr">
        <is>
          <t>frota_minima_trecho</t>
        </is>
      </c>
      <c r="AP1" s="1" t="inlineStr">
        <is>
          <t>atestados_trecho</t>
        </is>
      </c>
      <c r="AQ1" s="1" t="inlineStr">
        <is>
          <t>frac_material</t>
        </is>
      </c>
      <c r="AR1" s="1" t="inlineStr">
        <is>
          <t>exclusao_motivo</t>
        </is>
      </c>
      <c r="AS1" s="1" t="inlineStr">
        <is>
          <t>exclusao_evidencia</t>
        </is>
      </c>
      <c r="AT1" s="1" t="inlineStr">
        <is>
          <t>revisao_manual</t>
        </is>
      </c>
      <c r="AU1" s="1" t="inlineStr">
        <is>
          <t>incluido</t>
        </is>
      </c>
    </row>
    <row r="2">
      <c r="A2" t="inlineStr">
        <is>
          <t>00001727000193_2025_22</t>
        </is>
      </c>
      <c r="B2" s="2" t="inlineStr">
        <is>
          <t>https://pncp.gov.br/app/editais/00001727000193/2025/22</t>
        </is>
      </c>
      <c r="C2" t="inlineStr">
        <is>
          <t>2026-09-27T03:01:22.148674+00:00</t>
        </is>
      </c>
      <c r="D2" t="inlineStr">
        <is>
          <t>GO</t>
        </is>
      </c>
      <c r="E2" t="inlineStr">
        <is>
          <t>GO</t>
        </is>
      </c>
      <c r="F2" t="inlineStr">
        <is>
          <t>Goiânia</t>
        </is>
      </c>
      <c r="G2" t="inlineStr">
        <is>
          <t>GOIANIA CAMARA MUNICIPAL DE GOIANIA</t>
        </is>
      </c>
      <c r="H2" t="inlineStr">
        <is>
          <t>Municipal</t>
        </is>
      </c>
      <c r="I2" t="inlineStr">
        <is>
          <t>2025-06-12T07:38:23</t>
        </is>
      </c>
      <c r="J2" t="inlineStr">
        <is>
          <t>Pregão - Eletrônico</t>
        </is>
      </c>
      <c r="K2" t="inlineStr">
        <is>
          <t>Contratação de serviços de manutenção preventiva e corretiva em aparelhos de ar-condicionado, bebedouros, refrigeradores e cortinas de ar, de forma continua e ininterrupta, incluindo o fornecimento de mão de obra exclusiva e materiais, bem como a utilização de equipamentos adequados e necessários para a execução dos serviços nas dependências da Câmara Municipal de Goiânia (CMG), conforme condições e exigências estabelecidas neste Edital e seus anexos.</t>
        </is>
      </c>
      <c r="L2" t="b">
        <v>0</v>
      </c>
      <c r="M2" t="inlineStr">
        <is>
          <t>refrigeracao</t>
        </is>
      </c>
      <c r="N2" t="inlineStr">
        <is>
          <t>refrigeracao</t>
        </is>
      </c>
      <c r="O2" t="n">
        <v>758998.08</v>
      </c>
      <c r="P2" t="n">
        <v>685000</v>
      </c>
      <c r="Q2" t="n">
        <v>758998.08</v>
      </c>
      <c r="R2" t="n">
        <v>0.09749442317429834</v>
      </c>
      <c r="S2" t="n">
        <v>0</v>
      </c>
      <c r="T2" t="n">
        <v>1</v>
      </c>
      <c r="U2" t="n">
        <v>1</v>
      </c>
      <c r="V2" t="n">
        <v>1</v>
      </c>
      <c r="W2" t="n">
        <v>0</v>
      </c>
      <c r="X2" t="n">
        <v>0</v>
      </c>
      <c r="Y2" t="n">
        <v>0</v>
      </c>
      <c r="Z2" t="n">
        <v>0</v>
      </c>
      <c r="AA2" t="n">
        <v>0</v>
      </c>
      <c r="AB2" t="n">
        <v>0</v>
      </c>
      <c r="AC2" t="n">
        <v>0</v>
      </c>
      <c r="AD2" t="n">
        <v>0</v>
      </c>
      <c r="AE2" t="n">
        <v>1</v>
      </c>
      <c r="AF2" t="inlineStr">
        <is>
          <t>GOTHERM ENGENHARIA TERMICA LTDA:ME</t>
        </is>
      </c>
      <c r="AH2" t="inlineStr">
        <is>
          <t>pontual</t>
        </is>
      </c>
      <c r="AJ2" t="n">
        <v>0</v>
      </c>
      <c r="AK2" t="n">
        <v>0</v>
      </c>
      <c r="AL2" t="n">
        <v>0</v>
      </c>
      <c r="AM2" t="n">
        <v>0</v>
      </c>
      <c r="AN2" t="n">
        <v>0</v>
      </c>
      <c r="AQ2" t="n">
        <v>0</v>
      </c>
      <c r="AS2" t="inlineStr">
        <is>
          <t>Objeto mistura ar-condicionado, bebedouros, refrigeradores e cortinas de ar com mao de obra exclusiva; item unico do PNCP e 'Manutencao de Sistemas de Refrigeracao'. Mantido incluido como caso misto (refrigeracao comercial + climatizacao predial), sem discriminacao de valor por equipamento no PNCP.</t>
        </is>
      </c>
      <c r="AT2" t="n">
        <v>0</v>
      </c>
      <c r="AU2" t="n">
        <v>1</v>
      </c>
    </row>
    <row r="3">
      <c r="A3" t="inlineStr">
        <is>
          <t>00001727000193_2025_36</t>
        </is>
      </c>
      <c r="B3" s="2" t="inlineStr">
        <is>
          <t>https://pncp.gov.br/app/editais/00001727000193/2025/36</t>
        </is>
      </c>
      <c r="C3" t="inlineStr">
        <is>
          <t>2026-09-27T03:19:44.893061+00:00</t>
        </is>
      </c>
      <c r="D3" t="inlineStr">
        <is>
          <t>GO</t>
        </is>
      </c>
      <c r="E3" t="inlineStr">
        <is>
          <t>GO</t>
        </is>
      </c>
      <c r="F3" t="inlineStr">
        <is>
          <t>Goiânia</t>
        </is>
      </c>
      <c r="G3" t="inlineStr">
        <is>
          <t>GOIANIA CAMARA MUNICIPAL DE GOIANIA</t>
        </is>
      </c>
      <c r="H3" t="inlineStr">
        <is>
          <t>Municipal</t>
        </is>
      </c>
      <c r="I3" t="inlineStr">
        <is>
          <t>2025-10-16T07:03:21</t>
        </is>
      </c>
      <c r="J3" t="inlineStr">
        <is>
          <t>Pregão - Eletrônico</t>
        </is>
      </c>
      <c r="K3" t="inlineStr">
        <is>
          <t>Contratação de serviços especializados de manutenção corretiva e preventiva predial, com fornecimento de mão de obra sem dedicação exclusiva, sob demanda, incluindo todo o material de consumo, equipamentos e insumos necessários à execução dos serviços em todo o prédio da Câmara Municipal de Goiânia (CMG), conforme condições, quantidades e exigências estabelecidas neste Edital e seus Anexos.</t>
        </is>
      </c>
      <c r="L3" t="b">
        <v>0</v>
      </c>
      <c r="M3" t="inlineStr">
        <is>
          <t>manutencao_predial</t>
        </is>
      </c>
      <c r="N3" t="inlineStr">
        <is>
          <t>manutencao_predial</t>
        </is>
      </c>
      <c r="O3" t="n">
        <v>3282438.53</v>
      </c>
      <c r="P3" t="n">
        <v>6962052.122400001</v>
      </c>
      <c r="Q3" t="n">
        <v>3282438.53</v>
      </c>
      <c r="R3" t="n">
        <v>0.2929999999725813</v>
      </c>
      <c r="S3" t="n">
        <v>0</v>
      </c>
      <c r="T3" t="n">
        <v>1</v>
      </c>
      <c r="U3" t="n">
        <v>1</v>
      </c>
      <c r="V3" t="n">
        <v>1</v>
      </c>
      <c r="W3" t="n">
        <v>0</v>
      </c>
      <c r="X3" t="n">
        <v>0</v>
      </c>
      <c r="Y3" t="n">
        <v>0</v>
      </c>
      <c r="Z3" t="n">
        <v>0</v>
      </c>
      <c r="AA3" t="n">
        <v>0</v>
      </c>
      <c r="AB3" t="n">
        <v>0</v>
      </c>
      <c r="AC3" t="n">
        <v>0</v>
      </c>
      <c r="AD3" t="n">
        <v>0</v>
      </c>
      <c r="AE3" t="n">
        <v>1</v>
      </c>
      <c r="AF3" t="inlineStr">
        <is>
          <t>MAFFENG ENGENHARIA E MANUTENCAO LTDA:Demais</t>
        </is>
      </c>
      <c r="AH3" t="inlineStr">
        <is>
          <t>pontual</t>
        </is>
      </c>
      <c r="AJ3" t="n">
        <v>0</v>
      </c>
      <c r="AK3" t="n">
        <v>0</v>
      </c>
      <c r="AL3" t="n">
        <v>0</v>
      </c>
      <c r="AM3" t="n">
        <v>0</v>
      </c>
      <c r="AN3" t="n">
        <v>0</v>
      </c>
      <c r="AQ3" t="n">
        <v>0</v>
      </c>
      <c r="AT3" t="n">
        <v>0</v>
      </c>
      <c r="AU3" t="n">
        <v>1</v>
      </c>
    </row>
    <row r="4">
      <c r="A4" t="inlineStr">
        <is>
          <t>00006874000156_2026_115</t>
        </is>
      </c>
      <c r="B4" s="2" t="inlineStr">
        <is>
          <t>https://pncp.gov.br/app/editais/00006874000156/2026/115</t>
        </is>
      </c>
      <c r="C4" t="inlineStr">
        <is>
          <t>2026-09-27T03:12:44.173028+00:00</t>
        </is>
      </c>
      <c r="D4" t="inlineStr">
        <is>
          <t>GO</t>
        </is>
      </c>
      <c r="E4" t="inlineStr">
        <is>
          <t>GO</t>
        </is>
      </c>
      <c r="F4" t="inlineStr">
        <is>
          <t>Novo Brasil</t>
        </is>
      </c>
      <c r="G4" t="inlineStr">
        <is>
          <t>MUNICIPIO DE NOVO BRASIL</t>
        </is>
      </c>
      <c r="H4" t="inlineStr">
        <is>
          <t>Municipal</t>
        </is>
      </c>
      <c r="I4" t="inlineStr">
        <is>
          <t>2026-05-26T10:52:48</t>
        </is>
      </c>
      <c r="J4" t="inlineStr">
        <is>
          <t>Pregão - Eletrônico</t>
        </is>
      </c>
      <c r="K4" t="inlineStr">
        <is>
          <t>REGISTRO DE PREÇOS PARA FUTURA E EVENTUAL AQUISIÇÃO DE MATERIAIS ELÉTRICOS DIVERSOS, DESTINADOS À MANUTENÇÃO PREVENTIVA E CORRETIVA DA REDE ELÉTRICA PREDIAL, ILUMINAÇÃO PÚBLICA, INSTALAÇÕES ELÉTRICAS E DEMAIS DEMANDAS DAS SECRETARIAS E ÓRGÃOS VINCULADOS AO MUNICÍPIO, VISANDO GARANTIR O PLENO FUNCIONAMENTO, SEGURANÇA E CONTINUIDADE DOS SERVIÇOS PÚBLICOS MUNICIPAIS, CONFORME O EDITAL E SEUS ANEXOS</t>
        </is>
      </c>
      <c r="L4" t="b">
        <v>1</v>
      </c>
      <c r="M4" t="inlineStr">
        <is>
          <t>iluminacao_publica</t>
        </is>
      </c>
      <c r="N4" t="inlineStr">
        <is>
          <t>iluminacao_publica</t>
        </is>
      </c>
      <c r="O4" t="n">
        <v>387912.9</v>
      </c>
      <c r="P4" t="n">
        <v>128579.9</v>
      </c>
      <c r="Q4" t="n">
        <v>352622.9</v>
      </c>
      <c r="R4" t="n">
        <v>0.6353614583738038</v>
      </c>
      <c r="S4" t="n">
        <v>0</v>
      </c>
      <c r="T4" t="n">
        <v>51</v>
      </c>
      <c r="U4" t="n">
        <v>40</v>
      </c>
      <c r="V4" t="n">
        <v>51</v>
      </c>
      <c r="W4" t="n">
        <v>0</v>
      </c>
      <c r="X4" t="n">
        <v>0</v>
      </c>
      <c r="Y4" t="n">
        <v>0</v>
      </c>
      <c r="Z4" t="n">
        <v>0</v>
      </c>
      <c r="AA4" t="n">
        <v>1</v>
      </c>
      <c r="AB4" t="n">
        <v>0</v>
      </c>
      <c r="AC4" t="n">
        <v>0</v>
      </c>
      <c r="AD4" t="n">
        <v>1</v>
      </c>
      <c r="AE4" t="n">
        <v>2</v>
      </c>
      <c r="AF4" t="inlineStr">
        <is>
          <t>FORT COMERCIO, SERVICOS E LOCACOES LTDA:ME; DGA COMERCIO DE MATERIAIS ELETRICOS LTDA:ME</t>
        </is>
      </c>
      <c r="AH4" t="inlineStr">
        <is>
          <t>pontual</t>
        </is>
      </c>
      <c r="AI4" t="n">
        <v>12</v>
      </c>
      <c r="AJ4" t="n">
        <v>0</v>
      </c>
      <c r="AK4" t="n">
        <v>0</v>
      </c>
      <c r="AL4" t="n">
        <v>0</v>
      </c>
      <c r="AM4" t="n">
        <v>1</v>
      </c>
      <c r="AN4" t="n">
        <v>0</v>
      </c>
      <c r="AP4" t="inlineStr">
        <is>
          <t>de sua capacidade de fornecimento, as quantidades do insumo/material, deste edital. 7.5.3- Os atestados de capacidade técnica poderão ser apresentados em nome da matriz ou da filial do fornecedores. 7.5.4- O fornecedor disponibilizará caso necessário, todas as informações necessárias à comprovação d…</t>
        </is>
      </c>
      <c r="AQ4" t="n">
        <v>1</v>
      </c>
      <c r="AR4" t="inlineStr">
        <is>
          <t>fornecimento_puro</t>
        </is>
      </c>
      <c r="AS4" t="inlineStr">
        <is>
          <t>Registro de preços/contratação de fornecimento de materiais, sem mão de obra de manutenção contratada.</t>
        </is>
      </c>
      <c r="AT4" t="n">
        <v>1</v>
      </c>
      <c r="AU4" t="n">
        <v>0</v>
      </c>
    </row>
    <row r="5">
      <c r="A5" t="inlineStr">
        <is>
          <t>00006874000156_2026_133</t>
        </is>
      </c>
      <c r="B5" s="2" t="inlineStr">
        <is>
          <t>https://pncp.gov.br/app/editais/00006874000156/2026/133</t>
        </is>
      </c>
      <c r="C5" t="inlineStr">
        <is>
          <t>2026-09-27T03:11:40.573487+00:00</t>
        </is>
      </c>
      <c r="D5" t="inlineStr">
        <is>
          <t>GO</t>
        </is>
      </c>
      <c r="E5" t="inlineStr">
        <is>
          <t>GO</t>
        </is>
      </c>
      <c r="F5" t="inlineStr">
        <is>
          <t>Novo Brasil</t>
        </is>
      </c>
      <c r="G5" t="inlineStr">
        <is>
          <t>MUNICIPIO DE NOVO BRASIL</t>
        </is>
      </c>
      <c r="H5" t="inlineStr">
        <is>
          <t>Municipal</t>
        </is>
      </c>
      <c r="I5" t="inlineStr">
        <is>
          <t>2026-06-22T08:22:25</t>
        </is>
      </c>
      <c r="J5" t="inlineStr">
        <is>
          <t>Pregão - Eletrônico</t>
        </is>
      </c>
      <c r="K5" t="inlineStr">
        <is>
          <t>[Portal de Compras Públicas] - REGISTRO DE PREÇOS PARA FUTURA E EVENTUAL AQUISIÇÃO DE MATERIAIS ELÉTRICOS DIVERSOS, DESTINADOS À MANUTENÇÃO PREVENTIVA E CORRETIVA DA REDE ELÉTRICA PREDIAL, ILUMINAÇÃO PÚBLICA, INSTALAÇÕES ELÉTRICAS E DEMAIS DEMANDAS DAS SECRETARIAS E ÓRGÃOS VINCULADOS AO MUNICÍPIO, VISANDO GARANTIR O PLENO FUNCIONAMENTO, SEGURANÇA E CONTINUIDADE DOS SERVIÇOS PÚBLICOS MUNICIPAIS, CONFORME O EDITAL E SEUS ANEXOS</t>
        </is>
      </c>
      <c r="L5" t="b">
        <v>1</v>
      </c>
      <c r="M5" t="inlineStr">
        <is>
          <t>iluminacao_publica</t>
        </is>
      </c>
      <c r="N5" t="inlineStr">
        <is>
          <t>iluminacao_publica</t>
        </is>
      </c>
      <c r="O5" t="n">
        <v>387912.9</v>
      </c>
      <c r="P5" t="n">
        <v>128579.9</v>
      </c>
      <c r="Q5" t="n">
        <v>352622.9</v>
      </c>
      <c r="R5" t="n">
        <v>0.6353614583738038</v>
      </c>
      <c r="S5" t="n">
        <v>0</v>
      </c>
      <c r="T5" t="n">
        <v>51</v>
      </c>
      <c r="U5" t="n">
        <v>40</v>
      </c>
      <c r="V5" t="n">
        <v>51</v>
      </c>
      <c r="W5" t="n">
        <v>0</v>
      </c>
      <c r="X5" t="n">
        <v>0</v>
      </c>
      <c r="Y5" t="n">
        <v>0</v>
      </c>
      <c r="Z5" t="n">
        <v>0</v>
      </c>
      <c r="AA5" t="n">
        <v>1</v>
      </c>
      <c r="AB5" t="n">
        <v>0</v>
      </c>
      <c r="AC5" t="n">
        <v>0</v>
      </c>
      <c r="AD5" t="n">
        <v>0</v>
      </c>
      <c r="AE5" t="n">
        <v>2</v>
      </c>
      <c r="AF5" t="inlineStr">
        <is>
          <t>FORT COMERCIO, SERVICOS E LOCACOES EIRELI:EPP; DGA COMERCIO DE MATERIAIS ELETRICOS LTDA:Demais</t>
        </is>
      </c>
      <c r="AH5" t="inlineStr">
        <is>
          <t>pontual</t>
        </is>
      </c>
      <c r="AI5" t="n">
        <v>12</v>
      </c>
      <c r="AJ5" t="n">
        <v>0</v>
      </c>
      <c r="AK5" t="n">
        <v>0</v>
      </c>
      <c r="AL5" t="n">
        <v>0</v>
      </c>
      <c r="AM5" t="n">
        <v>1</v>
      </c>
      <c r="AN5" t="n">
        <v>0</v>
      </c>
      <c r="AP5" t="inlineStr">
        <is>
          <t>de sua capacidade de fornecimento, as quantidades do insumo/material, deste edital. 7.5.3- Os atestados de capacidade técnica poderão ser apresentados em nome da matriz ou da filial do fornecedores. 7.5.4- O fornecedor disponibilizará caso necessário, todas as informações necessárias à comprovação d…</t>
        </is>
      </c>
      <c r="AQ5" t="n">
        <v>1</v>
      </c>
      <c r="AR5" t="inlineStr">
        <is>
          <t>fornecimento_puro</t>
        </is>
      </c>
      <c r="AS5" t="inlineStr">
        <is>
          <t>Registro de preços/contratação de fornecimento de materiais, sem mão de obra de manutenção contratada.</t>
        </is>
      </c>
      <c r="AT5" t="n">
        <v>1</v>
      </c>
      <c r="AU5" t="n">
        <v>0</v>
      </c>
    </row>
    <row r="6">
      <c r="A6" t="inlineStr">
        <is>
          <t>00044834000107_2025_2</t>
        </is>
      </c>
      <c r="B6" s="2" t="inlineStr">
        <is>
          <t>https://pncp.gov.br/app/editais/00044834000107/2025/2</t>
        </is>
      </c>
      <c r="C6" t="inlineStr">
        <is>
          <t>2026-09-27T03:07:27.393338+00:00</t>
        </is>
      </c>
      <c r="D6" t="inlineStr">
        <is>
          <t>GO</t>
        </is>
      </c>
      <c r="E6" t="inlineStr">
        <is>
          <t>GO</t>
        </is>
      </c>
      <c r="F6" t="inlineStr">
        <is>
          <t>Vicentinópolis</t>
        </is>
      </c>
      <c r="G6" t="inlineStr">
        <is>
          <t>MUNICIPIO DE VICENTINOPOLIS</t>
        </is>
      </c>
      <c r="H6" t="inlineStr">
        <is>
          <t>Municipal</t>
        </is>
      </c>
      <c r="I6" t="inlineStr">
        <is>
          <t>2025-01-27T16:20:29</t>
        </is>
      </c>
      <c r="J6" t="inlineStr">
        <is>
          <t>Pregão - Presencial</t>
        </is>
      </c>
      <c r="K6" t="inlineStr">
        <is>
          <t>contratação de empresa especializada, para a prestação de serviços de manutenção corretiva e preventiva, carga de gás, montagem e desmontagem em aparelhos de ar condicionado</t>
        </is>
      </c>
      <c r="L6" t="b">
        <v>1</v>
      </c>
      <c r="M6" t="inlineStr">
        <is>
          <t>climatizacao</t>
        </is>
      </c>
      <c r="N6" t="inlineStr">
        <is>
          <t>climatizacao</t>
        </is>
      </c>
      <c r="O6" t="n">
        <v>1030703.31</v>
      </c>
      <c r="P6" t="n">
        <v>353941</v>
      </c>
      <c r="Q6" t="n">
        <v>1030703.307</v>
      </c>
      <c r="R6" t="n">
        <v>0.6566024406866485</v>
      </c>
      <c r="S6" t="n">
        <v>0</v>
      </c>
      <c r="T6" t="n">
        <v>30</v>
      </c>
      <c r="U6" t="n">
        <v>30</v>
      </c>
      <c r="V6" t="n">
        <v>30</v>
      </c>
      <c r="W6" t="n">
        <v>0</v>
      </c>
      <c r="X6" t="n">
        <v>0</v>
      </c>
      <c r="Y6" t="n">
        <v>0</v>
      </c>
      <c r="Z6" t="n">
        <v>0</v>
      </c>
      <c r="AA6" t="n">
        <v>0</v>
      </c>
      <c r="AB6" t="n">
        <v>1</v>
      </c>
      <c r="AC6" t="n">
        <v>0</v>
      </c>
      <c r="AD6" t="n">
        <v>1</v>
      </c>
      <c r="AE6" t="n">
        <v>3</v>
      </c>
      <c r="AF6" t="inlineStr">
        <is>
          <t>SV RESPLANDE ENGENHARIA E CONSULTORIA E SERVICOS:ME; MEGA CLIMA ENGENHARIA TERMICA LTDA:ME; ULTRALAR PREGAO E REFRIGERACAO VCT LTDA:ME</t>
        </is>
      </c>
      <c r="AH6" t="inlineStr">
        <is>
          <t>indefinido</t>
        </is>
      </c>
      <c r="AJ6" t="n">
        <v>0</v>
      </c>
      <c r="AK6" t="n">
        <v>0</v>
      </c>
      <c r="AL6" t="n">
        <v>0</v>
      </c>
      <c r="AM6" t="n">
        <v>0</v>
      </c>
      <c r="AN6" t="n">
        <v>0</v>
      </c>
      <c r="AQ6" t="n">
        <v>0</v>
      </c>
      <c r="AS6" t="inlineStr">
        <is>
          <t>heuristica automatica confirmada: servico real de climatizacao, sem sinais de exclusao.</t>
        </is>
      </c>
      <c r="AT6" t="n">
        <v>0</v>
      </c>
      <c r="AU6" t="n">
        <v>1</v>
      </c>
    </row>
    <row r="7">
      <c r="A7" t="inlineStr">
        <is>
          <t>00044834000107_2025_67</t>
        </is>
      </c>
      <c r="B7" s="2" t="inlineStr">
        <is>
          <t>https://pncp.gov.br/app/editais/00044834000107/2025/67</t>
        </is>
      </c>
      <c r="C7" t="inlineStr">
        <is>
          <t>2026-09-27T04:41:01.450397+00:00</t>
        </is>
      </c>
      <c r="D7" t="inlineStr">
        <is>
          <t>GO</t>
        </is>
      </c>
      <c r="E7" t="inlineStr">
        <is>
          <t>GO</t>
        </is>
      </c>
      <c r="F7" t="inlineStr">
        <is>
          <t>Vicentinópolis</t>
        </is>
      </c>
      <c r="G7" t="inlineStr">
        <is>
          <t>MUNICIPIO DE VICENTINOPOLIS</t>
        </is>
      </c>
      <c r="H7" t="inlineStr">
        <is>
          <t>Municipal</t>
        </is>
      </c>
      <c r="I7" t="inlineStr">
        <is>
          <t>2026-01-12T14:43:30</t>
        </is>
      </c>
      <c r="J7" t="inlineStr">
        <is>
          <t>Pregão - Presencial</t>
        </is>
      </c>
      <c r="K7" t="inlineStr">
        <is>
          <t>ADESÃO A ATA DE REGISTRO DE PREÇO Nº 009/2025, REFERENTE AO PREGÃO PRESENCIAL Nº 008/2025, TIPO SRP, PARA CONTRATAÇÃO DE EMPRESA ESPECIALIZADA PARA PRESTAÇÃO DE SERVIÇOS DE LOCAÇÃO DE ESTRUTURAS E EQUIPAMENTOS, COMO: PALCO, SONORIZAÇÃO, ILUMINAÇÃO, BANHEIROS QUÍMICOS, TENDAS, FECHAMENTO, E DEMAIS MATERIAIS NECESSÁRIOS À REALIZAÇÃO DAS FESTIVIDADES DE FINAL DE ANO DE 2025, BEM COMO DAS FESTIVIDADES A SEREM PROMOVIDAS AO LONGO DO ANO DE 2026, NO MUNICÍPIO DE VICENTINÓPOLIS.</t>
        </is>
      </c>
      <c r="L7" t="b">
        <v>1</v>
      </c>
      <c r="M7" t="inlineStr">
        <is>
          <t>iluminacao_publica</t>
        </is>
      </c>
      <c r="N7" t="inlineStr">
        <is>
          <t>iluminacao_publica</t>
        </is>
      </c>
      <c r="O7" t="n">
        <v>1415716.72</v>
      </c>
      <c r="P7" t="n">
        <v>1298100</v>
      </c>
      <c r="Q7" t="n">
        <v>1415716.7165</v>
      </c>
      <c r="R7" t="n">
        <v>0.08307927364930566</v>
      </c>
      <c r="S7" t="n">
        <v>0</v>
      </c>
      <c r="T7" t="n">
        <v>18</v>
      </c>
      <c r="U7" t="n">
        <v>18</v>
      </c>
      <c r="V7" t="n">
        <v>18</v>
      </c>
      <c r="W7" t="n">
        <v>0</v>
      </c>
      <c r="X7" t="n">
        <v>0</v>
      </c>
      <c r="Y7" t="n">
        <v>0</v>
      </c>
      <c r="Z7" t="n">
        <v>0</v>
      </c>
      <c r="AA7" t="n">
        <v>0</v>
      </c>
      <c r="AB7" t="n">
        <v>0</v>
      </c>
      <c r="AC7" t="n">
        <v>0</v>
      </c>
      <c r="AD7" t="n">
        <v>0</v>
      </c>
      <c r="AE7" t="n">
        <v>1</v>
      </c>
      <c r="AF7" t="inlineStr">
        <is>
          <t>NACIONAL PROJETOS, CONSTRUCOES, PRODUCOES E SERVICOS EIRELI:Demais</t>
        </is>
      </c>
      <c r="AH7" t="inlineStr">
        <is>
          <t>indefinido</t>
        </is>
      </c>
      <c r="AJ7" t="n">
        <v>0</v>
      </c>
      <c r="AK7" t="n">
        <v>0</v>
      </c>
      <c r="AL7" t="n">
        <v>0</v>
      </c>
      <c r="AM7" t="n">
        <v>0</v>
      </c>
      <c r="AN7" t="n">
        <v>0</v>
      </c>
      <c r="AQ7" t="n">
        <v>0</v>
      </c>
      <c r="AR7" t="inlineStr">
        <is>
          <t>mencao_passagem</t>
        </is>
      </c>
      <c r="AS7" t="inlineStr">
        <is>
          <t>Locação de estrutura para eventos (palco/som/iluminação/banheiros/tendas); 'iluminação' é item do pacote de eventos, não manutenção de IP de vias.</t>
        </is>
      </c>
      <c r="AT7" t="n">
        <v>0</v>
      </c>
      <c r="AU7" t="n">
        <v>0</v>
      </c>
    </row>
    <row r="8">
      <c r="A8" t="inlineStr">
        <is>
          <t>00078790000128_2025_161</t>
        </is>
      </c>
      <c r="B8" s="2" t="inlineStr">
        <is>
          <t>https://pncp.gov.br/app/editais/00078790000128/2025/161</t>
        </is>
      </c>
      <c r="C8" t="inlineStr">
        <is>
          <t>2026-09-27T04:08:45.129124+00:00</t>
        </is>
      </c>
      <c r="D8" t="inlineStr">
        <is>
          <t>GO</t>
        </is>
      </c>
      <c r="E8" t="inlineStr">
        <is>
          <t>GO</t>
        </is>
      </c>
      <c r="F8" t="inlineStr">
        <is>
          <t>Doverlândia</t>
        </is>
      </c>
      <c r="G8" t="inlineStr">
        <is>
          <t>MUNICIPIO DE DOVERLANDIA</t>
        </is>
      </c>
      <c r="H8" t="inlineStr">
        <is>
          <t>Municipal</t>
        </is>
      </c>
      <c r="I8" t="inlineStr">
        <is>
          <t>2025-08-26T16:32:13</t>
        </is>
      </c>
      <c r="J8" t="inlineStr">
        <is>
          <t>Pregão - Eletrônico</t>
        </is>
      </c>
      <c r="K8" t="inlineStr">
        <is>
          <t>ABERTURA DE PROCEDIMENTO LICITATORIO NA MODALIDADE CABIVEL VISANDO A AQUISIÇÃO DE MATERIAIS PARA MANUTENÇÃO DE BENS IMÓVEIS, MATERIAIS ELETRICOS, FERRAMENTAS E MATERIAIS DE SEGURANÇA E PROTEÇÃO.</t>
        </is>
      </c>
      <c r="L8" t="b">
        <v>1</v>
      </c>
      <c r="M8" t="inlineStr">
        <is>
          <t>eletrica_predial</t>
        </is>
      </c>
      <c r="N8" t="inlineStr">
        <is>
          <t>eletrica_predial</t>
        </is>
      </c>
      <c r="O8" t="n">
        <v>5643196.91</v>
      </c>
      <c r="P8" t="n">
        <v>616725.02</v>
      </c>
      <c r="Q8" t="n">
        <v>1650130.61</v>
      </c>
      <c r="R8" t="n">
        <v>0.6262568452081497</v>
      </c>
      <c r="S8" t="n">
        <v>0</v>
      </c>
      <c r="T8" t="n">
        <v>298</v>
      </c>
      <c r="U8" t="n">
        <v>40</v>
      </c>
      <c r="V8" t="n">
        <v>293</v>
      </c>
      <c r="W8" t="n">
        <v>0</v>
      </c>
      <c r="X8" t="n">
        <v>5</v>
      </c>
      <c r="Y8" t="n">
        <v>0</v>
      </c>
      <c r="Z8" t="n">
        <v>1</v>
      </c>
      <c r="AA8" t="n">
        <v>0</v>
      </c>
      <c r="AB8" t="n">
        <v>0</v>
      </c>
      <c r="AC8" t="n">
        <v>0</v>
      </c>
      <c r="AD8" t="n">
        <v>0</v>
      </c>
      <c r="AE8" t="n">
        <v>4</v>
      </c>
      <c r="AF8" t="inlineStr">
        <is>
          <t>2M MATERIAIS DE CONSTRUCAO LTDA:ME; J V S COMERCIO DE VARIEDADE E SERVICOS LTDA:ME; CASTELLARI ILUMINAÇÃO E DECORAÇÃO EIRELI:ME; ARENA CERCAS E CONCERTINAS LTDA:ME</t>
        </is>
      </c>
      <c r="AH8" t="inlineStr">
        <is>
          <t>pontual</t>
        </is>
      </c>
      <c r="AJ8" t="n">
        <v>0</v>
      </c>
      <c r="AK8" t="n">
        <v>0</v>
      </c>
      <c r="AL8" t="n">
        <v>0</v>
      </c>
      <c r="AM8" t="n">
        <v>0</v>
      </c>
      <c r="AN8" t="n">
        <v>0</v>
      </c>
      <c r="AQ8" t="n">
        <v>1</v>
      </c>
      <c r="AR8" t="inlineStr">
        <is>
          <t>fornecimento_puro</t>
        </is>
      </c>
      <c r="AS8" t="inlineStr">
        <is>
          <t>Confirmada exclusao automatica (fornecimento_puro): 298 item(ns), todos classificados como material (sem servico).</t>
        </is>
      </c>
      <c r="AT8" t="n">
        <v>1</v>
      </c>
      <c r="AU8" t="n">
        <v>0</v>
      </c>
    </row>
    <row r="9">
      <c r="A9" t="inlineStr">
        <is>
          <t>00079806000117_2026_18</t>
        </is>
      </c>
      <c r="B9" s="2" t="inlineStr">
        <is>
          <t>https://pncp.gov.br/app/editais/00079806000117/2026/18</t>
        </is>
      </c>
      <c r="C9" t="inlineStr">
        <is>
          <t>2026-09-27T04:35:02.423482+00:00</t>
        </is>
      </c>
      <c r="D9" t="inlineStr">
        <is>
          <t>GO</t>
        </is>
      </c>
      <c r="E9" t="inlineStr">
        <is>
          <t>GO</t>
        </is>
      </c>
      <c r="F9" t="inlineStr">
        <is>
          <t>Cachoeira Dourada</t>
        </is>
      </c>
      <c r="G9" t="inlineStr">
        <is>
          <t>MUNICIPIO DE CACHOEIRA DOURADA</t>
        </is>
      </c>
      <c r="H9" t="inlineStr">
        <is>
          <t>Municipal</t>
        </is>
      </c>
      <c r="I9" t="inlineStr">
        <is>
          <t>2026-04-08T13:41:31</t>
        </is>
      </c>
      <c r="J9" t="inlineStr">
        <is>
          <t>Pregão - Presencial</t>
        </is>
      </c>
      <c r="K9" t="inlineStr">
        <is>
          <t>A PRESENTE LICITAÇÃO TEM COMO OBJETO A CONTRATAÇÃO GLOBAL DE EMPRESA DO RAMO PERTINENTE, COM A FINALIDADE DE EXECUÇÃO DE SERVIÇOS DE RODEIO, PALCO, SONORIZAÇÃO, ILUMINAÇÃO, ENTRE OUTROS PARA TODA ESTRUTURA NECESSÁRIA PARA REALIZAÇÃO DO RODEIO DO DIA 14 A 17 MAIO, CONFORME ESPECIFICADOS NO ANEXO I- TERMO DE REFERÊNCIA, PARTE INTEGRANTE DO PRESENTE EDITAL</t>
        </is>
      </c>
      <c r="L9" t="b">
        <v>1</v>
      </c>
      <c r="M9" t="inlineStr">
        <is>
          <t>iluminacao_publica</t>
        </is>
      </c>
      <c r="N9" t="inlineStr">
        <is>
          <t>iluminacao_publica</t>
        </is>
      </c>
      <c r="O9" t="n">
        <v>880291.62</v>
      </c>
      <c r="P9" t="n">
        <v>800000</v>
      </c>
      <c r="Q9" t="n">
        <v>880291.6242999999</v>
      </c>
      <c r="R9" t="n">
        <v>0.09121025587838258</v>
      </c>
      <c r="S9" t="n">
        <v>0</v>
      </c>
      <c r="T9" t="n">
        <v>36</v>
      </c>
      <c r="U9" t="n">
        <v>36</v>
      </c>
      <c r="V9" t="n">
        <v>36</v>
      </c>
      <c r="W9" t="n">
        <v>0</v>
      </c>
      <c r="X9" t="n">
        <v>0</v>
      </c>
      <c r="Y9" t="n">
        <v>0</v>
      </c>
      <c r="Z9" t="n">
        <v>0</v>
      </c>
      <c r="AA9" t="n">
        <v>0</v>
      </c>
      <c r="AB9" t="n">
        <v>0</v>
      </c>
      <c r="AC9" t="n">
        <v>0</v>
      </c>
      <c r="AD9" t="n">
        <v>0</v>
      </c>
      <c r="AE9" t="n">
        <v>1</v>
      </c>
      <c r="AF9" t="inlineStr">
        <is>
          <t>LM PRODUTORA E EVENTOS LTDA:ME</t>
        </is>
      </c>
      <c r="AH9" t="inlineStr">
        <is>
          <t>indefinido</t>
        </is>
      </c>
      <c r="AJ9" t="n">
        <v>0</v>
      </c>
      <c r="AK9" t="n">
        <v>0</v>
      </c>
      <c r="AL9" t="n">
        <v>0</v>
      </c>
      <c r="AM9" t="n">
        <v>0</v>
      </c>
      <c r="AN9" t="n">
        <v>0</v>
      </c>
      <c r="AQ9" t="n">
        <v>1</v>
      </c>
      <c r="AR9" t="inlineStr">
        <is>
          <t>mencao_passagem</t>
        </is>
      </c>
      <c r="AS9" t="inlineStr">
        <is>
          <t>Execução de serviços de rodeio/palco/sonorização/iluminação; evento, não manutenção de IP.</t>
        </is>
      </c>
      <c r="AT9" t="n">
        <v>1</v>
      </c>
      <c r="AU9" t="n">
        <v>0</v>
      </c>
    </row>
    <row r="10">
      <c r="A10" t="inlineStr">
        <is>
          <t>00097857000171_2025_119</t>
        </is>
      </c>
      <c r="B10" s="2" t="inlineStr">
        <is>
          <t>https://pncp.gov.br/app/editais/00097857000171/2025/119</t>
        </is>
      </c>
      <c r="C10" t="inlineStr">
        <is>
          <t>2026-09-27T04:12:35.228402+00:00</t>
        </is>
      </c>
      <c r="D10" t="inlineStr">
        <is>
          <t>GO</t>
        </is>
      </c>
      <c r="E10" t="inlineStr">
        <is>
          <t>GO</t>
        </is>
      </c>
      <c r="F10" t="inlineStr">
        <is>
          <t>Santo Antônio do Descoberto</t>
        </is>
      </c>
      <c r="G10" t="inlineStr">
        <is>
          <t>MUNICIPIO DE SANTO ANTONIO DO DESCOBERTO</t>
        </is>
      </c>
      <c r="H10" t="inlineStr">
        <is>
          <t>Municipal</t>
        </is>
      </c>
      <c r="I10" t="inlineStr">
        <is>
          <t>2025-08-05T07:11:50</t>
        </is>
      </c>
      <c r="J10" t="inlineStr">
        <is>
          <t>Pregão - Eletrônico</t>
        </is>
      </c>
      <c r="K10" t="inlineStr">
        <is>
          <t>Contratação de empresa para aquisição de material elétrico para serviços de manutenção e instalações na iluminação pública.</t>
        </is>
      </c>
      <c r="L10" t="b">
        <v>1</v>
      </c>
      <c r="M10" t="inlineStr">
        <is>
          <t>iluminacao_publica</t>
        </is>
      </c>
      <c r="N10" t="inlineStr">
        <is>
          <t>iluminacao_publica</t>
        </is>
      </c>
      <c r="O10" t="n">
        <v>2907765.57</v>
      </c>
      <c r="P10" t="n">
        <v>472407.6</v>
      </c>
      <c r="Q10" t="n">
        <v>988373.95</v>
      </c>
      <c r="R10" t="n">
        <v>0.522035561540245</v>
      </c>
      <c r="S10" t="n">
        <v>0</v>
      </c>
      <c r="T10" t="n">
        <v>104</v>
      </c>
      <c r="U10" t="n">
        <v>40</v>
      </c>
      <c r="V10" t="n">
        <v>104</v>
      </c>
      <c r="W10" t="n">
        <v>0</v>
      </c>
      <c r="X10" t="n">
        <v>0</v>
      </c>
      <c r="Y10" t="n">
        <v>0</v>
      </c>
      <c r="Z10" t="n">
        <v>0</v>
      </c>
      <c r="AA10" t="n">
        <v>0</v>
      </c>
      <c r="AB10" t="n">
        <v>1</v>
      </c>
      <c r="AC10" t="n">
        <v>0</v>
      </c>
      <c r="AD10" t="n">
        <v>0</v>
      </c>
      <c r="AE10" t="n">
        <v>5</v>
      </c>
      <c r="AF10" t="inlineStr">
        <is>
          <t>BMP IMPORTACAO EXPORTACAO DISTRIBUICAO E CONSTRUTORA LTDA:ME; BRASIL ILUMINACAO E CONSTRUCAO LTDA:ME; JOSE ADEILDO ALVES SIQUEIRA 46113240100:ME; 55.733.921 KELVEN GABRYEL NOGUEIRA DA SILVA:ME; CENTROLED DISTRIBUICAO DE MATERIAIS ELETRICOS E ILUMINACAO LTDA:ME</t>
        </is>
      </c>
      <c r="AH10" t="inlineStr">
        <is>
          <t>pontual</t>
        </is>
      </c>
      <c r="AJ10" t="n">
        <v>0</v>
      </c>
      <c r="AK10" t="n">
        <v>0</v>
      </c>
      <c r="AL10" t="n">
        <v>0</v>
      </c>
      <c r="AM10" t="n">
        <v>0</v>
      </c>
      <c r="AN10" t="n">
        <v>0</v>
      </c>
      <c r="AQ10" t="n">
        <v>1</v>
      </c>
      <c r="AR10" t="inlineStr">
        <is>
          <t>fornecimento_puro</t>
        </is>
      </c>
      <c r="AS10" t="inlineStr">
        <is>
          <t>Registro de preços/contratação de fornecimento de materiais, sem mão de obra de manutenção contratada.</t>
        </is>
      </c>
      <c r="AT10" t="n">
        <v>1</v>
      </c>
      <c r="AU10" t="n">
        <v>0</v>
      </c>
    </row>
    <row r="11">
      <c r="A11" t="inlineStr">
        <is>
          <t>00145789000179_2025_395</t>
        </is>
      </c>
      <c r="B11" s="2" t="inlineStr">
        <is>
          <t>https://pncp.gov.br/app/editais/00145789000179/2025/395</t>
        </is>
      </c>
      <c r="C11" t="inlineStr">
        <is>
          <t>2026-09-27T02:53:30.527260+00:00</t>
        </is>
      </c>
      <c r="D11" t="inlineStr">
        <is>
          <t>GO</t>
        </is>
      </c>
      <c r="E11" t="inlineStr">
        <is>
          <t>GO</t>
        </is>
      </c>
      <c r="F11" t="inlineStr">
        <is>
          <t>Campinaçu</t>
        </is>
      </c>
      <c r="G11" t="inlineStr">
        <is>
          <t>MUNICIPIO DE CAMPINACU</t>
        </is>
      </c>
      <c r="H11" t="inlineStr">
        <is>
          <t>Municipal</t>
        </is>
      </c>
      <c r="I11" t="inlineStr">
        <is>
          <t>2025-08-27T16:50:44</t>
        </is>
      </c>
      <c r="J11" t="inlineStr">
        <is>
          <t>Pregão - Presencial</t>
        </is>
      </c>
      <c r="K11" t="inlineStr">
        <is>
          <t>PRESTAÇÃO DE SERVIÇOS DE MANUTENÇÃO (CORRETIVA E PREVENTIVA), INSTALAÇÃO E HIGIENIZAÇÃO DE CONDICIONADORES DE AR, PARA ATENDER OS FUNDOS E SECRETARIAS DO MUNICÍPIO DE CAMPINAÇU/GO</t>
        </is>
      </c>
      <c r="L11" t="b">
        <v>1</v>
      </c>
      <c r="M11" t="inlineStr">
        <is>
          <t>climatizacao</t>
        </is>
      </c>
      <c r="N11" t="inlineStr">
        <is>
          <t>climatizacao</t>
        </is>
      </c>
      <c r="O11" t="n">
        <v>129149.02</v>
      </c>
      <c r="P11" t="n">
        <v>128316</v>
      </c>
      <c r="Q11" t="n">
        <v>129149.0178</v>
      </c>
      <c r="R11" t="n">
        <v>0.006450051376232823</v>
      </c>
      <c r="S11" t="n">
        <v>0</v>
      </c>
      <c r="T11" t="n">
        <v>2</v>
      </c>
      <c r="U11" t="n">
        <v>2</v>
      </c>
      <c r="V11" t="n">
        <v>2</v>
      </c>
      <c r="W11" t="n">
        <v>0</v>
      </c>
      <c r="X11" t="n">
        <v>0</v>
      </c>
      <c r="Y11" t="n">
        <v>0</v>
      </c>
      <c r="Z11" t="n">
        <v>0</v>
      </c>
      <c r="AA11" t="n">
        <v>0</v>
      </c>
      <c r="AB11" t="n">
        <v>0</v>
      </c>
      <c r="AC11" t="n">
        <v>0</v>
      </c>
      <c r="AD11" t="n">
        <v>0</v>
      </c>
      <c r="AE11" t="n">
        <v>1</v>
      </c>
      <c r="AF11" t="inlineStr">
        <is>
          <t>HALLIS RIBEIRO DE SA 63324407168:ME</t>
        </is>
      </c>
      <c r="AH11" t="inlineStr">
        <is>
          <t>indefinido</t>
        </is>
      </c>
      <c r="AJ11" t="n">
        <v>0</v>
      </c>
      <c r="AK11" t="n">
        <v>0</v>
      </c>
      <c r="AL11" t="n">
        <v>0</v>
      </c>
      <c r="AM11" t="n">
        <v>0</v>
      </c>
      <c r="AN11" t="n">
        <v>0</v>
      </c>
      <c r="AQ11" t="n">
        <v>1</v>
      </c>
      <c r="AS11" t="inlineStr">
        <is>
          <t>objeto e servico de manutencao/instalacao/higienizacao continuo; itens foram cadastrados como Material pelo orgao por erro (heuristica fornecimento_puro e falso positivo).</t>
        </is>
      </c>
      <c r="AT11" t="n">
        <v>1</v>
      </c>
      <c r="AU11" t="n">
        <v>1</v>
      </c>
    </row>
    <row r="12">
      <c r="A12" t="inlineStr">
        <is>
          <t>00163055000112_2025_135</t>
        </is>
      </c>
      <c r="B12" s="2" t="inlineStr">
        <is>
          <t>https://pncp.gov.br/app/editais/00163055000112/2025/135</t>
        </is>
      </c>
      <c r="C12" t="inlineStr">
        <is>
          <t>2026-09-27T02:54:54.190164+00:00</t>
        </is>
      </c>
      <c r="D12" t="inlineStr">
        <is>
          <t>GO</t>
        </is>
      </c>
      <c r="E12" t="inlineStr">
        <is>
          <t>GO</t>
        </is>
      </c>
      <c r="F12" t="inlineStr">
        <is>
          <t>Mundo Novo</t>
        </is>
      </c>
      <c r="G12" t="inlineStr">
        <is>
          <t>MUNICIPIO DE MUNDO NOVO</t>
        </is>
      </c>
      <c r="H12" t="inlineStr">
        <is>
          <t>Municipal</t>
        </is>
      </c>
      <c r="I12" t="inlineStr">
        <is>
          <t>2025-08-21T16:38:36</t>
        </is>
      </c>
      <c r="J12" t="inlineStr">
        <is>
          <t>Pregão - Presencial</t>
        </is>
      </c>
      <c r="K12" t="inlineStr">
        <is>
          <t>CONTRATAÇÃO DE PRESTAÇÃO DE SERVIÇOS DE INSTALAÇÃO, LIMPEZA, MANUTENÇÃO CORRETIVA E PREVENTIVA EM APARELHOS DE AR CONDICIONADO, E MANUTENÇÃO DE ELETRODOMÉSTICOS, DE FORMA PARCELADA PELO PERÍODO DE 12 (DOZE) MESES PARA MANUTENÇÃO DAS DIVERSAS SECRETARIAS DO PODER EXECUTIVO DO MUNICÍPIO DE MUNDO NOVO.</t>
        </is>
      </c>
      <c r="L12" t="b">
        <v>1</v>
      </c>
      <c r="M12" t="inlineStr">
        <is>
          <t>climatizacao</t>
        </is>
      </c>
      <c r="N12" t="inlineStr">
        <is>
          <t>climatizacao</t>
        </is>
      </c>
      <c r="O12" t="n">
        <v>1325308.5</v>
      </c>
      <c r="P12" t="n">
        <v>585838</v>
      </c>
      <c r="Q12" t="n">
        <v>1325308.5</v>
      </c>
      <c r="R12" t="n">
        <v>0.5579610332235853</v>
      </c>
      <c r="S12" t="n">
        <v>0</v>
      </c>
      <c r="T12" t="n">
        <v>10</v>
      </c>
      <c r="U12" t="n">
        <v>10</v>
      </c>
      <c r="V12" t="n">
        <v>10</v>
      </c>
      <c r="W12" t="n">
        <v>0</v>
      </c>
      <c r="X12" t="n">
        <v>0</v>
      </c>
      <c r="Y12" t="n">
        <v>0</v>
      </c>
      <c r="Z12" t="n">
        <v>0</v>
      </c>
      <c r="AA12" t="n">
        <v>0</v>
      </c>
      <c r="AB12" t="n">
        <v>0</v>
      </c>
      <c r="AC12" t="n">
        <v>0</v>
      </c>
      <c r="AD12" t="n">
        <v>0</v>
      </c>
      <c r="AE12" t="n">
        <v>2</v>
      </c>
      <c r="AF12" t="inlineStr">
        <is>
          <t>KE AR CLIMATIZAÇÃO LTDA:ME; JADIAEL FARIA OLIVEIRA:ME</t>
        </is>
      </c>
      <c r="AH12" t="inlineStr">
        <is>
          <t>indefinido</t>
        </is>
      </c>
      <c r="AJ12" t="n">
        <v>0</v>
      </c>
      <c r="AK12" t="n">
        <v>0</v>
      </c>
      <c r="AL12" t="n">
        <v>0</v>
      </c>
      <c r="AM12" t="n">
        <v>0</v>
      </c>
      <c r="AN12" t="n">
        <v>0</v>
      </c>
      <c r="AQ12" t="n">
        <v>1</v>
      </c>
      <c r="AS12" t="inlineStr">
        <is>
          <t>servico parcelado de 12 meses de instalacao/limpeza/manutencao de AC; itens mal cadastrados como Material pelo orgao.</t>
        </is>
      </c>
      <c r="AT12" t="n">
        <v>1</v>
      </c>
      <c r="AU12" t="n">
        <v>1</v>
      </c>
    </row>
    <row r="13">
      <c r="A13" t="inlineStr">
        <is>
          <t>00236968000111_2025_55</t>
        </is>
      </c>
      <c r="B13" s="2" t="inlineStr">
        <is>
          <t>https://pncp.gov.br/app/editais/00236968000111/2025/55</t>
        </is>
      </c>
      <c r="C13" t="inlineStr">
        <is>
          <t>2026-09-27T02:36:37.862953+00:00</t>
        </is>
      </c>
      <c r="D13" t="inlineStr">
        <is>
          <t>GO</t>
        </is>
      </c>
      <c r="E13" t="inlineStr">
        <is>
          <t>GO</t>
        </is>
      </c>
      <c r="F13" t="inlineStr">
        <is>
          <t>Nova Crixás</t>
        </is>
      </c>
      <c r="G13" t="inlineStr">
        <is>
          <t>MUNICIPIO DE NOVA CRIXAS</t>
        </is>
      </c>
      <c r="H13" t="inlineStr">
        <is>
          <t>Municipal</t>
        </is>
      </c>
      <c r="I13" t="inlineStr">
        <is>
          <t>2026-05-07T10:29:14</t>
        </is>
      </c>
      <c r="J13" t="inlineStr">
        <is>
          <t>Pregão - Presencial</t>
        </is>
      </c>
      <c r="K13" t="inlineStr">
        <is>
          <t>CONTRATAÇÃO DE EMPRESA PARA O REGISTRO DE PREÇOS EVENTUAL CONTRATAÇÃO NA PRESTAÇÃO DE SERVIÇOS DE INSTALAÇÃO/REMOÇÃO/MANUTENÇÃO/HIGIENE/ LIMPEZA DE AR CONDICIONADO E FORNECIMENTO DE PEÇAS PARA ATENDIMENTO DA SECRETARIA DE EDUCAÇÃO, ESCOLAS E CRECHES CONFORME CONDIÇÕES E ESPECIFICAÇÕES ESTABELECIDAS NESTE EDITAL, TERMO DE REFERÊNCIA (ANEXO I) E DEMAIS ANEXOS.</t>
        </is>
      </c>
      <c r="L13" t="b">
        <v>1</v>
      </c>
      <c r="M13" t="inlineStr">
        <is>
          <t>climatizacao</t>
        </is>
      </c>
      <c r="N13" t="inlineStr">
        <is>
          <t>climatizacao</t>
        </is>
      </c>
      <c r="O13" t="n">
        <v>939816.65</v>
      </c>
      <c r="P13" t="n">
        <v>774048.5</v>
      </c>
      <c r="Q13" t="n">
        <v>939816.652</v>
      </c>
      <c r="R13" t="n">
        <v>0.1763835016619816</v>
      </c>
      <c r="S13" t="n">
        <v>0</v>
      </c>
      <c r="T13" t="n">
        <v>35</v>
      </c>
      <c r="U13" t="n">
        <v>35</v>
      </c>
      <c r="V13" t="n">
        <v>35</v>
      </c>
      <c r="W13" t="n">
        <v>0</v>
      </c>
      <c r="X13" t="n">
        <v>0</v>
      </c>
      <c r="Y13" t="n">
        <v>0</v>
      </c>
      <c r="Z13" t="n">
        <v>0</v>
      </c>
      <c r="AA13" t="n">
        <v>0</v>
      </c>
      <c r="AB13" t="n">
        <v>0</v>
      </c>
      <c r="AC13" t="n">
        <v>0</v>
      </c>
      <c r="AD13" t="n">
        <v>0</v>
      </c>
      <c r="AE13" t="n">
        <v>1</v>
      </c>
      <c r="AF13" t="inlineStr">
        <is>
          <t>KE AR CLIMATIZACAO LTDA:ME</t>
        </is>
      </c>
      <c r="AH13" t="inlineStr">
        <is>
          <t>pontual</t>
        </is>
      </c>
      <c r="AI13" t="n">
        <v>12</v>
      </c>
      <c r="AJ13" t="n">
        <v>0</v>
      </c>
      <c r="AK13" t="n">
        <v>0</v>
      </c>
      <c r="AL13" t="n">
        <v>0</v>
      </c>
      <c r="AM13" t="n">
        <v>0</v>
      </c>
      <c r="AN13" t="n">
        <v>0</v>
      </c>
      <c r="AP13" t="inlineStr">
        <is>
          <t>º 12.440/2011). 8.1.3. QUALIFICAÇÃO TECNICA (art. 67, da Lei nº 14.133/2021): a) No mínimo um Atestado de capacidade técnica, emitido por pessoa jurídica de direito público ou privado em nome da empresa, que comprove a aptidão de desempenho da licitante em fornecer objeto compatível ou semelhante ao…</t>
        </is>
      </c>
      <c r="AQ13" t="n">
        <v>1</v>
      </c>
      <c r="AS13" t="inlineStr">
        <is>
          <t>servico de instalacao/remocao/manutencao/higiene com fornecimento de pecas por demanda = servico, apesar de itens cadastrados como Material.</t>
        </is>
      </c>
      <c r="AT13" t="n">
        <v>1</v>
      </c>
      <c r="AU13" t="n">
        <v>1</v>
      </c>
    </row>
    <row r="14">
      <c r="A14" t="inlineStr">
        <is>
          <t>00237222000122_2025_18</t>
        </is>
      </c>
      <c r="B14" s="2" t="inlineStr">
        <is>
          <t>https://pncp.gov.br/app/editais/00237222000122/2025/18</t>
        </is>
      </c>
      <c r="C14" t="inlineStr">
        <is>
          <t>2026-09-27T02:43:55.101525+00:00</t>
        </is>
      </c>
      <c r="D14" t="inlineStr">
        <is>
          <t>GO</t>
        </is>
      </c>
      <c r="E14" t="inlineStr">
        <is>
          <t>GO</t>
        </is>
      </c>
      <c r="F14" t="inlineStr">
        <is>
          <t>Goiânia</t>
        </is>
      </c>
      <c r="G14" t="inlineStr">
        <is>
          <t>CONSELHO REGIONAL DE ENFERMAGEM DE GOIAS</t>
        </is>
      </c>
      <c r="H14" t="inlineStr">
        <is>
          <t>Federal</t>
        </is>
      </c>
      <c r="I14" t="inlineStr">
        <is>
          <t>2025-11-05T07:03:56</t>
        </is>
      </c>
      <c r="J14" t="inlineStr">
        <is>
          <t>Pregão - Eletrônico</t>
        </is>
      </c>
      <c r="K14" t="inlineStr">
        <is>
          <t>Contratação de empresa especializada para prestação de serviços contínuos de manutenção preventiva e corretiva de ar condicionado com reposição de peças originais, sem ônus adicional para a Contratante, em aparelhos de ar condicionado que compõem o sistema de climatização tipo Fluxo Refrigerante Variável (VRF), para a nova sede do Conselho Regional de Enfermagem de Goiás.</t>
        </is>
      </c>
      <c r="L14" t="b">
        <v>0</v>
      </c>
      <c r="M14" t="inlineStr">
        <is>
          <t>climatizacao</t>
        </is>
      </c>
      <c r="N14" t="inlineStr">
        <is>
          <t>climatizacao</t>
        </is>
      </c>
      <c r="O14" t="n">
        <v>375931.64</v>
      </c>
      <c r="P14" t="n">
        <v>124940</v>
      </c>
      <c r="Q14" t="n">
        <v>375931.64</v>
      </c>
      <c r="R14" t="n">
        <v>0.6676523423247909</v>
      </c>
      <c r="S14" t="n">
        <v>0</v>
      </c>
      <c r="T14" t="n">
        <v>5</v>
      </c>
      <c r="U14" t="n">
        <v>5</v>
      </c>
      <c r="V14" t="n">
        <v>5</v>
      </c>
      <c r="W14" t="n">
        <v>0</v>
      </c>
      <c r="X14" t="n">
        <v>0</v>
      </c>
      <c r="Y14" t="n">
        <v>0</v>
      </c>
      <c r="Z14" t="n">
        <v>0</v>
      </c>
      <c r="AA14" t="n">
        <v>0</v>
      </c>
      <c r="AB14" t="n">
        <v>0</v>
      </c>
      <c r="AC14" t="n">
        <v>0</v>
      </c>
      <c r="AD14" t="n">
        <v>0</v>
      </c>
      <c r="AE14" t="n">
        <v>1</v>
      </c>
      <c r="AF14" t="inlineStr">
        <is>
          <t>INOVAR REFRIGERACAO LTDA:ME</t>
        </is>
      </c>
      <c r="AH14" t="inlineStr">
        <is>
          <t>indefinido</t>
        </is>
      </c>
      <c r="AJ14" t="n">
        <v>0</v>
      </c>
      <c r="AK14" t="n">
        <v>0</v>
      </c>
      <c r="AL14" t="n">
        <v>0</v>
      </c>
      <c r="AM14" t="n">
        <v>0</v>
      </c>
      <c r="AN14" t="n">
        <v>0</v>
      </c>
      <c r="AQ14" t="n">
        <v>0</v>
      </c>
      <c r="AS14" t="inlineStr">
        <is>
          <t>e manutencao preventiva/corretiva de um sistema VRF ja existente (nao fornecimento+instalacao de VRF novo); a heuristica reagiu a palavra 'VRF' na descricao do sistema atendido, nao a uma compra de equipamento.</t>
        </is>
      </c>
      <c r="AT14" t="n">
        <v>0</v>
      </c>
      <c r="AU14" t="n">
        <v>1</v>
      </c>
    </row>
    <row r="15">
      <c r="A15" t="inlineStr">
        <is>
          <t>00348003000110_2026_252</t>
        </is>
      </c>
      <c r="B15" s="2" t="inlineStr">
        <is>
          <t>https://pncp.gov.br/app/editais/00348003000110/2026/252</t>
        </is>
      </c>
      <c r="C15" t="inlineStr">
        <is>
          <t>2026-09-27T05:37:01.817340+00:00</t>
        </is>
      </c>
      <c r="D15" t="inlineStr">
        <is>
          <t>TO</t>
        </is>
      </c>
      <c r="E15" t="inlineStr">
        <is>
          <t>vizinhos</t>
        </is>
      </c>
      <c r="F15" t="inlineStr">
        <is>
          <t>Palmas</t>
        </is>
      </c>
      <c r="G15" t="inlineStr">
        <is>
          <t>EMPRESA BRASILEIRA DE PESQUISA AGROPECUARIA</t>
        </is>
      </c>
      <c r="H15" t="inlineStr">
        <is>
          <t>Federal</t>
        </is>
      </c>
      <c r="I15" t="inlineStr">
        <is>
          <t>2026-05-22T07:37:51</t>
        </is>
      </c>
      <c r="J15" t="inlineStr">
        <is>
          <t>Pregão - Eletrônico</t>
        </is>
      </c>
      <c r="K15" t="inlineStr">
        <is>
          <t>Formação de Registro de Preços para eventual contratação de empresa especializada para prestação de serviços comuns descontinuados de manutenção predial corretiva e preventiva, com fornecimento de mão de obra e materiais, nas seguintes Unidades Descentralizadas: Embrapa Amapá, Embrapa Pesca e Aquicultura, Embrapa Agrossilvipastoril, Embrapa Acre, Embrapa Amazônia Oriental e Embrapa Rondônia, conforme especificações e demais elementos técnicos constantes deste Termo de Referênci</t>
        </is>
      </c>
      <c r="L15" t="b">
        <v>1</v>
      </c>
      <c r="M15" t="inlineStr">
        <is>
          <t>manutencao_predial</t>
        </is>
      </c>
      <c r="N15" t="inlineStr">
        <is>
          <t>manutencao_predial</t>
        </is>
      </c>
      <c r="O15" t="n">
        <v>4852906.5</v>
      </c>
      <c r="P15" t="n">
        <v>2809501.9</v>
      </c>
      <c r="Q15" t="n">
        <v>3523189</v>
      </c>
      <c r="R15" t="n">
        <v>0.2025684968930137</v>
      </c>
      <c r="S15" t="n">
        <v>0</v>
      </c>
      <c r="T15" t="n">
        <v>15</v>
      </c>
      <c r="U15" t="n">
        <v>8</v>
      </c>
      <c r="V15" t="n">
        <v>8</v>
      </c>
      <c r="W15" t="n">
        <v>0</v>
      </c>
      <c r="X15" t="n">
        <v>7</v>
      </c>
      <c r="Y15" t="n">
        <v>0</v>
      </c>
      <c r="Z15" t="n">
        <v>1</v>
      </c>
      <c r="AA15" t="n">
        <v>0</v>
      </c>
      <c r="AB15" t="n">
        <v>0</v>
      </c>
      <c r="AC15" t="n">
        <v>0</v>
      </c>
      <c r="AD15" t="n">
        <v>0</v>
      </c>
      <c r="AE15" t="n">
        <v>5</v>
      </c>
      <c r="AF15" t="inlineStr">
        <is>
          <t>DM CONSTRUCOES E REFORMAS LTDA:ME; DZ CONSTRUCOES LTDA:ME; PRESCOM - COMERCIO E SERVICOS DE CONSTRUCAO CIVIL LTDA:ME; INFINITY SERVICOS TECNICOS LTDA:ME; CTL CONSTRUCOES LTDA:ME</t>
        </is>
      </c>
      <c r="AH15" t="inlineStr">
        <is>
          <t>continuado</t>
        </is>
      </c>
      <c r="AJ15" t="n">
        <v>0</v>
      </c>
      <c r="AK15" t="n">
        <v>0</v>
      </c>
      <c r="AL15" t="n">
        <v>0</v>
      </c>
      <c r="AM15" t="n">
        <v>0</v>
      </c>
      <c r="AN15" t="n">
        <v>0</v>
      </c>
      <c r="AQ15" t="n">
        <v>0</v>
      </c>
      <c r="AT15" t="n">
        <v>0</v>
      </c>
      <c r="AU15" t="n">
        <v>1</v>
      </c>
    </row>
    <row r="16">
      <c r="A16" t="inlineStr">
        <is>
          <t>00348003000110_2026_583</t>
        </is>
      </c>
      <c r="B16" s="2" t="inlineStr">
        <is>
          <t>https://pncp.gov.br/app/editais/00348003000110/2026/583</t>
        </is>
      </c>
      <c r="C16" t="inlineStr">
        <is>
          <t>2026-09-27T05:04:49.649156+00:00</t>
        </is>
      </c>
      <c r="D16" t="inlineStr">
        <is>
          <t>MT</t>
        </is>
      </c>
      <c r="E16" t="inlineStr">
        <is>
          <t>vizinhos</t>
        </is>
      </c>
      <c r="F16" t="inlineStr">
        <is>
          <t>Sinop</t>
        </is>
      </c>
      <c r="G16" t="inlineStr">
        <is>
          <t>EMPRESA BRASILEIRA DE PESQUISA AGROPECUARIA</t>
        </is>
      </c>
      <c r="H16" t="inlineStr">
        <is>
          <t>Federal</t>
        </is>
      </c>
      <c r="I16" t="inlineStr">
        <is>
          <t>2026-07-22T16:52:41</t>
        </is>
      </c>
      <c r="J16" t="inlineStr">
        <is>
          <t>Pregão - Eletrônico</t>
        </is>
      </c>
      <c r="K16" t="inlineStr">
        <is>
          <t>Registro de Preços para aquisição de materiais elétricos e hidráulicos para suprir as demandas de manutenção corretiva e preventiva das instalações físicas da Embrapa Agrossilvipastoril</t>
        </is>
      </c>
      <c r="L16" t="b">
        <v>1</v>
      </c>
      <c r="M16" t="inlineStr">
        <is>
          <t>eletrica_predial</t>
        </is>
      </c>
      <c r="N16" t="inlineStr">
        <is>
          <t>eletrica_predial</t>
        </is>
      </c>
      <c r="O16" t="n">
        <v>221718.91</v>
      </c>
      <c r="P16" t="n">
        <v>12235.21</v>
      </c>
      <c r="Q16" t="n">
        <v>29354.46</v>
      </c>
      <c r="R16" t="n">
        <v>0.5831907655599864</v>
      </c>
      <c r="S16" t="n">
        <v>0</v>
      </c>
      <c r="T16" t="n">
        <v>120</v>
      </c>
      <c r="U16" t="n">
        <v>40</v>
      </c>
      <c r="V16" t="n">
        <v>112</v>
      </c>
      <c r="W16" t="n">
        <v>0</v>
      </c>
      <c r="X16" t="n">
        <v>7</v>
      </c>
      <c r="Y16" t="n">
        <v>1</v>
      </c>
      <c r="Z16" t="n">
        <v>1</v>
      </c>
      <c r="AA16" t="n">
        <v>0</v>
      </c>
      <c r="AB16" t="n">
        <v>0</v>
      </c>
      <c r="AC16" t="n">
        <v>0</v>
      </c>
      <c r="AD16" t="n">
        <v>0</v>
      </c>
      <c r="AE16" t="n">
        <v>9</v>
      </c>
      <c r="AF16" t="inlineStr">
        <is>
          <t>BZX ROLAMENTOS LTDA:ME; TOTAL CONECTA SOLUCOES LTDA:ME; CBX COMERCIAL IMPORTADORA LTDA:ME; MAX QUALITY COMERCIO LTDA:ME; ONIX COMERCIO E DISTRIBUIDORA DE MATERIAIS PARA CONSTRUCAO LTDA:ME; RRW LICITA LTDA:ME; VOLT MATERIAIS ELETRICOS LTDA:ME; MAIS ENERGIA COMPONENTES ELETRICOS LTDA:ME; KP MATERIAIS ELETRICO E CONSTRUCAO LTDA:ME</t>
        </is>
      </c>
      <c r="AH16" t="inlineStr">
        <is>
          <t>pontual</t>
        </is>
      </c>
      <c r="AJ16" t="n">
        <v>0</v>
      </c>
      <c r="AK16" t="n">
        <v>0</v>
      </c>
      <c r="AL16" t="n">
        <v>0</v>
      </c>
      <c r="AM16" t="n">
        <v>0</v>
      </c>
      <c r="AN16" t="n">
        <v>0</v>
      </c>
      <c r="AQ16" t="n">
        <v>1</v>
      </c>
      <c r="AR16" t="inlineStr">
        <is>
          <t>fornecimento_puro</t>
        </is>
      </c>
      <c r="AS16" t="inlineStr">
        <is>
          <t>Confirmada exclusao automatica (fornecimento_puro): 120 item(ns), todos classificados como material (sem servico).</t>
        </is>
      </c>
      <c r="AT16" t="n">
        <v>1</v>
      </c>
      <c r="AU16" t="n">
        <v>0</v>
      </c>
    </row>
    <row r="17">
      <c r="A17" t="inlineStr">
        <is>
          <t>00348003000110_2026_585</t>
        </is>
      </c>
      <c r="B17" s="2" t="inlineStr">
        <is>
          <t>https://pncp.gov.br/app/editais/00348003000110/2026/585</t>
        </is>
      </c>
      <c r="C17" t="inlineStr">
        <is>
          <t>2026-09-27T04:52:34.544337+00:00</t>
        </is>
      </c>
      <c r="D17" t="inlineStr">
        <is>
          <t>DF</t>
        </is>
      </c>
      <c r="E17" t="inlineStr">
        <is>
          <t>vizinhos</t>
        </is>
      </c>
      <c r="F17" t="inlineStr">
        <is>
          <t>Brasília</t>
        </is>
      </c>
      <c r="G17" t="inlineStr">
        <is>
          <t>EMPRESA BRASILEIRA DE PESQUISA AGROPECUARIA</t>
        </is>
      </c>
      <c r="H17" t="inlineStr">
        <is>
          <t>Federal</t>
        </is>
      </c>
      <c r="I17" t="inlineStr">
        <is>
          <t>2026-07-23T09:42:02</t>
        </is>
      </c>
      <c r="J17" t="inlineStr">
        <is>
          <t>Pregão - Eletrônico</t>
        </is>
      </c>
      <c r="K17" t="inlineStr">
        <is>
          <t>Contratação de serviços de manutenção preventiva e corretiva em equipamentos de refrigeração, instalação de equipamentos para sistemas de climatização e refrigeração, com fornecimento de materiais, peças de reposição a serem executados na Embrapa Recursos Genéticos e Biotecnologia, contemplando a elaboração e a implantação do Plano de Manutenção, Operação e Controle - PMOC.</t>
        </is>
      </c>
      <c r="L17" t="b">
        <v>0</v>
      </c>
      <c r="M17" t="inlineStr">
        <is>
          <t>refrigeracao</t>
        </is>
      </c>
      <c r="N17" t="inlineStr">
        <is>
          <t>refrigeracao</t>
        </is>
      </c>
      <c r="O17" t="n">
        <v>823950</v>
      </c>
      <c r="P17" t="n">
        <v>338700</v>
      </c>
      <c r="Q17" t="n">
        <v>823950</v>
      </c>
      <c r="R17" t="n">
        <v>0.5889313671946114</v>
      </c>
      <c r="S17" t="n">
        <v>0</v>
      </c>
      <c r="T17" t="n">
        <v>2</v>
      </c>
      <c r="U17" t="n">
        <v>2</v>
      </c>
      <c r="V17" t="n">
        <v>2</v>
      </c>
      <c r="W17" t="n">
        <v>0</v>
      </c>
      <c r="X17" t="n">
        <v>0</v>
      </c>
      <c r="Y17" t="n">
        <v>0</v>
      </c>
      <c r="Z17" t="n">
        <v>0</v>
      </c>
      <c r="AA17" t="n">
        <v>0</v>
      </c>
      <c r="AB17" t="n">
        <v>0</v>
      </c>
      <c r="AC17" t="n">
        <v>0</v>
      </c>
      <c r="AD17" t="n">
        <v>0</v>
      </c>
      <c r="AE17" t="n">
        <v>1</v>
      </c>
      <c r="AF17" t="inlineStr">
        <is>
          <t>AIE ENG TECNOLOGIA E MANUTENCAO LTDA:ME</t>
        </is>
      </c>
      <c r="AH17" t="inlineStr">
        <is>
          <t>pontual</t>
        </is>
      </c>
      <c r="AJ17" t="n">
        <v>0</v>
      </c>
      <c r="AK17" t="n">
        <v>0</v>
      </c>
      <c r="AL17" t="n">
        <v>0</v>
      </c>
      <c r="AM17" t="n">
        <v>0</v>
      </c>
      <c r="AN17" t="n">
        <v>0</v>
      </c>
      <c r="AQ17" t="n">
        <v>0</v>
      </c>
      <c r="AS17" t="inlineStr">
        <is>
          <t>Objeto: 'manutencao...em equipamentos de refrigeracao, instalacao de equipamentos para sistemas de climatizacao e refrigeracao' -- refrigeracao citada em primeiro lugar; 100% dos itens (por valor) carregam a palavra refrigeracao.</t>
        </is>
      </c>
      <c r="AT17" t="n">
        <v>0</v>
      </c>
      <c r="AU17" t="n">
        <v>1</v>
      </c>
    </row>
    <row r="18">
      <c r="A18" t="inlineStr">
        <is>
          <t>00348003000110_2026_638</t>
        </is>
      </c>
      <c r="B18" s="2" t="inlineStr">
        <is>
          <t>https://pncp.gov.br/app/editais/00348003000110/2026/638</t>
        </is>
      </c>
      <c r="C18" t="inlineStr">
        <is>
          <t>2026-09-27T02:30:25.729977+00:00</t>
        </is>
      </c>
      <c r="D18" t="inlineStr">
        <is>
          <t>GO</t>
        </is>
      </c>
      <c r="E18" t="inlineStr">
        <is>
          <t>GO</t>
        </is>
      </c>
      <c r="F18" t="inlineStr">
        <is>
          <t>Santo Antônio de Goiás</t>
        </is>
      </c>
      <c r="G18" t="inlineStr">
        <is>
          <t>EMPRESA BRASILEIRA DE PESQUISA AGROPECUARIA</t>
        </is>
      </c>
      <c r="H18" t="inlineStr">
        <is>
          <t>Federal</t>
        </is>
      </c>
      <c r="I18" t="inlineStr">
        <is>
          <t>2026-08-03T13:54:23</t>
        </is>
      </c>
      <c r="J18" t="inlineStr">
        <is>
          <t>Pregão - Eletrônico</t>
        </is>
      </c>
      <c r="K18" t="inlineStr">
        <is>
          <t>Eventual contratação para aquisição de materiais de construção, hidráulicos, elétricos, eletrônicos, ferragens, ferramentas, ar condicionado e madeiras para manutenção de bens móveis e imóveis da Embrapa Arroz e Feijão</t>
        </is>
      </c>
      <c r="L18" t="b">
        <v>1</v>
      </c>
      <c r="M18" t="inlineStr">
        <is>
          <t>climatizacao</t>
        </is>
      </c>
      <c r="N18" t="inlineStr">
        <is>
          <t>climatizacao</t>
        </is>
      </c>
      <c r="O18" t="n">
        <v>67378.3</v>
      </c>
      <c r="P18" t="n">
        <v>63900.8</v>
      </c>
      <c r="Q18" t="n">
        <v>67378.3</v>
      </c>
      <c r="R18" t="n">
        <v>0.05161157227178482</v>
      </c>
      <c r="S18" t="n">
        <v>0</v>
      </c>
      <c r="T18" t="n">
        <v>219</v>
      </c>
      <c r="U18" t="n">
        <v>8</v>
      </c>
      <c r="V18" t="n">
        <v>8</v>
      </c>
      <c r="W18" t="n">
        <v>0</v>
      </c>
      <c r="X18" t="n">
        <v>2</v>
      </c>
      <c r="Y18" t="n">
        <v>0</v>
      </c>
      <c r="Z18" t="n">
        <v>1</v>
      </c>
      <c r="AA18" t="n">
        <v>1</v>
      </c>
      <c r="AB18" t="n">
        <v>0</v>
      </c>
      <c r="AC18" t="n">
        <v>0</v>
      </c>
      <c r="AD18" t="n">
        <v>0</v>
      </c>
      <c r="AE18" t="n">
        <v>3</v>
      </c>
      <c r="AF18" t="inlineStr">
        <is>
          <t>DM MADEIRAS E MATERIAIS PARA CONSTRUCAO LTDA:ME; M.R. ANDRADE IMPORTACAO E EXPORTACAO LTDA:ME; EMBALIZE EMBALAGENS LTDA:ME</t>
        </is>
      </c>
      <c r="AH18" t="inlineStr">
        <is>
          <t>pontual</t>
        </is>
      </c>
      <c r="AI18" t="n">
        <v>12</v>
      </c>
      <c r="AJ18" t="n">
        <v>0</v>
      </c>
      <c r="AK18" t="n">
        <v>0</v>
      </c>
      <c r="AL18" t="n">
        <v>0</v>
      </c>
      <c r="AM18" t="n">
        <v>0</v>
      </c>
      <c r="AN18" t="n">
        <v>0</v>
      </c>
      <c r="AP18" t="inlineStr">
        <is>
          <t>do o somatório de quantitativos havidos em mais de um atestado. 8.23. É permitida a apresentação de atestados de capacidade técnica emitidos em nome de outra empresa da qual a licitante seja subsidiária integral e/ou de subsidiária integral pertencente a licitante, desde que pertencente à mesma ativ…</t>
        </is>
      </c>
      <c r="AQ18" t="n">
        <v>1</v>
      </c>
      <c r="AR18" t="inlineStr">
        <is>
          <t>fornecimento_puro</t>
        </is>
      </c>
      <c r="AS18" t="inlineStr">
        <is>
          <t>heuristica automatica confirmada (fornecimento_puro): 219 item(ns), todos classificados como material (sem servico).</t>
        </is>
      </c>
      <c r="AT18" t="n">
        <v>1</v>
      </c>
      <c r="AU18" t="n">
        <v>0</v>
      </c>
    </row>
    <row r="19">
      <c r="A19" t="inlineStr">
        <is>
          <t>00348003000110_2026_702</t>
        </is>
      </c>
      <c r="B19" s="2" t="inlineStr">
        <is>
          <t>https://pncp.gov.br/app/editais/00348003000110/2026/702</t>
        </is>
      </c>
      <c r="C19" t="inlineStr">
        <is>
          <t>2026-09-27T04:54:52.884616+00:00</t>
        </is>
      </c>
      <c r="D19" t="inlineStr">
        <is>
          <t>DF</t>
        </is>
      </c>
      <c r="E19" t="inlineStr">
        <is>
          <t>vizinhos</t>
        </is>
      </c>
      <c r="F19" t="inlineStr">
        <is>
          <t>Brasília</t>
        </is>
      </c>
      <c r="G19" t="inlineStr">
        <is>
          <t>EMPRESA BRASILEIRA DE PESQUISA AGROPECUARIA</t>
        </is>
      </c>
      <c r="H19" t="inlineStr">
        <is>
          <t>Federal</t>
        </is>
      </c>
      <c r="I19" t="inlineStr">
        <is>
          <t>2026-08-12T13:36:32</t>
        </is>
      </c>
      <c r="J19" t="inlineStr">
        <is>
          <t>Pregão - Eletrônico</t>
        </is>
      </c>
      <c r="K19" t="inlineStr">
        <is>
          <t xml:space="preserve">Aquisição de materiais diversos (Manutenção de bens móveis e imóveis, elétricos, insumos agropecuários, proteção, embalagens e químicos e etc)  para atender a Embrapa Cerrados.
 </t>
        </is>
      </c>
      <c r="L19" t="b">
        <v>0</v>
      </c>
      <c r="M19" t="inlineStr">
        <is>
          <t>eletrica_predial</t>
        </is>
      </c>
      <c r="N19" t="inlineStr">
        <is>
          <t>eletrica_predial</t>
        </is>
      </c>
      <c r="O19" t="n">
        <v>174657.89</v>
      </c>
      <c r="P19" t="n">
        <v>126872.15</v>
      </c>
      <c r="Q19" t="n">
        <v>174657.89</v>
      </c>
      <c r="R19" t="n">
        <v>0.2735962286043878</v>
      </c>
      <c r="S19" t="n">
        <v>0</v>
      </c>
      <c r="T19" t="n">
        <v>79</v>
      </c>
      <c r="U19" t="n">
        <v>35</v>
      </c>
      <c r="V19" t="n">
        <v>35</v>
      </c>
      <c r="W19" t="n">
        <v>6</v>
      </c>
      <c r="X19" t="n">
        <v>38</v>
      </c>
      <c r="Y19" t="n">
        <v>0</v>
      </c>
      <c r="Z19" t="n">
        <v>1</v>
      </c>
      <c r="AA19" t="n">
        <v>1</v>
      </c>
      <c r="AB19" t="n">
        <v>0</v>
      </c>
      <c r="AC19" t="n">
        <v>0</v>
      </c>
      <c r="AD19" t="n">
        <v>0</v>
      </c>
      <c r="AE19" t="n">
        <v>10</v>
      </c>
      <c r="AF19" t="inlineStr">
        <is>
          <t>COMERCIAL JSM PRODUTOS AGROPECUARIOS LTDA:ME; BZX ROLAMENTOS LTDA:ME; NATIVA DISTRIBUICAO DE SUPRIMENTOS LTDA:ME; L7 SUPRIMENTOS LTDA:ME; ECO LUC LUBRIFICANTES LTDA:ME; 65.516.785 JOELISON ERICLES BARBOSA BELTRAO:ME; DIGITALHOUSE LTDA:ME; NOVA ERA IMPORTADORA LTDA:ME; DF MAQUINAS E FERRAMENTAS LTDA:ME; TY BORTHOLIN COMERCIAL LTDA:ME</t>
        </is>
      </c>
      <c r="AH19" t="inlineStr">
        <is>
          <t>pontual</t>
        </is>
      </c>
      <c r="AJ19" t="n">
        <v>0</v>
      </c>
      <c r="AK19" t="n">
        <v>0</v>
      </c>
      <c r="AL19" t="n">
        <v>0</v>
      </c>
      <c r="AM19" t="n">
        <v>0</v>
      </c>
      <c r="AN19" t="n">
        <v>0</v>
      </c>
      <c r="AQ19" t="n">
        <v>1</v>
      </c>
      <c r="AR19" t="inlineStr">
        <is>
          <t>fornecimento_puro</t>
        </is>
      </c>
      <c r="AS19" t="inlineStr">
        <is>
          <t>Confirmada exclusao automatica (fornecimento_puro): 79 item(ns), todos classificados como material (sem servico).</t>
        </is>
      </c>
      <c r="AT19" t="n">
        <v>1</v>
      </c>
      <c r="AU19" t="n">
        <v>0</v>
      </c>
    </row>
    <row r="20">
      <c r="A20" t="inlineStr">
        <is>
          <t>00348003002245_2025_278</t>
        </is>
      </c>
      <c r="B20" s="2" t="inlineStr">
        <is>
          <t>https://pncp.gov.br/app/editais/00348003002245/2025/278</t>
        </is>
      </c>
      <c r="C20" t="inlineStr">
        <is>
          <t>2026-09-27T04:50:10.276710+00:00</t>
        </is>
      </c>
      <c r="D20" t="inlineStr">
        <is>
          <t>GO</t>
        </is>
      </c>
      <c r="E20" t="inlineStr">
        <is>
          <t>GO</t>
        </is>
      </c>
      <c r="F20" t="inlineStr">
        <is>
          <t>Santo Antônio de Goiás</t>
        </is>
      </c>
      <c r="G20" t="inlineStr">
        <is>
          <t>EMPRESA BRASILEIRA DE PESQUISA AGROPECUARIA</t>
        </is>
      </c>
      <c r="H20" t="inlineStr">
        <is>
          <t>Não se aplica</t>
        </is>
      </c>
      <c r="I20" t="inlineStr">
        <is>
          <t>2025-11-13T08:52:22</t>
        </is>
      </c>
      <c r="J20" t="inlineStr">
        <is>
          <t>Pregão - Eletrônico</t>
        </is>
      </c>
      <c r="K20" t="inlineStr">
        <is>
          <t>Formação de Registro de Preços para eventual Aquisições de um conjunto roll-on roll-off (mecanismo de içamento + plataforma) e de um Guincho agrícola giratório.</t>
        </is>
      </c>
      <c r="L20" t="b">
        <v>1</v>
      </c>
      <c r="M20" t="inlineStr">
        <is>
          <t>munck</t>
        </is>
      </c>
      <c r="N20" t="inlineStr">
        <is>
          <t>munck</t>
        </is>
      </c>
      <c r="O20" t="n">
        <v>95985</v>
      </c>
      <c r="P20" t="n">
        <v>95700</v>
      </c>
      <c r="Q20" t="n">
        <v>95985</v>
      </c>
      <c r="R20" t="n">
        <v>0.002969213939678084</v>
      </c>
      <c r="S20" t="n">
        <v>0</v>
      </c>
      <c r="T20" t="n">
        <v>2</v>
      </c>
      <c r="U20" t="n">
        <v>1</v>
      </c>
      <c r="V20" t="n">
        <v>1</v>
      </c>
      <c r="W20" t="n">
        <v>0</v>
      </c>
      <c r="X20" t="n">
        <v>1</v>
      </c>
      <c r="Y20" t="n">
        <v>0</v>
      </c>
      <c r="Z20" t="n">
        <v>1</v>
      </c>
      <c r="AA20" t="n">
        <v>0</v>
      </c>
      <c r="AB20" t="n">
        <v>0</v>
      </c>
      <c r="AC20" t="n">
        <v>0</v>
      </c>
      <c r="AD20" t="n">
        <v>0</v>
      </c>
      <c r="AE20" t="n">
        <v>1</v>
      </c>
      <c r="AF20" t="inlineStr">
        <is>
          <t>AGROPRATA COMERCIO DE EQUIPAMENTOS LTDA.:ME</t>
        </is>
      </c>
      <c r="AH20" t="inlineStr">
        <is>
          <t>pontual</t>
        </is>
      </c>
      <c r="AI20" t="n">
        <v>12</v>
      </c>
      <c r="AJ20" t="n">
        <v>0</v>
      </c>
      <c r="AK20" t="n">
        <v>0</v>
      </c>
      <c r="AL20" t="n">
        <v>0</v>
      </c>
      <c r="AM20" t="n">
        <v>1</v>
      </c>
      <c r="AN20" t="n">
        <v>0</v>
      </c>
      <c r="AP20" t="inlineStr">
        <is>
          <t>ão de fases (habilitação antes da apresentação das propostas e lances)? Requisitos Específicos: - Atestado de Capacidade Técnica Demais (Veja Termo de Referência)* Lic. Exclusiva ME/EPP? Reserv. Cota ME/EPP? Exige Amostra/Dem.? Dec. nº 7.174/2010? Possibilidade de preços diferentes Possibilidade de…</t>
        </is>
      </c>
      <c r="AQ20" t="n">
        <v>1</v>
      </c>
      <c r="AR20" t="inlineStr">
        <is>
          <t>fornecimento_puro</t>
        </is>
      </c>
      <c r="AS20" t="inlineStr">
        <is>
          <t>Aquisição de guincho agrícola e kit roll-on/roll-off (equipamento novo); não é locação de serviço de munck.</t>
        </is>
      </c>
      <c r="AT20" t="n">
        <v>0</v>
      </c>
      <c r="AU20" t="n">
        <v>0</v>
      </c>
    </row>
    <row r="21">
      <c r="A21" t="inlineStr">
        <is>
          <t>00394429000100_2025_966</t>
        </is>
      </c>
      <c r="B21" s="2" t="inlineStr">
        <is>
          <t>https://pncp.gov.br/app/editais/00394429000100/2025/966</t>
        </is>
      </c>
      <c r="C21" t="inlineStr">
        <is>
          <t>2026-09-27T04:58:41.929005+00:00</t>
        </is>
      </c>
      <c r="D21" t="inlineStr">
        <is>
          <t>DF</t>
        </is>
      </c>
      <c r="E21" t="inlineStr">
        <is>
          <t>vizinhos</t>
        </is>
      </c>
      <c r="F21" t="inlineStr">
        <is>
          <t>Brasília</t>
        </is>
      </c>
      <c r="G21" t="inlineStr">
        <is>
          <t>COMANDO DA AERONAUTICA</t>
        </is>
      </c>
      <c r="H21" t="inlineStr">
        <is>
          <t>Federal</t>
        </is>
      </c>
      <c r="I21" t="inlineStr">
        <is>
          <t>2025-05-27T07:17:34</t>
        </is>
      </c>
      <c r="J21" t="inlineStr">
        <is>
          <t>Pregão - Eletrônico</t>
        </is>
      </c>
      <c r="K21" t="inlineStr">
        <is>
          <t>Contratação de empresa especializada no serviço de içamento de cargas com a utilização de guindaste para prestar o apoio necessário à  manutenção Eletromecânica Nível Parque Octaanual dos radares TA10SST/RSM970S instalados no Centro Integrado de Defesa Aérea e Controle de Tráfego Aéreo-CINDACTA I e no Destacamento de controle do Espaço Aéreo de Confins - MG (DTCEA-CF), e desmontagem das torres de telecomunicações do Destacamentos de Controle do Espaço Aéreo do Gama - DF.</t>
        </is>
      </c>
      <c r="L21" t="b">
        <v>1</v>
      </c>
      <c r="M21" t="inlineStr">
        <is>
          <t>munck</t>
        </is>
      </c>
      <c r="N21" t="inlineStr">
        <is>
          <t>munck</t>
        </is>
      </c>
      <c r="O21" t="n">
        <v>124135.9</v>
      </c>
      <c r="P21" t="n">
        <v>113534.8</v>
      </c>
      <c r="Q21" t="n">
        <v>124135.9</v>
      </c>
      <c r="R21" t="n">
        <v>0.08539914722493656</v>
      </c>
      <c r="S21" t="n">
        <v>0</v>
      </c>
      <c r="T21" t="n">
        <v>3</v>
      </c>
      <c r="U21" t="n">
        <v>3</v>
      </c>
      <c r="V21" t="n">
        <v>3</v>
      </c>
      <c r="W21" t="n">
        <v>0</v>
      </c>
      <c r="X21" t="n">
        <v>0</v>
      </c>
      <c r="Y21" t="n">
        <v>0</v>
      </c>
      <c r="Z21" t="n">
        <v>0</v>
      </c>
      <c r="AA21" t="n">
        <v>1</v>
      </c>
      <c r="AB21" t="n">
        <v>0</v>
      </c>
      <c r="AC21" t="n">
        <v>0</v>
      </c>
      <c r="AD21" t="n">
        <v>0</v>
      </c>
      <c r="AE21" t="n">
        <v>1</v>
      </c>
      <c r="AF21" t="inlineStr">
        <is>
          <t>C&amp;M COMERCIO E SERVICOS LTDA:ME</t>
        </is>
      </c>
      <c r="AH21" t="inlineStr">
        <is>
          <t>indefinido</t>
        </is>
      </c>
      <c r="AJ21" t="n">
        <v>0</v>
      </c>
      <c r="AK21" t="n">
        <v>0</v>
      </c>
      <c r="AL21" t="n">
        <v>0</v>
      </c>
      <c r="AM21" t="n">
        <v>0</v>
      </c>
      <c r="AN21" t="n">
        <v>0</v>
      </c>
      <c r="AQ21" t="n">
        <v>0</v>
      </c>
      <c r="AS21" t="inlineStr">
        <is>
          <t>Içamento de cargas/equipamento com guindaste para apoio a manutenção de radares/torres -- serviço de içamento de equipamento, explicitamente no escopo.</t>
        </is>
      </c>
      <c r="AT21" t="n">
        <v>0</v>
      </c>
      <c r="AU21" t="n">
        <v>1</v>
      </c>
    </row>
    <row r="22">
      <c r="A22" t="inlineStr">
        <is>
          <t>00394429000100_2026_1192</t>
        </is>
      </c>
      <c r="B22" s="2" t="inlineStr">
        <is>
          <t>https://pncp.gov.br/app/editais/00394429000100/2026/1192</t>
        </is>
      </c>
      <c r="C22" t="inlineStr">
        <is>
          <t>2026-09-27T04:56:47.032033+00:00</t>
        </is>
      </c>
      <c r="D22" t="inlineStr">
        <is>
          <t>DF</t>
        </is>
      </c>
      <c r="E22" t="inlineStr">
        <is>
          <t>vizinhos</t>
        </is>
      </c>
      <c r="F22" t="inlineStr">
        <is>
          <t>Brasília</t>
        </is>
      </c>
      <c r="G22" t="inlineStr">
        <is>
          <t>COMANDO DA AERONAUTICA</t>
        </is>
      </c>
      <c r="H22" t="inlineStr">
        <is>
          <t>Federal</t>
        </is>
      </c>
      <c r="I22" t="inlineStr">
        <is>
          <t>2026-06-01T07:03:27</t>
        </is>
      </c>
      <c r="J22" t="inlineStr">
        <is>
          <t>Pregão - Eletrônico</t>
        </is>
      </c>
      <c r="K22" t="inlineStr">
        <is>
          <t>Contratação de serviços de sonorização, iluminação e projeção para a Seção de Cerimonial do GABAER e Unidades Apoiadas.</t>
        </is>
      </c>
      <c r="L22" t="b">
        <v>1</v>
      </c>
      <c r="M22" t="inlineStr">
        <is>
          <t>iluminacao_publica</t>
        </is>
      </c>
      <c r="N22" t="inlineStr">
        <is>
          <t>iluminacao_publica</t>
        </is>
      </c>
      <c r="O22" t="n">
        <v>996686</v>
      </c>
      <c r="P22" t="n">
        <v>356555</v>
      </c>
      <c r="Q22" t="n">
        <v>996686</v>
      </c>
      <c r="R22" t="n">
        <v>0.6422594478100425</v>
      </c>
      <c r="S22" t="n">
        <v>0</v>
      </c>
      <c r="T22" t="n">
        <v>15</v>
      </c>
      <c r="U22" t="n">
        <v>15</v>
      </c>
      <c r="V22" t="n">
        <v>15</v>
      </c>
      <c r="W22" t="n">
        <v>0</v>
      </c>
      <c r="X22" t="n">
        <v>0</v>
      </c>
      <c r="Y22" t="n">
        <v>0</v>
      </c>
      <c r="Z22" t="n">
        <v>0</v>
      </c>
      <c r="AA22" t="n">
        <v>0</v>
      </c>
      <c r="AB22" t="n">
        <v>0</v>
      </c>
      <c r="AC22" t="n">
        <v>0</v>
      </c>
      <c r="AD22" t="n">
        <v>0</v>
      </c>
      <c r="AE22" t="n">
        <v>1</v>
      </c>
      <c r="AF22" t="inlineStr">
        <is>
          <t>C.L.A DOS SANTOS ESTUDIO:ME</t>
        </is>
      </c>
      <c r="AH22" t="inlineStr">
        <is>
          <t>indefinido</t>
        </is>
      </c>
      <c r="AJ22" t="n">
        <v>0</v>
      </c>
      <c r="AK22" t="n">
        <v>0</v>
      </c>
      <c r="AL22" t="n">
        <v>0</v>
      </c>
      <c r="AM22" t="n">
        <v>0</v>
      </c>
      <c r="AN22" t="n">
        <v>0</v>
      </c>
      <c r="AQ22" t="n">
        <v>0</v>
      </c>
      <c r="AR22" t="inlineStr">
        <is>
          <t>mencao_passagem</t>
        </is>
      </c>
      <c r="AS22" t="inlineStr">
        <is>
          <t>Contratação de serviços de sonorização, iluminação e projeção para cerimonial; evento, não manutenção de IP.</t>
        </is>
      </c>
      <c r="AT22" t="n">
        <v>0</v>
      </c>
      <c r="AU22" t="n">
        <v>0</v>
      </c>
    </row>
    <row r="23">
      <c r="A23" t="inlineStr">
        <is>
          <t>00394429000100_2026_2144</t>
        </is>
      </c>
      <c r="B23" s="2" t="inlineStr">
        <is>
          <t>https://pncp.gov.br/app/editais/00394429000100/2026/2144</t>
        </is>
      </c>
      <c r="C23" t="inlineStr">
        <is>
          <t>2026-09-27T04:54:14.891110+00:00</t>
        </is>
      </c>
      <c r="D23" t="inlineStr">
        <is>
          <t>DF</t>
        </is>
      </c>
      <c r="E23" t="inlineStr">
        <is>
          <t>vizinhos</t>
        </is>
      </c>
      <c r="F23" t="inlineStr">
        <is>
          <t>Brasília</t>
        </is>
      </c>
      <c r="G23" t="inlineStr">
        <is>
          <t>COMANDO DA AERONAUTICA</t>
        </is>
      </c>
      <c r="H23" t="inlineStr">
        <is>
          <t>Federal</t>
        </is>
      </c>
      <c r="I23" t="inlineStr">
        <is>
          <t>2026-08-31T04:00:07</t>
        </is>
      </c>
      <c r="J23" t="inlineStr">
        <is>
          <t>Pregão - Eletrônico</t>
        </is>
      </c>
      <c r="K23" t="inlineStr">
        <is>
          <t xml:space="preserve">Aquisição de materiais de Elétrica e Pintura para manutenção predial.
</t>
        </is>
      </c>
      <c r="L23" t="b">
        <v>0</v>
      </c>
      <c r="M23" t="inlineStr">
        <is>
          <t>eletrica_predial</t>
        </is>
      </c>
      <c r="N23" t="inlineStr">
        <is>
          <t>eletrica_predial</t>
        </is>
      </c>
      <c r="O23" t="n">
        <v>180881.85</v>
      </c>
      <c r="P23" t="n">
        <v>123721.1691</v>
      </c>
      <c r="Q23" t="n">
        <v>180881.85</v>
      </c>
      <c r="R23" t="n">
        <v>0.3160111470553845</v>
      </c>
      <c r="S23" t="n">
        <v>0</v>
      </c>
      <c r="T23" t="n">
        <v>2</v>
      </c>
      <c r="U23" t="n">
        <v>2</v>
      </c>
      <c r="V23" t="n">
        <v>2</v>
      </c>
      <c r="W23" t="n">
        <v>0</v>
      </c>
      <c r="X23" t="n">
        <v>0</v>
      </c>
      <c r="Y23" t="n">
        <v>0</v>
      </c>
      <c r="Z23" t="n">
        <v>0</v>
      </c>
      <c r="AA23" t="n">
        <v>0</v>
      </c>
      <c r="AB23" t="n">
        <v>1</v>
      </c>
      <c r="AC23" t="n">
        <v>0</v>
      </c>
      <c r="AD23" t="n">
        <v>0</v>
      </c>
      <c r="AE23" t="n">
        <v>2</v>
      </c>
      <c r="AF23" t="inlineStr">
        <is>
          <t>K SERVICOS ADMINISTRATIVOS LTDA:ME; CASTRO ARANTES QUIMICA INDUSTRIAL LTDA:ME</t>
        </is>
      </c>
      <c r="AH23" t="inlineStr">
        <is>
          <t>pontual</t>
        </is>
      </c>
      <c r="AJ23" t="n">
        <v>0</v>
      </c>
      <c r="AK23" t="n">
        <v>0</v>
      </c>
      <c r="AL23" t="n">
        <v>0</v>
      </c>
      <c r="AM23" t="n">
        <v>0</v>
      </c>
      <c r="AN23" t="n">
        <v>0</v>
      </c>
      <c r="AQ23" t="n">
        <v>1</v>
      </c>
      <c r="AR23" t="inlineStr">
        <is>
          <t>fornecimento_puro</t>
        </is>
      </c>
      <c r="AS23" t="inlineStr">
        <is>
          <t>Confirmada exclusao automatica (fornecimento_puro): 2 item(ns), todos classificados como material (sem servico).</t>
        </is>
      </c>
      <c r="AT23" t="n">
        <v>1</v>
      </c>
      <c r="AU23" t="n">
        <v>0</v>
      </c>
    </row>
    <row r="24">
      <c r="A24" t="inlineStr">
        <is>
          <t>00394452000103_2024_23284</t>
        </is>
      </c>
      <c r="B24" s="2" t="inlineStr">
        <is>
          <t>https://pncp.gov.br/app/editais/00394452000103/2024/23284</t>
        </is>
      </c>
      <c r="C24" t="inlineStr">
        <is>
          <t>2026-09-27T03:02:42.659350+00:00</t>
        </is>
      </c>
      <c r="D24" t="inlineStr">
        <is>
          <t>GO</t>
        </is>
      </c>
      <c r="E24" t="inlineStr">
        <is>
          <t>GO</t>
        </is>
      </c>
      <c r="F24" t="inlineStr">
        <is>
          <t>Goiânia</t>
        </is>
      </c>
      <c r="G24" t="inlineStr">
        <is>
          <t>COMANDO DO EXERCITO</t>
        </is>
      </c>
      <c r="H24" t="inlineStr">
        <is>
          <t>Federal</t>
        </is>
      </c>
      <c r="I24" t="inlineStr">
        <is>
          <t>2025-05-07T07:56:45</t>
        </is>
      </c>
      <c r="J24" t="inlineStr">
        <is>
          <t>Pregão - Eletrônico</t>
        </is>
      </c>
      <c r="K24" t="inlineStr">
        <is>
          <t>Contratação de serviços continuados de manutenção preventiva e corretiva em aparelhos condicionadores de ar, com fornecimento de peças originais novas, bem como o serviço de instalação e desinstalação dos equipamentos</t>
        </is>
      </c>
      <c r="L24" t="b">
        <v>1</v>
      </c>
      <c r="M24" t="inlineStr">
        <is>
          <t>climatizacao</t>
        </is>
      </c>
      <c r="N24" t="inlineStr">
        <is>
          <t>climatizacao</t>
        </is>
      </c>
      <c r="O24" t="n">
        <v>544018.84</v>
      </c>
      <c r="P24" t="n">
        <v>237944.1</v>
      </c>
      <c r="Q24" t="n">
        <v>544018.84</v>
      </c>
      <c r="R24" t="n">
        <v>0.562617904924028</v>
      </c>
      <c r="S24" t="n">
        <v>0</v>
      </c>
      <c r="T24" t="n">
        <v>38</v>
      </c>
      <c r="U24" t="n">
        <v>38</v>
      </c>
      <c r="V24" t="n">
        <v>38</v>
      </c>
      <c r="W24" t="n">
        <v>0</v>
      </c>
      <c r="X24" t="n">
        <v>0</v>
      </c>
      <c r="Y24" t="n">
        <v>0</v>
      </c>
      <c r="Z24" t="n">
        <v>0</v>
      </c>
      <c r="AA24" t="n">
        <v>0</v>
      </c>
      <c r="AB24" t="n">
        <v>1</v>
      </c>
      <c r="AC24" t="n">
        <v>0</v>
      </c>
      <c r="AD24" t="n">
        <v>0</v>
      </c>
      <c r="AE24" t="n">
        <v>5</v>
      </c>
      <c r="AF24" t="inlineStr">
        <is>
          <t>LION SERVICOS E COMERCIO LTDA:ME; FEPV COMERCIO E SERVICOS ESPECIALIZADOS LTDA:ME; IGM2 METROLOGIA E MANUTENCAO LTDA:ME; Z-9 ENGENHARIA LTDA:ME; SV RESPLANDE  ENGENHARIA E CONSULTORIA E SERVICOS LTDA:ME</t>
        </is>
      </c>
      <c r="AH24" t="inlineStr">
        <is>
          <t>continuado</t>
        </is>
      </c>
      <c r="AJ24" t="n">
        <v>0</v>
      </c>
      <c r="AK24" t="n">
        <v>0</v>
      </c>
      <c r="AL24" t="n">
        <v>0</v>
      </c>
      <c r="AM24" t="n">
        <v>0</v>
      </c>
      <c r="AN24" t="n">
        <v>0</v>
      </c>
      <c r="AQ24" t="n">
        <v>0</v>
      </c>
      <c r="AS24" t="inlineStr">
        <is>
          <t>heuristica automatica confirmada: servico real de climatizacao, sem sinais de exclusao.</t>
        </is>
      </c>
      <c r="AT24" t="n">
        <v>0</v>
      </c>
      <c r="AU24" t="n">
        <v>1</v>
      </c>
    </row>
    <row r="25">
      <c r="A25" t="inlineStr">
        <is>
          <t>00394452000103_2025_14331</t>
        </is>
      </c>
      <c r="B25" s="2" t="inlineStr">
        <is>
          <t>https://pncp.gov.br/app/editais/00394452000103/2025/14331</t>
        </is>
      </c>
      <c r="C25" t="inlineStr">
        <is>
          <t>2026-09-27T04:15:31.826207+00:00</t>
        </is>
      </c>
      <c r="D25" t="inlineStr">
        <is>
          <t>GO</t>
        </is>
      </c>
      <c r="E25" t="inlineStr">
        <is>
          <t>GO</t>
        </is>
      </c>
      <c r="F25" t="inlineStr">
        <is>
          <t>Goiânia</t>
        </is>
      </c>
      <c r="G25" t="inlineStr">
        <is>
          <t>COMANDO DO EXERCITO</t>
        </is>
      </c>
      <c r="H25" t="inlineStr">
        <is>
          <t>Federal</t>
        </is>
      </c>
      <c r="I25" t="inlineStr">
        <is>
          <t>2025-07-02T07:37:02</t>
        </is>
      </c>
      <c r="J25" t="inlineStr">
        <is>
          <t>Pregão - Eletrônico</t>
        </is>
      </c>
      <c r="K25" t="inlineStr">
        <is>
          <t>Aquisição de materiais elétricos, de alvenaria e de manutenção em aparelhos condicionadores de ar, para serem utilizados na manutenção e conservação das  instalações do Comando de Operações Especiais</t>
        </is>
      </c>
      <c r="L25" t="b">
        <v>1</v>
      </c>
      <c r="M25" t="inlineStr">
        <is>
          <t>eletrica_predial</t>
        </is>
      </c>
      <c r="N25" t="inlineStr">
        <is>
          <t>eletrica_predial</t>
        </is>
      </c>
      <c r="O25" t="n">
        <v>610738.9300000001</v>
      </c>
      <c r="P25" t="n">
        <v>59172.3006</v>
      </c>
      <c r="Q25" t="n">
        <v>124665.25</v>
      </c>
      <c r="R25" t="n">
        <v>0.5253504837956047</v>
      </c>
      <c r="S25" t="n">
        <v>0</v>
      </c>
      <c r="T25" t="n">
        <v>155</v>
      </c>
      <c r="U25" t="n">
        <v>40</v>
      </c>
      <c r="V25" t="n">
        <v>147</v>
      </c>
      <c r="W25" t="n">
        <v>0</v>
      </c>
      <c r="X25" t="n">
        <v>8</v>
      </c>
      <c r="Y25" t="n">
        <v>0</v>
      </c>
      <c r="Z25" t="n">
        <v>1</v>
      </c>
      <c r="AA25" t="n">
        <v>1</v>
      </c>
      <c r="AB25" t="n">
        <v>0</v>
      </c>
      <c r="AC25" t="n">
        <v>0</v>
      </c>
      <c r="AD25" t="n">
        <v>0</v>
      </c>
      <c r="AE25" t="n">
        <v>14</v>
      </c>
      <c r="AF25" t="inlineStr">
        <is>
          <t>COMERCIAL FPS LTDA:ME; RENNOVA COMERCIAL LTDA:ME; I.R. COMERCIO E MATERIAIS ELETRICOS LTDA:ME; BAOBA COMERCIAL E CONSULTORIA LTDA:ME; CENTROLED DISTRIBUICAO DE MATERIAIS ELETRICOS E ILUMINACAO LTDA:ME; COMERCIAL SPONCHIADO LTDA:ME; J. J. VITALLI:ME; CONSTRULUZ COMERCIO E IMPORTACAO DE MATERIAIS DE CONSTRUCAO E ILUMINACAO LTDA:ME; MORK TELECOM PRODUTOS E SERVICOS PARA TELECOMUNICACOES LTDA:ME; RRW LICITA LTDA:ME; TRIUNFAL MAQUINAS E FERRAMENTAS LTDA:ME; RBB LICITACOES E SERVICOS LTDA:ME; DESBRAVA ASSESSORIA E CONSULTORIA EM LICITACOES LTDA:ME; SZATA COMERCIO VAREJISTA LTDA:ME</t>
        </is>
      </c>
      <c r="AH25" t="inlineStr">
        <is>
          <t>pontual</t>
        </is>
      </c>
      <c r="AJ25" t="n">
        <v>0</v>
      </c>
      <c r="AK25" t="n">
        <v>0</v>
      </c>
      <c r="AL25" t="n">
        <v>0</v>
      </c>
      <c r="AM25" t="n">
        <v>0</v>
      </c>
      <c r="AN25" t="n">
        <v>0</v>
      </c>
      <c r="AQ25" t="n">
        <v>1</v>
      </c>
      <c r="AR25" t="inlineStr">
        <is>
          <t>fornecimento_puro</t>
        </is>
      </c>
      <c r="AS25" t="inlineStr">
        <is>
          <t>Confirmada exclusao automatica (fornecimento_puro): 155 item(ns), todos classificados como material (sem servico).</t>
        </is>
      </c>
      <c r="AT25" t="n">
        <v>1</v>
      </c>
      <c r="AU25" t="n">
        <v>0</v>
      </c>
    </row>
    <row r="26">
      <c r="A26" t="inlineStr">
        <is>
          <t>00394452000103_2025_16511</t>
        </is>
      </c>
      <c r="B26" s="2" t="inlineStr">
        <is>
          <t>https://pncp.gov.br/app/editais/00394452000103/2025/16511</t>
        </is>
      </c>
      <c r="C26" t="inlineStr">
        <is>
          <t>2026-09-27T04:08:01.521428+00:00</t>
        </is>
      </c>
      <c r="D26" t="inlineStr">
        <is>
          <t>GO</t>
        </is>
      </c>
      <c r="E26" t="inlineStr">
        <is>
          <t>GO</t>
        </is>
      </c>
      <c r="F26" t="inlineStr">
        <is>
          <t>Jataí</t>
        </is>
      </c>
      <c r="G26" t="inlineStr">
        <is>
          <t>COMANDO DO EXERCITO</t>
        </is>
      </c>
      <c r="H26" t="inlineStr">
        <is>
          <t>Federal</t>
        </is>
      </c>
      <c r="I26" t="inlineStr">
        <is>
          <t>2025-08-27T07:08:27</t>
        </is>
      </c>
      <c r="J26" t="inlineStr">
        <is>
          <t>Pregão - Eletrônico</t>
        </is>
      </c>
      <c r="K26" t="inlineStr">
        <is>
          <t>Registro de Preços pelo prazo de 12 (doze) meses, para eventual contratação de serviços de manutenção de rede elétrica, para atender as necessidades do 41º Batalhão de Infantaria Mecanizado.</t>
        </is>
      </c>
      <c r="L26" t="b">
        <v>1</v>
      </c>
      <c r="M26" t="inlineStr">
        <is>
          <t>eletrica_predial</t>
        </is>
      </c>
      <c r="N26" t="inlineStr">
        <is>
          <t>eletrica_predial</t>
        </is>
      </c>
      <c r="O26" t="n">
        <v>34606.85</v>
      </c>
      <c r="P26" t="n">
        <v>32186</v>
      </c>
      <c r="Q26" t="n">
        <v>34606.85</v>
      </c>
      <c r="R26" t="n">
        <v>0.06995291394622748</v>
      </c>
      <c r="S26" t="n">
        <v>0</v>
      </c>
      <c r="T26" t="n">
        <v>5</v>
      </c>
      <c r="U26" t="n">
        <v>5</v>
      </c>
      <c r="V26" t="n">
        <v>5</v>
      </c>
      <c r="W26" t="n">
        <v>0</v>
      </c>
      <c r="X26" t="n">
        <v>0</v>
      </c>
      <c r="Y26" t="n">
        <v>0</v>
      </c>
      <c r="Z26" t="n">
        <v>0</v>
      </c>
      <c r="AA26" t="n">
        <v>0</v>
      </c>
      <c r="AB26" t="n">
        <v>0</v>
      </c>
      <c r="AC26" t="n">
        <v>0</v>
      </c>
      <c r="AD26" t="n">
        <v>0</v>
      </c>
      <c r="AE26" t="n">
        <v>1</v>
      </c>
      <c r="AF26" t="inlineStr">
        <is>
          <t>GAIARDO MONTAGENS ELETRICAS LTDA:Demais</t>
        </is>
      </c>
      <c r="AH26" t="inlineStr">
        <is>
          <t>pontual</t>
        </is>
      </c>
      <c r="AI26" t="n">
        <v>12</v>
      </c>
      <c r="AJ26" t="n">
        <v>0</v>
      </c>
      <c r="AK26" t="n">
        <v>0</v>
      </c>
      <c r="AL26" t="n">
        <v>0</v>
      </c>
      <c r="AM26" t="n">
        <v>0</v>
      </c>
      <c r="AN26" t="n">
        <v>0</v>
      </c>
      <c r="AQ26" t="n">
        <v>0</v>
      </c>
      <c r="AS26" t="inlineStr">
        <is>
          <t>Registro de precos para manutencao de rede eletrica (linhas de transmissao ate 69kV) do 41o BIM, itens de servico reais, valor pequeno (R$34,6 mil/12 meses) -- exemplo tipico de manutencao continua predial.</t>
        </is>
      </c>
      <c r="AT26" t="n">
        <v>0</v>
      </c>
      <c r="AU26" t="n">
        <v>1</v>
      </c>
    </row>
    <row r="27">
      <c r="A27" t="inlineStr">
        <is>
          <t>00394452000103_2025_18092</t>
        </is>
      </c>
      <c r="B27" s="2" t="inlineStr">
        <is>
          <t>https://pncp.gov.br/app/editais/00394452000103/2025/18092</t>
        </is>
      </c>
      <c r="C27" t="inlineStr">
        <is>
          <t>2026-09-27T04:50:58.430596+00:00</t>
        </is>
      </c>
      <c r="D27" t="inlineStr">
        <is>
          <t>GO</t>
        </is>
      </c>
      <c r="E27" t="inlineStr">
        <is>
          <t>GO</t>
        </is>
      </c>
      <c r="F27" t="inlineStr">
        <is>
          <t>Goiânia</t>
        </is>
      </c>
      <c r="G27" t="inlineStr">
        <is>
          <t>COMANDO DO EXERCITO</t>
        </is>
      </c>
      <c r="H27" t="inlineStr">
        <is>
          <t>Federal</t>
        </is>
      </c>
      <c r="I27" t="inlineStr">
        <is>
          <t>2025-09-04T07:17:57</t>
        </is>
      </c>
      <c r="J27" t="inlineStr">
        <is>
          <t>Pregão - Eletrônico</t>
        </is>
      </c>
      <c r="K27" t="inlineStr">
        <is>
          <t>Aquisição de materiais e medicamentos de consumo odontológico para atender a demanda da  Seção de Odontologia do Posto Médico da Guarnição de Goiânia – PMGu/Gna</t>
        </is>
      </c>
      <c r="L27" t="b">
        <v>1</v>
      </c>
      <c r="M27" t="inlineStr">
        <is>
          <t>munck</t>
        </is>
      </c>
      <c r="N27" t="inlineStr">
        <is>
          <t>munck</t>
        </is>
      </c>
      <c r="O27" t="n">
        <v>454429.22</v>
      </c>
      <c r="P27" t="n">
        <v>57911.95000000001</v>
      </c>
      <c r="Q27" t="n">
        <v>80911.37999999999</v>
      </c>
      <c r="R27" t="n">
        <v>0.2842545758087429</v>
      </c>
      <c r="S27" t="n">
        <v>0</v>
      </c>
      <c r="T27" t="n">
        <v>190</v>
      </c>
      <c r="U27" t="n">
        <v>40</v>
      </c>
      <c r="V27" t="n">
        <v>173</v>
      </c>
      <c r="W27" t="n">
        <v>0</v>
      </c>
      <c r="X27" t="n">
        <v>17</v>
      </c>
      <c r="Y27" t="n">
        <v>0</v>
      </c>
      <c r="Z27" t="n">
        <v>1</v>
      </c>
      <c r="AA27" t="n">
        <v>1</v>
      </c>
      <c r="AB27" t="n">
        <v>0</v>
      </c>
      <c r="AC27" t="n">
        <v>0</v>
      </c>
      <c r="AD27" t="n">
        <v>0</v>
      </c>
      <c r="AE27" t="n">
        <v>8</v>
      </c>
      <c r="AF27" t="inlineStr">
        <is>
          <t>BERITH COMERCIO DE PRODUTOS ODONTOLOGICOS LTDA:ME; MEGA DENTAL IMPORTACAO, EXPORTACAO E COMERCIO DE PRODUTOS ODONTOLOGICOS LTDA:ME; J.PINHEIRO-MATERIAIS MEDICOS E ODONTOLOGICOS LTDA:ME; DENTAL IPO LTDA:ME; DENTAL BH BRASIL COMERCIO DE PRODUTOS ODONTO-MEDICO-HOSPITALAR LTDA:ME; DENTAL BONSUCESSO PRODUTOS ODONTOLOGICOS LTDA:ME; AMP HOSPITALAR LTDA:ME; ORTHO DENTAL JF LTDA:ME</t>
        </is>
      </c>
      <c r="AH27" t="inlineStr">
        <is>
          <t>pontual</t>
        </is>
      </c>
      <c r="AJ27" t="n">
        <v>0</v>
      </c>
      <c r="AK27" t="n">
        <v>0</v>
      </c>
      <c r="AL27" t="n">
        <v>0</v>
      </c>
      <c r="AM27" t="n">
        <v>0</v>
      </c>
      <c r="AN27" t="n">
        <v>0</v>
      </c>
      <c r="AQ27" t="n">
        <v>1</v>
      </c>
      <c r="AR27" t="inlineStr">
        <is>
          <t>fora_escopo</t>
        </is>
      </c>
      <c r="AS27" t="inlineStr">
        <is>
          <t>Aquisição de materiais odontológicos; falso positivo de indexação, sem relação com munck.</t>
        </is>
      </c>
      <c r="AT27" t="n">
        <v>0</v>
      </c>
      <c r="AU27" t="n">
        <v>0</v>
      </c>
    </row>
    <row r="28">
      <c r="A28" t="inlineStr">
        <is>
          <t>00394452000103_2025_23037</t>
        </is>
      </c>
      <c r="B28" s="2" t="inlineStr">
        <is>
          <t>https://pncp.gov.br/app/editais/00394452000103/2025/23037</t>
        </is>
      </c>
      <c r="C28" t="inlineStr">
        <is>
          <t>2026-09-27T05:28:44.655922+00:00</t>
        </is>
      </c>
      <c r="D28" t="inlineStr">
        <is>
          <t>MS</t>
        </is>
      </c>
      <c r="E28" t="inlineStr">
        <is>
          <t>vizinhos</t>
        </is>
      </c>
      <c r="F28" t="inlineStr">
        <is>
          <t>Corumbá</t>
        </is>
      </c>
      <c r="G28" t="inlineStr">
        <is>
          <t>COMANDO DO EXERCITO</t>
        </is>
      </c>
      <c r="H28" t="inlineStr">
        <is>
          <t>Federal</t>
        </is>
      </c>
      <c r="I28" t="inlineStr">
        <is>
          <t>2025-11-18T07:01:46</t>
        </is>
      </c>
      <c r="J28" t="inlineStr">
        <is>
          <t>Pregão - Eletrônico</t>
        </is>
      </c>
      <c r="K28" t="inlineStr">
        <is>
          <t>Aquisição de Material de Manutenção e Reparação Predial de bens imóveis, hidráulica e alvenaria.</t>
        </is>
      </c>
      <c r="L28" t="b">
        <v>1</v>
      </c>
      <c r="M28" t="inlineStr">
        <is>
          <t>manutencao_predial</t>
        </is>
      </c>
      <c r="N28" t="inlineStr">
        <is>
          <t>manutencao_predial</t>
        </is>
      </c>
      <c r="O28" t="n">
        <v>2682099.4</v>
      </c>
      <c r="P28" t="n">
        <v>326089.72</v>
      </c>
      <c r="Q28" t="n">
        <v>334876.0000000001</v>
      </c>
      <c r="R28" t="n">
        <v>0.1527319963210263</v>
      </c>
      <c r="S28" t="n">
        <v>0</v>
      </c>
      <c r="T28" t="n">
        <v>210</v>
      </c>
      <c r="U28" t="n">
        <v>40</v>
      </c>
      <c r="V28" t="n">
        <v>152</v>
      </c>
      <c r="W28" t="n">
        <v>0</v>
      </c>
      <c r="X28" t="n">
        <v>58</v>
      </c>
      <c r="Y28" t="n">
        <v>0</v>
      </c>
      <c r="Z28" t="n">
        <v>1</v>
      </c>
      <c r="AA28" t="n">
        <v>0</v>
      </c>
      <c r="AB28" t="n">
        <v>1</v>
      </c>
      <c r="AC28" t="n">
        <v>0</v>
      </c>
      <c r="AD28" t="n">
        <v>0</v>
      </c>
      <c r="AE28" t="n">
        <v>13</v>
      </c>
      <c r="AF28" t="inlineStr">
        <is>
          <t>GALVAO MATERIAIS DE CONSTRUCAO LTDA:ME; N S C COMERCIO E SERVICOS LTDA:ME; EREMASTER DISTRIBUIDORA DE FERRAGENS E FERRAMENTAS LTDA:ME; CLASSE A MATERIAIS PARA CONSTRUCAO LTDA -:ME; A A COSTA CONSTRUCOES LTDA:ME; J. J. VITALLI:ME; VIDOR &amp; HEINECKE REPRESENTACOES COMERCIAIS LTDA:ME; R.A.C. CUNHA MATERIAIS P/ CONSTRUCAO LTDA:ME; GGV COMERCIAL LTDA:ME; AGRA COMERCIO DE FERRAMENTAS LTDA:ME; FERGAVI COMERCIAL LTDA:ME; BEST HYDRO COMERCIAL LTDA:ME; SOUL DISTRIBUIDORA DE PRODUTOS E EQUIPAMENTOS INDUSTRIAIS LTDA:ME</t>
        </is>
      </c>
      <c r="AH28" t="inlineStr">
        <is>
          <t>pontual</t>
        </is>
      </c>
      <c r="AJ28" t="n">
        <v>0</v>
      </c>
      <c r="AK28" t="n">
        <v>0</v>
      </c>
      <c r="AL28" t="n">
        <v>0</v>
      </c>
      <c r="AM28" t="n">
        <v>0</v>
      </c>
      <c r="AN28" t="n">
        <v>0</v>
      </c>
      <c r="AQ28" t="n">
        <v>1</v>
      </c>
      <c r="AR28" t="inlineStr">
        <is>
          <t>fornecimento_puro</t>
        </is>
      </c>
      <c r="AS28" t="inlineStr">
        <is>
          <t>210 item(ns), todos classificados como material (sem servico).</t>
        </is>
      </c>
      <c r="AT28" t="n">
        <v>1</v>
      </c>
      <c r="AU28" t="n">
        <v>0</v>
      </c>
    </row>
    <row r="29">
      <c r="A29" t="inlineStr">
        <is>
          <t>00394452000103_2025_23859</t>
        </is>
      </c>
      <c r="B29" s="2" t="inlineStr">
        <is>
          <t>https://pncp.gov.br/app/editais/00394452000103/2025/23859</t>
        </is>
      </c>
      <c r="C29" t="inlineStr">
        <is>
          <t>2026-09-27T04:56:50.111833+00:00</t>
        </is>
      </c>
      <c r="D29" t="inlineStr">
        <is>
          <t>DF</t>
        </is>
      </c>
      <c r="E29" t="inlineStr">
        <is>
          <t>vizinhos</t>
        </is>
      </c>
      <c r="F29" t="inlineStr">
        <is>
          <t>Brasília</t>
        </is>
      </c>
      <c r="G29" t="inlineStr">
        <is>
          <t>COMANDO DO EXERCITO</t>
        </is>
      </c>
      <c r="H29" t="inlineStr">
        <is>
          <t>Federal</t>
        </is>
      </c>
      <c r="I29" t="inlineStr">
        <is>
          <t>2025-12-01T07:10:53</t>
        </is>
      </c>
      <c r="J29" t="inlineStr">
        <is>
          <t>Pregão - Eletrônico</t>
        </is>
      </c>
      <c r="K29" t="inlineStr">
        <is>
          <t>Contratação p/ a prest de serv de manut predial, no Ed-Sede da FHE: a) serv contin de manut predial prev, corret e preditiva, com ded excl de mão de obra, forn de aparelhos, equip e ferram necessárias, e sem o forn de peça ou mat de reposição, nas inst elétricas, eletrônicas, hidrossanitárias e de combate a incêndio; b) serv eventuais, por demanda, de manut corret em motobombas, com forn de todo e qualquer insumo necessário; e c) serv eventuais, por dem, de iluminação natalina.</t>
        </is>
      </c>
      <c r="L29" t="b">
        <v>0</v>
      </c>
      <c r="M29" t="inlineStr">
        <is>
          <t>iluminacao_publica</t>
        </is>
      </c>
      <c r="N29" t="inlineStr">
        <is>
          <t>iluminacao_publica</t>
        </is>
      </c>
      <c r="O29" t="n">
        <v>0</v>
      </c>
      <c r="S29" t="n">
        <v>0</v>
      </c>
      <c r="T29" t="n">
        <v>1</v>
      </c>
      <c r="U29" t="n">
        <v>0</v>
      </c>
      <c r="V29" t="n">
        <v>0</v>
      </c>
      <c r="W29" t="n">
        <v>0</v>
      </c>
      <c r="X29" t="n">
        <v>0</v>
      </c>
      <c r="Y29" t="n">
        <v>1</v>
      </c>
      <c r="Z29" t="n">
        <v>0</v>
      </c>
      <c r="AA29" t="n">
        <v>0</v>
      </c>
      <c r="AB29" t="n">
        <v>0</v>
      </c>
      <c r="AC29" t="n">
        <v>0</v>
      </c>
      <c r="AD29" t="n">
        <v>0</v>
      </c>
      <c r="AE29" t="n">
        <v>0</v>
      </c>
      <c r="AF29" t="inlineStr"/>
      <c r="AH29" t="inlineStr">
        <is>
          <t>indefinido</t>
        </is>
      </c>
      <c r="AJ29" t="n">
        <v>0</v>
      </c>
      <c r="AK29" t="n">
        <v>0</v>
      </c>
      <c r="AL29" t="n">
        <v>0</v>
      </c>
      <c r="AM29" t="n">
        <v>0</v>
      </c>
      <c r="AN29" t="n">
        <v>0</v>
      </c>
      <c r="AQ29" t="n">
        <v>0</v>
      </c>
      <c r="AR29" t="inlineStr">
        <is>
          <t>mencao_passagem</t>
        </is>
      </c>
      <c r="AS29" t="inlineStr">
        <is>
          <t>Contrato de manutenção predial geral (Comando do Exército) com item eventual de 'iluminação natalina'; iluminação é item incidental de manutenção predial ampla, item cancelado sem valor.</t>
        </is>
      </c>
      <c r="AT29" t="n">
        <v>0</v>
      </c>
      <c r="AU29" t="n">
        <v>0</v>
      </c>
    </row>
    <row r="30">
      <c r="A30" t="inlineStr">
        <is>
          <t>00394452000103_2025_24023</t>
        </is>
      </c>
      <c r="B30" s="2" t="inlineStr">
        <is>
          <t>https://pncp.gov.br/app/editais/00394452000103/2025/24023</t>
        </is>
      </c>
      <c r="C30" t="inlineStr">
        <is>
          <t>2026-09-27T05:25:54.271948+00:00</t>
        </is>
      </c>
      <c r="D30" t="inlineStr">
        <is>
          <t>MS</t>
        </is>
      </c>
      <c r="E30" t="inlineStr">
        <is>
          <t>vizinhos</t>
        </is>
      </c>
      <c r="F30" t="inlineStr">
        <is>
          <t>Campo Grande</t>
        </is>
      </c>
      <c r="G30" t="inlineStr">
        <is>
          <t>COMANDO DO EXERCITO</t>
        </is>
      </c>
      <c r="H30" t="inlineStr">
        <is>
          <t>Federal</t>
        </is>
      </c>
      <c r="I30" t="inlineStr">
        <is>
          <t>2025-12-03T07:14:31</t>
        </is>
      </c>
      <c r="J30" t="inlineStr">
        <is>
          <t>Pregão - Eletrônico</t>
        </is>
      </c>
      <c r="K30" t="inlineStr">
        <is>
          <t>Aquisição de material de permanente permanente (ferramentas, informática, refrigeração, instrumentos musicais e empilhadeira) a fim de atender as demandas do 9° Batalhão de Suprimento</t>
        </is>
      </c>
      <c r="L30" t="b">
        <v>1</v>
      </c>
      <c r="M30" t="inlineStr">
        <is>
          <t>refrigeracao</t>
        </is>
      </c>
      <c r="N30" t="inlineStr">
        <is>
          <t>refrigeracao</t>
        </is>
      </c>
      <c r="O30" t="n">
        <v>1070048.51</v>
      </c>
      <c r="P30" t="n">
        <v>273911.72</v>
      </c>
      <c r="Q30" t="n">
        <v>368235.54</v>
      </c>
      <c r="R30" t="n">
        <v>0.2561507778418128</v>
      </c>
      <c r="S30" t="n">
        <v>0</v>
      </c>
      <c r="T30" t="n">
        <v>61</v>
      </c>
      <c r="U30" t="n">
        <v>40</v>
      </c>
      <c r="V30" t="n">
        <v>58</v>
      </c>
      <c r="W30" t="n">
        <v>0</v>
      </c>
      <c r="X30" t="n">
        <v>3</v>
      </c>
      <c r="Y30" t="n">
        <v>0</v>
      </c>
      <c r="Z30" t="n">
        <v>1</v>
      </c>
      <c r="AA30" t="n">
        <v>0</v>
      </c>
      <c r="AB30" t="n">
        <v>1</v>
      </c>
      <c r="AC30" t="n">
        <v>0</v>
      </c>
      <c r="AD30" t="n">
        <v>0</v>
      </c>
      <c r="AE30" t="n">
        <v>17</v>
      </c>
      <c r="AF30" t="inlineStr">
        <is>
          <t>FERGAVI COMERCIAL LTDA:ME; PERFECT COMERCIO DE MATERIAIS PARA CONSTRUCAO CIVIL E PRESTADORA DE SERVICOS LTD:ME; SOUL DISTRIBUIDORA DE PRODUTOS E EQUIPAMENTOS INDUSTRIAIS LTDA:ME; MLIVE COMERCIO E PROPAGANDA LTDA:ME; FERRAMENTAS E PNEUMATICOS 1001 LTDA:ME; DIOGO EMANUEL KUHN &amp; CIA. LTDA:ME; HEIBER COMERCIO ELETRONICO LTDA:ME; BRAXPARK MAQUINAS E EQUIPAMENTOS LTDA:ME; GGV COMERCIAL LTDA:ME; AIQ FERRAMENTAS E INSTRUMENTOS LTDA:ME; PROPAGA MULTIVENDAS E SERVICOS INTEGRADOS LTDA:ME; SANITOP COMERCIAL LTDA:ME; SJS EQUIPAMENTOS LTDA:ME; PACIFIC ELETRONIC LTDA:ME; ISALTEC COMERCIO DE INSTRUMENTOS DE MEDICAO LTDA:ME; CLAUDINEI TONIETTI:ME; AUDIOVISAO ELETRO E CENTRAL DE PRODUTOS LTDA:ME</t>
        </is>
      </c>
      <c r="AH30" t="inlineStr">
        <is>
          <t>pontual</t>
        </is>
      </c>
      <c r="AJ30" t="n">
        <v>0</v>
      </c>
      <c r="AK30" t="n">
        <v>0</v>
      </c>
      <c r="AL30" t="n">
        <v>0</v>
      </c>
      <c r="AM30" t="n">
        <v>0</v>
      </c>
      <c r="AN30" t="n">
        <v>0</v>
      </c>
      <c r="AQ30" t="n">
        <v>1</v>
      </c>
      <c r="AR30" t="inlineStr">
        <is>
          <t>fornecimento_puro</t>
        </is>
      </c>
      <c r="AS30" t="inlineStr">
        <is>
          <t>61 itens de material permanente diverso (ferramentas, informatica, refrigeracao, instrumentos musicais, empilhadeira) -- aquisicao pura e generica de bens, nao servico.</t>
        </is>
      </c>
      <c r="AT30" t="n">
        <v>0</v>
      </c>
      <c r="AU30" t="n">
        <v>0</v>
      </c>
    </row>
    <row r="31">
      <c r="A31" t="inlineStr">
        <is>
          <t>00394452000103_2026_12981</t>
        </is>
      </c>
      <c r="B31" s="2" t="inlineStr">
        <is>
          <t>https://pncp.gov.br/app/editais/00394452000103/2026/12981</t>
        </is>
      </c>
      <c r="C31" t="inlineStr">
        <is>
          <t>2026-09-27T04:53:39.836199+00:00</t>
        </is>
      </c>
      <c r="D31" t="inlineStr">
        <is>
          <t>DF</t>
        </is>
      </c>
      <c r="E31" t="inlineStr">
        <is>
          <t>vizinhos</t>
        </is>
      </c>
      <c r="F31" t="inlineStr">
        <is>
          <t>Brasília</t>
        </is>
      </c>
      <c r="G31" t="inlineStr">
        <is>
          <t>COMANDO DO EXERCITO</t>
        </is>
      </c>
      <c r="H31" t="inlineStr">
        <is>
          <t>Federal</t>
        </is>
      </c>
      <c r="I31" t="inlineStr">
        <is>
          <t>2026-07-09T04:00:25</t>
        </is>
      </c>
      <c r="J31" t="inlineStr">
        <is>
          <t>Pregão - Eletrônico</t>
        </is>
      </c>
      <c r="K31" t="inlineStr">
        <is>
          <t>Contratação de empresa especializada do ramo de engenharia, para a prestação de serviços de manutenção predial, de forma contínua, e eventual por demanda, no Edifício-Sede e nos Pontos de Atendimentos (PA) no Distrito Federal, da Fundação Habitacional do Exército - FHE.</t>
        </is>
      </c>
      <c r="L31" t="b">
        <v>0</v>
      </c>
      <c r="M31" t="inlineStr">
        <is>
          <t>manutencao_predial</t>
        </is>
      </c>
      <c r="N31" t="inlineStr">
        <is>
          <t>manutencao_predial</t>
        </is>
      </c>
      <c r="O31" t="n">
        <v>1047962.52</v>
      </c>
      <c r="P31" t="n">
        <v>924758.24</v>
      </c>
      <c r="Q31" t="n">
        <v>1047962.52</v>
      </c>
      <c r="R31" t="n">
        <v>0.1175655404164645</v>
      </c>
      <c r="S31" t="n">
        <v>0</v>
      </c>
      <c r="T31" t="n">
        <v>1</v>
      </c>
      <c r="U31" t="n">
        <v>1</v>
      </c>
      <c r="V31" t="n">
        <v>1</v>
      </c>
      <c r="W31" t="n">
        <v>0</v>
      </c>
      <c r="X31" t="n">
        <v>0</v>
      </c>
      <c r="Y31" t="n">
        <v>0</v>
      </c>
      <c r="Z31" t="n">
        <v>0</v>
      </c>
      <c r="AA31" t="n">
        <v>0</v>
      </c>
      <c r="AB31" t="n">
        <v>0</v>
      </c>
      <c r="AC31" t="n">
        <v>0</v>
      </c>
      <c r="AD31" t="n">
        <v>0</v>
      </c>
      <c r="AE31" t="n">
        <v>1</v>
      </c>
      <c r="AF31" t="inlineStr">
        <is>
          <t>ENGEPROM ENGENHARIA LTDA:Demais</t>
        </is>
      </c>
      <c r="AH31" t="inlineStr">
        <is>
          <t>pontual</t>
        </is>
      </c>
      <c r="AJ31" t="n">
        <v>0</v>
      </c>
      <c r="AK31" t="n">
        <v>0</v>
      </c>
      <c r="AL31" t="n">
        <v>0</v>
      </c>
      <c r="AM31" t="n">
        <v>0</v>
      </c>
      <c r="AN31" t="n">
        <v>0</v>
      </c>
      <c r="AQ31" t="n">
        <v>0</v>
      </c>
      <c r="AT31" t="n">
        <v>0</v>
      </c>
      <c r="AU31" t="n">
        <v>1</v>
      </c>
    </row>
    <row r="32">
      <c r="A32" t="inlineStr">
        <is>
          <t>00394452000103_2026_13259</t>
        </is>
      </c>
      <c r="B32" s="2" t="inlineStr">
        <is>
          <t>https://pncp.gov.br/app/editais/00394452000103/2026/13259</t>
        </is>
      </c>
      <c r="C32" t="inlineStr">
        <is>
          <t>2026-09-27T04:53:35.847865+00:00</t>
        </is>
      </c>
      <c r="D32" t="inlineStr">
        <is>
          <t>DF</t>
        </is>
      </c>
      <c r="E32" t="inlineStr">
        <is>
          <t>vizinhos</t>
        </is>
      </c>
      <c r="F32" t="inlineStr">
        <is>
          <t>Brasília</t>
        </is>
      </c>
      <c r="G32" t="inlineStr">
        <is>
          <t>COMANDO DO EXERCITO</t>
        </is>
      </c>
      <c r="H32" t="inlineStr">
        <is>
          <t>Federal</t>
        </is>
      </c>
      <c r="I32" t="inlineStr">
        <is>
          <t>2026-07-13T14:26:02</t>
        </is>
      </c>
      <c r="J32" t="inlineStr">
        <is>
          <t>Pregão - Eletrônico</t>
        </is>
      </c>
      <c r="K32" t="inlineStr">
        <is>
          <t>Aquisição de materiais de construção civil, de elétrico predial, de insumos para plataforma cremalheira, de combate a incêndio, para manutenção de equipamentos de refrigeração e de equipamentos/ferramentas para manutenção de viaturas, a fim de atender as demandas da Prefeitura Militar de Brasília.</t>
        </is>
      </c>
      <c r="L32" t="b">
        <v>1</v>
      </c>
      <c r="M32" t="inlineStr">
        <is>
          <t>refrigeracao</t>
        </is>
      </c>
      <c r="N32" t="inlineStr">
        <is>
          <t>refrigeracao</t>
        </is>
      </c>
      <c r="O32" t="n">
        <v>4365592.85</v>
      </c>
      <c r="P32" t="n">
        <v>1032549.57</v>
      </c>
      <c r="Q32" t="n">
        <v>1345405.96</v>
      </c>
      <c r="R32" t="n">
        <v>0.2325367950651862</v>
      </c>
      <c r="S32" t="n">
        <v>0</v>
      </c>
      <c r="T32" t="n">
        <v>87</v>
      </c>
      <c r="U32" t="n">
        <v>40</v>
      </c>
      <c r="V32" t="n">
        <v>81</v>
      </c>
      <c r="W32" t="n">
        <v>0</v>
      </c>
      <c r="X32" t="n">
        <v>6</v>
      </c>
      <c r="Y32" t="n">
        <v>0</v>
      </c>
      <c r="Z32" t="n">
        <v>1</v>
      </c>
      <c r="AA32" t="n">
        <v>0</v>
      </c>
      <c r="AB32" t="n">
        <v>1</v>
      </c>
      <c r="AC32" t="n">
        <v>0</v>
      </c>
      <c r="AD32" t="n">
        <v>0</v>
      </c>
      <c r="AE32" t="n">
        <v>11</v>
      </c>
      <c r="AF32" t="inlineStr">
        <is>
          <t>DRW COMERCIO LTDA:ME; MAX-FER TOOLS COMERCIAL LTDA:ME; F DE OLIVEIRA COMERCIO &amp; SERVICOS LTDA:ME; E ANTONINI COMERCIO E SERVICOS LTDA:ME; DOMINUS PRO COMERCIO DE PRODUTOS E SERVICOS LTDA:ME; GARDA COMERCIAL LTDA:ME; REFINAR EMPRESARIAL ASSESSORIA EM CONTROLES ADMINISTRATIVOS LTDA:ME; DUARTE MATERIAIS PARA CONSTRUCAO LTDA:ME; IFM SERVICOS LTDA:ME; DIPAR FERRAGENS LTDA:ME; MELO E SILVA MATERIAIS PARA CONSTRUCAO LTDA:ME</t>
        </is>
      </c>
      <c r="AH32" t="inlineStr">
        <is>
          <t>pontual</t>
        </is>
      </c>
      <c r="AJ32" t="n">
        <v>0</v>
      </c>
      <c r="AK32" t="n">
        <v>0</v>
      </c>
      <c r="AL32" t="n">
        <v>0</v>
      </c>
      <c r="AM32" t="n">
        <v>0</v>
      </c>
      <c r="AN32" t="n">
        <v>0</v>
      </c>
      <c r="AQ32" t="n">
        <v>1</v>
      </c>
      <c r="AR32" t="inlineStr">
        <is>
          <t>fornecimento_puro</t>
        </is>
      </c>
      <c r="AS32" t="inlineStr">
        <is>
          <t>87 itens, todos materiais de construcao civil/eletrica (abracadeira, grampo para cabo, chumbador, parafuso, broca) -- aquisicao pura de insumos, sem servico associado.</t>
        </is>
      </c>
      <c r="AT32" t="n">
        <v>1</v>
      </c>
      <c r="AU32" t="n">
        <v>0</v>
      </c>
    </row>
    <row r="33">
      <c r="A33" t="inlineStr">
        <is>
          <t>00394452000103_2026_14034</t>
        </is>
      </c>
      <c r="B33" s="2" t="inlineStr">
        <is>
          <t>https://pncp.gov.br/app/editais/00394452000103/2026/14034</t>
        </is>
      </c>
      <c r="C33" t="inlineStr">
        <is>
          <t>2026-09-27T05:55:00.635066+00:00</t>
        </is>
      </c>
      <c r="D33" t="inlineStr">
        <is>
          <t>MG</t>
        </is>
      </c>
      <c r="E33" t="inlineStr">
        <is>
          <t>vizinhos</t>
        </is>
      </c>
      <c r="F33" t="inlineStr">
        <is>
          <t>Belo Horizonte</t>
        </is>
      </c>
      <c r="G33" t="inlineStr">
        <is>
          <t>COMANDO DO EXERCITO</t>
        </is>
      </c>
      <c r="H33" t="inlineStr">
        <is>
          <t>Federal</t>
        </is>
      </c>
      <c r="I33" t="inlineStr">
        <is>
          <t>2026-07-21T04:00:14</t>
        </is>
      </c>
      <c r="J33" t="inlineStr">
        <is>
          <t>Pregão - Eletrônico</t>
        </is>
      </c>
      <c r="K33" t="inlineStr">
        <is>
          <t>Aquisição de materiais, insumos, alimentos e medicamentos para o efetivo animal do CPOR/CM-BH e Órgãos Participantes.</t>
        </is>
      </c>
      <c r="L33" t="b">
        <v>1</v>
      </c>
      <c r="M33" t="inlineStr">
        <is>
          <t>munck</t>
        </is>
      </c>
      <c r="N33" t="inlineStr">
        <is>
          <t>munck</t>
        </is>
      </c>
      <c r="O33" t="n">
        <v>2812372.8</v>
      </c>
      <c r="P33" t="n">
        <v>311872.7899999999</v>
      </c>
      <c r="Q33" t="n">
        <v>417758.3</v>
      </c>
      <c r="R33" t="n">
        <v>0.2534611759957851</v>
      </c>
      <c r="S33" t="n">
        <v>0</v>
      </c>
      <c r="T33" t="n">
        <v>201</v>
      </c>
      <c r="U33" t="n">
        <v>40</v>
      </c>
      <c r="V33" t="n">
        <v>104</v>
      </c>
      <c r="W33" t="n">
        <v>0</v>
      </c>
      <c r="X33" t="n">
        <v>94</v>
      </c>
      <c r="Y33" t="n">
        <v>3</v>
      </c>
      <c r="Z33" t="n">
        <v>1</v>
      </c>
      <c r="AA33" t="n">
        <v>0</v>
      </c>
      <c r="AB33" t="n">
        <v>1</v>
      </c>
      <c r="AC33" t="n">
        <v>0</v>
      </c>
      <c r="AD33" t="n">
        <v>0</v>
      </c>
      <c r="AE33" t="n">
        <v>14</v>
      </c>
      <c r="AF33" t="inlineStr">
        <is>
          <t>REAG-LAB COMERCIO DE PRODUTOS MEDICOS E HOSPITALARES LTDA:ME; 47.544.773 LAURO MARQUES DE LIMA:ME; DROGA MAIS VET DISTRIBUIDORA DE PRODUTOS VETERINARIOS LTDA:ME; TURVOVET PRODUTOS VETERINARIOS LTDA:ME; AGRO RIOS - PRODUTOS AGROPECUARIOS LTDA:ME; LE BUREAU - SOLUCOES EM ENGENHARIA LTDA:ME; APLICAPET 39724032 PRODUTOS E SERVICOS VETERINARIOS LTDA:ME; SELARIA FILIMAR LTDA:ME; ARTEFATOS JULIANE LTDA:ME; 63.816.832 MATHEUS KAYTHON DO CARMO:ME; JOSE DANTAS DINIZ FILHO:ME; 66.912.461 CLAUDIO GABRIEL PEREIRA DE MENEZES:ME; AGROBRAGA COMERCIO E SERVICOS LTDA:ME; SELARIA IRMAOS ANDRADE LTDA:ME</t>
        </is>
      </c>
      <c r="AH33" t="inlineStr">
        <is>
          <t>pontual</t>
        </is>
      </c>
      <c r="AJ33" t="n">
        <v>0</v>
      </c>
      <c r="AK33" t="n">
        <v>0</v>
      </c>
      <c r="AL33" t="n">
        <v>0</v>
      </c>
      <c r="AM33" t="n">
        <v>0</v>
      </c>
      <c r="AN33" t="n">
        <v>0</v>
      </c>
      <c r="AQ33" t="n">
        <v>1</v>
      </c>
      <c r="AR33" t="inlineStr">
        <is>
          <t>fora_escopo</t>
        </is>
      </c>
      <c r="AS33" t="inlineStr">
        <is>
          <t>Aquisição de materiais/insumos/alimentos/medicamentos veterinários para efetivo animal do Exército; falso positivo de indexação, sem relação com munck.</t>
        </is>
      </c>
      <c r="AT33" t="n">
        <v>0</v>
      </c>
      <c r="AU33" t="n">
        <v>0</v>
      </c>
    </row>
    <row r="34">
      <c r="A34" t="inlineStr">
        <is>
          <t>00394452000103_2026_15739</t>
        </is>
      </c>
      <c r="B34" s="2" t="inlineStr">
        <is>
          <t>https://pncp.gov.br/app/editais/00394452000103/2026/15739</t>
        </is>
      </c>
      <c r="C34" t="inlineStr">
        <is>
          <t>2026-09-27T02:30:10.168580+00:00</t>
        </is>
      </c>
      <c r="D34" t="inlineStr">
        <is>
          <t>GO</t>
        </is>
      </c>
      <c r="E34" t="inlineStr">
        <is>
          <t>GO</t>
        </is>
      </c>
      <c r="F34" t="inlineStr">
        <is>
          <t>Jataí</t>
        </is>
      </c>
      <c r="G34" t="inlineStr">
        <is>
          <t>COMANDO DO EXERCITO</t>
        </is>
      </c>
      <c r="H34" t="inlineStr">
        <is>
          <t>Federal</t>
        </is>
      </c>
      <c r="I34" t="inlineStr">
        <is>
          <t>2026-08-05T04:00:04</t>
        </is>
      </c>
      <c r="J34" t="inlineStr">
        <is>
          <t>Pregão - Eletrônico</t>
        </is>
      </c>
      <c r="K34" t="inlineStr">
        <is>
          <t>Contratação de serviços de instalação de ar condicionado e manutenção de máquinas e equipamentos.</t>
        </is>
      </c>
      <c r="L34" t="b">
        <v>1</v>
      </c>
      <c r="M34" t="inlineStr">
        <is>
          <t>climatizacao</t>
        </is>
      </c>
      <c r="N34" t="inlineStr">
        <is>
          <t>climatizacao</t>
        </is>
      </c>
      <c r="O34" t="n">
        <v>116783.28</v>
      </c>
      <c r="P34" t="n">
        <v>58382</v>
      </c>
      <c r="Q34" t="n">
        <v>116783.28</v>
      </c>
      <c r="R34" t="n">
        <v>0.5000825460631007</v>
      </c>
      <c r="S34" t="n">
        <v>0</v>
      </c>
      <c r="T34" t="n">
        <v>28</v>
      </c>
      <c r="U34" t="n">
        <v>28</v>
      </c>
      <c r="V34" t="n">
        <v>28</v>
      </c>
      <c r="W34" t="n">
        <v>0</v>
      </c>
      <c r="X34" t="n">
        <v>0</v>
      </c>
      <c r="Y34" t="n">
        <v>0</v>
      </c>
      <c r="Z34" t="n">
        <v>0</v>
      </c>
      <c r="AA34" t="n">
        <v>1</v>
      </c>
      <c r="AB34" t="n">
        <v>0</v>
      </c>
      <c r="AC34" t="n">
        <v>0</v>
      </c>
      <c r="AD34" t="n">
        <v>0</v>
      </c>
      <c r="AE34" t="n">
        <v>3</v>
      </c>
      <c r="AF34" t="inlineStr">
        <is>
          <t>45.248.096 BRUNO RODRIGUES SILVEIRA ALVES:ME; PALADINI &amp; PALADINI LTDA:ME; FERNANDO COMEL &amp; CIA LTDA:ME</t>
        </is>
      </c>
      <c r="AH34" t="inlineStr">
        <is>
          <t>pontual</t>
        </is>
      </c>
      <c r="AI34" t="n">
        <v>12</v>
      </c>
      <c r="AJ34" t="n">
        <v>0</v>
      </c>
      <c r="AK34" t="n">
        <v>0</v>
      </c>
      <c r="AL34" t="n">
        <v>0</v>
      </c>
      <c r="AM34" t="n">
        <v>1</v>
      </c>
      <c r="AN34" t="n">
        <v>0</v>
      </c>
      <c r="AQ34" t="n">
        <v>0</v>
      </c>
      <c r="AS34" t="inlineStr">
        <is>
          <t>heuristica automatica confirmada: servico real de climatizacao, sem sinais de exclusao.</t>
        </is>
      </c>
      <c r="AT34" t="n">
        <v>0</v>
      </c>
      <c r="AU34" t="n">
        <v>1</v>
      </c>
    </row>
    <row r="35">
      <c r="A35" t="inlineStr">
        <is>
          <t>00394494000136_2026_812</t>
        </is>
      </c>
      <c r="B35" s="2" t="inlineStr">
        <is>
          <t>https://pncp.gov.br/app/editais/00394494000136/2026/812</t>
        </is>
      </c>
      <c r="C35" t="inlineStr">
        <is>
          <t>2026-09-27T04:52:46.894571+00:00</t>
        </is>
      </c>
      <c r="D35" t="inlineStr">
        <is>
          <t>DF</t>
        </is>
      </c>
      <c r="E35" t="inlineStr">
        <is>
          <t>vizinhos</t>
        </is>
      </c>
      <c r="F35" t="inlineStr">
        <is>
          <t>Brasília</t>
        </is>
      </c>
      <c r="G35" t="inlineStr">
        <is>
          <t>MINISTERIO DA JUSTICA E SEGURANCA PUBLICA</t>
        </is>
      </c>
      <c r="H35" t="inlineStr">
        <is>
          <t>Federal</t>
        </is>
      </c>
      <c r="I35" t="inlineStr">
        <is>
          <t>2026-08-04T04:03:07</t>
        </is>
      </c>
      <c r="J35" t="inlineStr">
        <is>
          <t>Pregão - Eletrônico</t>
        </is>
      </c>
      <c r="K35" t="inlineStr">
        <is>
          <t xml:space="preserve">Manutenção predial corretiva e preventiva para o edifício sede da Secretaria Nacional de Políticas Penais (SENAPPEN), situado no SCN Q. 4 - Bl. A, Ed. MultiBrasil, Torre "A" - Asa Norte, Brasília/DF.
</t>
        </is>
      </c>
      <c r="L35" t="b">
        <v>0</v>
      </c>
      <c r="M35" t="inlineStr">
        <is>
          <t>manutencao_predial</t>
        </is>
      </c>
      <c r="N35" t="inlineStr">
        <is>
          <t>manutencao_predial</t>
        </is>
      </c>
      <c r="O35" t="n">
        <v>2109078</v>
      </c>
      <c r="P35" t="n">
        <v>1686207.861</v>
      </c>
      <c r="Q35" t="n">
        <v>2109078</v>
      </c>
      <c r="R35" t="n">
        <v>0.2005</v>
      </c>
      <c r="S35" t="n">
        <v>0</v>
      </c>
      <c r="T35" t="n">
        <v>1</v>
      </c>
      <c r="U35" t="n">
        <v>1</v>
      </c>
      <c r="V35" t="n">
        <v>1</v>
      </c>
      <c r="W35" t="n">
        <v>0</v>
      </c>
      <c r="X35" t="n">
        <v>0</v>
      </c>
      <c r="Y35" t="n">
        <v>0</v>
      </c>
      <c r="Z35" t="n">
        <v>0</v>
      </c>
      <c r="AA35" t="n">
        <v>0</v>
      </c>
      <c r="AB35" t="n">
        <v>0</v>
      </c>
      <c r="AC35" t="n">
        <v>0</v>
      </c>
      <c r="AD35" t="n">
        <v>0</v>
      </c>
      <c r="AE35" t="n">
        <v>1</v>
      </c>
      <c r="AF35" t="inlineStr">
        <is>
          <t>DASK EMPREENDIMENTOS LTDA:ME</t>
        </is>
      </c>
      <c r="AH35" t="inlineStr">
        <is>
          <t>indefinido</t>
        </is>
      </c>
      <c r="AJ35" t="n">
        <v>0</v>
      </c>
      <c r="AK35" t="n">
        <v>0</v>
      </c>
      <c r="AL35" t="n">
        <v>0</v>
      </c>
      <c r="AM35" t="n">
        <v>0</v>
      </c>
      <c r="AN35" t="n">
        <v>0</v>
      </c>
      <c r="AQ35" t="n">
        <v>0</v>
      </c>
      <c r="AT35" t="n">
        <v>0</v>
      </c>
      <c r="AU35" t="n">
        <v>1</v>
      </c>
    </row>
    <row r="36">
      <c r="A36" t="inlineStr">
        <is>
          <t>00394494010441_2026_523</t>
        </is>
      </c>
      <c r="B36" s="2" t="inlineStr">
        <is>
          <t>https://pncp.gov.br/app/editais/00394494010441/2026/523</t>
        </is>
      </c>
      <c r="C36" t="inlineStr">
        <is>
          <t>2026-09-27T04:56:29.025892+00:00</t>
        </is>
      </c>
      <c r="D36" t="inlineStr">
        <is>
          <t>DF</t>
        </is>
      </c>
      <c r="E36" t="inlineStr">
        <is>
          <t>vizinhos</t>
        </is>
      </c>
      <c r="F36" t="inlineStr">
        <is>
          <t>Brasília</t>
        </is>
      </c>
      <c r="G36" t="inlineStr">
        <is>
          <t>MINISTERIO DA JUSTICA E SEGURANCA PUBLICA</t>
        </is>
      </c>
      <c r="H36" t="inlineStr">
        <is>
          <t>Federal</t>
        </is>
      </c>
      <c r="I36" t="inlineStr">
        <is>
          <t>2026-07-13T04:00:02</t>
        </is>
      </c>
      <c r="J36" t="inlineStr">
        <is>
          <t>Pregão - Eletrônico</t>
        </is>
      </c>
      <c r="K36" t="inlineStr">
        <is>
          <t>Registro de preços para eventual e futura aquisição de radar portátil móvel, iluminador e tripé, em grupo único, conforme condições, quantidades e exigências estabelecidas no Edital e seus anexos</t>
        </is>
      </c>
      <c r="L36" t="b">
        <v>1</v>
      </c>
      <c r="M36" t="inlineStr">
        <is>
          <t>iluminacao_publica</t>
        </is>
      </c>
      <c r="N36" t="inlineStr">
        <is>
          <t>iluminacao_publica</t>
        </is>
      </c>
      <c r="O36" t="n">
        <v>55121114</v>
      </c>
      <c r="P36" t="n">
        <v>54951360</v>
      </c>
      <c r="Q36" t="n">
        <v>55121114</v>
      </c>
      <c r="R36" t="n">
        <v>0.003079654739924145</v>
      </c>
      <c r="S36" t="n">
        <v>0</v>
      </c>
      <c r="T36" t="n">
        <v>3</v>
      </c>
      <c r="U36" t="n">
        <v>3</v>
      </c>
      <c r="V36" t="n">
        <v>3</v>
      </c>
      <c r="W36" t="n">
        <v>0</v>
      </c>
      <c r="X36" t="n">
        <v>0</v>
      </c>
      <c r="Y36" t="n">
        <v>0</v>
      </c>
      <c r="Z36" t="n">
        <v>0</v>
      </c>
      <c r="AA36" t="n">
        <v>0</v>
      </c>
      <c r="AB36" t="n">
        <v>0</v>
      </c>
      <c r="AC36" t="n">
        <v>0</v>
      </c>
      <c r="AD36" t="n">
        <v>0</v>
      </c>
      <c r="AE36" t="n">
        <v>1</v>
      </c>
      <c r="AF36" t="inlineStr">
        <is>
          <t>LT COMERCIAL LTDA:Demais</t>
        </is>
      </c>
      <c r="AH36" t="inlineStr">
        <is>
          <t>pontual</t>
        </is>
      </c>
      <c r="AJ36" t="n">
        <v>0</v>
      </c>
      <c r="AK36" t="n">
        <v>0</v>
      </c>
      <c r="AL36" t="n">
        <v>0</v>
      </c>
      <c r="AM36" t="n">
        <v>0</v>
      </c>
      <c r="AN36" t="n">
        <v>0</v>
      </c>
      <c r="AQ36" t="n">
        <v>1</v>
      </c>
      <c r="AR36" t="inlineStr">
        <is>
          <t>mencao_passagem</t>
        </is>
      </c>
      <c r="AS36" t="inlineStr">
        <is>
          <t>Aquisição de radar portátil, iluminador e tripé (equipamento de fiscalização); falso positivo de palavra-chave, não é IP.</t>
        </is>
      </c>
      <c r="AT36" t="n">
        <v>0</v>
      </c>
      <c r="AU36" t="n">
        <v>0</v>
      </c>
    </row>
    <row r="37">
      <c r="A37" t="inlineStr">
        <is>
          <t>00394502000144_2026_7871</t>
        </is>
      </c>
      <c r="B37" s="2" t="inlineStr">
        <is>
          <t>https://pncp.gov.br/app/editais/00394502000144/2026/7871</t>
        </is>
      </c>
      <c r="C37" t="inlineStr">
        <is>
          <t>2026-09-27T04:56:23.197638+00:00</t>
        </is>
      </c>
      <c r="D37" t="inlineStr">
        <is>
          <t>DF</t>
        </is>
      </c>
      <c r="E37" t="inlineStr">
        <is>
          <t>vizinhos</t>
        </is>
      </c>
      <c r="F37" t="inlineStr">
        <is>
          <t>Brasília</t>
        </is>
      </c>
      <c r="G37" t="inlineStr">
        <is>
          <t>COMANDO DA MARINHA</t>
        </is>
      </c>
      <c r="H37" t="inlineStr">
        <is>
          <t>Federal</t>
        </is>
      </c>
      <c r="I37" t="inlineStr">
        <is>
          <t>2026-07-15T04:00:09</t>
        </is>
      </c>
      <c r="J37" t="inlineStr">
        <is>
          <t>Pregão - Eletrônico</t>
        </is>
      </c>
      <c r="K37" t="inlineStr">
        <is>
          <t>Contratação de serviços de engenharia para elaboração de projeto executivo, execução da modernização e prestação de manutenção integral de 12 (doze) elevadores elétricos, instalados em edifícios de Próprios Nacionais Residenciais, localizados nos Blocos "C" e "G" da SQS 202, em Brasília / DF.</t>
        </is>
      </c>
      <c r="L37" t="b">
        <v>0</v>
      </c>
      <c r="M37" t="inlineStr">
        <is>
          <t>eletrica_predial</t>
        </is>
      </c>
      <c r="N37" t="inlineStr">
        <is>
          <t>eletrica_predial</t>
        </is>
      </c>
      <c r="O37" t="n">
        <v>3340839.4</v>
      </c>
      <c r="P37" t="n">
        <v>2895817.92</v>
      </c>
      <c r="Q37" t="n">
        <v>3340839.4</v>
      </c>
      <c r="R37" t="n">
        <v>0.1332064869685146</v>
      </c>
      <c r="S37" t="n">
        <v>0</v>
      </c>
      <c r="T37" t="n">
        <v>1</v>
      </c>
      <c r="U37" t="n">
        <v>1</v>
      </c>
      <c r="V37" t="n">
        <v>1</v>
      </c>
      <c r="W37" t="n">
        <v>0</v>
      </c>
      <c r="X37" t="n">
        <v>0</v>
      </c>
      <c r="Y37" t="n">
        <v>0</v>
      </c>
      <c r="Z37" t="n">
        <v>0</v>
      </c>
      <c r="AA37" t="n">
        <v>0</v>
      </c>
      <c r="AB37" t="n">
        <v>0</v>
      </c>
      <c r="AC37" t="n">
        <v>0</v>
      </c>
      <c r="AD37" t="n">
        <v>0</v>
      </c>
      <c r="AE37" t="n">
        <v>1</v>
      </c>
      <c r="AF37" t="inlineStr">
        <is>
          <t>ONE ELEVADORES DF LTDA.:Demais</t>
        </is>
      </c>
      <c r="AH37" t="inlineStr">
        <is>
          <t>indefinido</t>
        </is>
      </c>
      <c r="AJ37" t="n">
        <v>0</v>
      </c>
      <c r="AK37" t="n">
        <v>0</v>
      </c>
      <c r="AL37" t="n">
        <v>0</v>
      </c>
      <c r="AM37" t="n">
        <v>0</v>
      </c>
      <c r="AN37" t="n">
        <v>0</v>
      </c>
      <c r="AQ37" t="n">
        <v>0</v>
      </c>
      <c r="AR37" t="inlineStr">
        <is>
          <t>fora_de_escopo</t>
        </is>
      </c>
      <c r="AS37" t="inlineStr">
        <is>
          <t>Manutencao de 12 elevadores eletricos e nicho tecnico distinto (regulado por norma propria de elevadores), fora do escopo de eletrica predial/SPDA/subestacao e da capacidade tipica da empresa.</t>
        </is>
      </c>
      <c r="AT37" t="n">
        <v>0</v>
      </c>
      <c r="AU37" t="n">
        <v>0</v>
      </c>
    </row>
    <row r="38">
      <c r="A38" t="inlineStr">
        <is>
          <t>00394544000185_2026_1654</t>
        </is>
      </c>
      <c r="B38" s="2" t="inlineStr">
        <is>
          <t>https://pncp.gov.br/app/editais/00394544000185/2026/1654</t>
        </is>
      </c>
      <c r="C38" t="inlineStr">
        <is>
          <t>2026-09-27T05:20:06.887174+00:00</t>
        </is>
      </c>
      <c r="D38" t="inlineStr">
        <is>
          <t>MS</t>
        </is>
      </c>
      <c r="E38" t="inlineStr">
        <is>
          <t>vizinhos</t>
        </is>
      </c>
      <c r="F38" t="inlineStr">
        <is>
          <t>Campo Grande</t>
        </is>
      </c>
      <c r="G38" t="inlineStr">
        <is>
          <t>MINISTERIO DA SAUDE</t>
        </is>
      </c>
      <c r="H38" t="inlineStr">
        <is>
          <t>Federal</t>
        </is>
      </c>
      <c r="I38" t="inlineStr">
        <is>
          <t>2026-08-12T04:00:14</t>
        </is>
      </c>
      <c r="J38" t="inlineStr">
        <is>
          <t>Pregão - Eletrônico</t>
        </is>
      </c>
      <c r="K38" t="inlineStr">
        <is>
          <t>Aquisição de materiais elétricos para as manutenções realizadas em quadros de comando e edificações das aldeias, pertencentes às áreas de abrangência do Distrito Sanitário Especial Indígena Mato Grosso do Sul - DSEI/MS.</t>
        </is>
      </c>
      <c r="L38" t="b">
        <v>1</v>
      </c>
      <c r="M38" t="inlineStr">
        <is>
          <t>eletrica_predial</t>
        </is>
      </c>
      <c r="N38" t="inlineStr">
        <is>
          <t>eletrica_predial</t>
        </is>
      </c>
      <c r="O38" t="n">
        <v>998667.75</v>
      </c>
      <c r="P38" t="n">
        <v>201161.348</v>
      </c>
      <c r="Q38" t="n">
        <v>324019.1000000001</v>
      </c>
      <c r="R38" t="n">
        <v>0.379168240390767</v>
      </c>
      <c r="S38" t="n">
        <v>0</v>
      </c>
      <c r="T38" t="n">
        <v>67</v>
      </c>
      <c r="U38" t="n">
        <v>40</v>
      </c>
      <c r="V38" t="n">
        <v>66</v>
      </c>
      <c r="W38" t="n">
        <v>0</v>
      </c>
      <c r="X38" t="n">
        <v>1</v>
      </c>
      <c r="Y38" t="n">
        <v>0</v>
      </c>
      <c r="Z38" t="n">
        <v>1</v>
      </c>
      <c r="AA38" t="n">
        <v>0</v>
      </c>
      <c r="AB38" t="n">
        <v>1</v>
      </c>
      <c r="AC38" t="n">
        <v>0</v>
      </c>
      <c r="AD38" t="n">
        <v>0</v>
      </c>
      <c r="AE38" t="n">
        <v>10</v>
      </c>
      <c r="AF38" t="inlineStr">
        <is>
          <t>VM COMERCIO E IMPORTACAO LTDA:ME; SOUZA ALVES &amp; CIA LTDA:ME; FERNANDES PROFETA ATACADISTA LTDA:ME; RRW LICITA LTDA:ME; D33D COMERCIO LTDA:ME; CBX COMERCIAL IMPORTADORA LTDA:ME; GR COMERCIO LTDA:ME; MRJ MATERIAIS E SERVICOS ELETRICOS LTDA:ME; UP CENTER COMERCIO DE UTILIDADES LTDA:ME; N DE SOUZA AUTOMACOES:ME</t>
        </is>
      </c>
      <c r="AH38" t="inlineStr">
        <is>
          <t>pontual</t>
        </is>
      </c>
      <c r="AJ38" t="n">
        <v>0</v>
      </c>
      <c r="AK38" t="n">
        <v>0</v>
      </c>
      <c r="AL38" t="n">
        <v>0</v>
      </c>
      <c r="AM38" t="n">
        <v>0</v>
      </c>
      <c r="AN38" t="n">
        <v>0</v>
      </c>
      <c r="AQ38" t="n">
        <v>1</v>
      </c>
      <c r="AR38" t="inlineStr">
        <is>
          <t>fornecimento_puro</t>
        </is>
      </c>
      <c r="AS38" t="inlineStr">
        <is>
          <t>Confirmada exclusao automatica (fornecimento_puro): 67 item(ns), todos classificados como material (sem servico).</t>
        </is>
      </c>
      <c r="AT38" t="n">
        <v>1</v>
      </c>
      <c r="AU38" t="n">
        <v>0</v>
      </c>
    </row>
    <row r="39">
      <c r="A39" t="inlineStr">
        <is>
          <t>00394684000153_2026_104</t>
        </is>
      </c>
      <c r="B39" s="2" t="inlineStr">
        <is>
          <t>https://pncp.gov.br/app/editais/00394684000153/2026/104</t>
        </is>
      </c>
      <c r="C39" t="inlineStr">
        <is>
          <t>2026-09-27T04:56:19.033695+00:00</t>
        </is>
      </c>
      <c r="D39" t="inlineStr">
        <is>
          <t>DF</t>
        </is>
      </c>
      <c r="E39" t="inlineStr">
        <is>
          <t>vizinhos</t>
        </is>
      </c>
      <c r="F39" t="inlineStr">
        <is>
          <t>Brasília</t>
        </is>
      </c>
      <c r="G39" t="inlineStr">
        <is>
          <t>SECRETARIA DE ESTADO DE ECONOMIA DO DISTRITO FEDERAL</t>
        </is>
      </c>
      <c r="H39" t="inlineStr">
        <is>
          <t>Distrital</t>
        </is>
      </c>
      <c r="I39" t="inlineStr">
        <is>
          <t>2026-07-17T07:00:49</t>
        </is>
      </c>
      <c r="J39" t="inlineStr">
        <is>
          <t>Pregão - Eletrônico</t>
        </is>
      </c>
      <c r="K39" t="inlineStr">
        <is>
          <t>Pregão eletrônico, na modalidade Registro de Preços, destinado a aquisição de materiais de consumo, compreendendo materiais diversos utilizados em serviços de serralheria, pintura, hidráulica, acabamentos, pisos, instalações elétricas e alvenaria, destinados à manutenção das atividades desenvolvidas nas Oficinas de Serralheria, Alvenaria e Pintura da Fundação de Amparo ao Trabalhador Preso do Distrito Federal – FUNAP/DF.</t>
        </is>
      </c>
      <c r="L39" t="b">
        <v>1</v>
      </c>
      <c r="M39" t="inlineStr">
        <is>
          <t>eletrica_predial</t>
        </is>
      </c>
      <c r="N39" t="inlineStr">
        <is>
          <t>eletrica_predial</t>
        </is>
      </c>
      <c r="O39" t="n">
        <v>559807.17</v>
      </c>
      <c r="P39" t="n">
        <v>328939.3</v>
      </c>
      <c r="Q39" t="n">
        <v>434279.86</v>
      </c>
      <c r="R39" t="n">
        <v>0.2425637698234498</v>
      </c>
      <c r="S39" t="n">
        <v>0</v>
      </c>
      <c r="T39" t="n">
        <v>88</v>
      </c>
      <c r="U39" t="n">
        <v>40</v>
      </c>
      <c r="V39" t="n">
        <v>88</v>
      </c>
      <c r="W39" t="n">
        <v>0</v>
      </c>
      <c r="X39" t="n">
        <v>0</v>
      </c>
      <c r="Y39" t="n">
        <v>0</v>
      </c>
      <c r="Z39" t="n">
        <v>0</v>
      </c>
      <c r="AA39" t="n">
        <v>0</v>
      </c>
      <c r="AB39" t="n">
        <v>1</v>
      </c>
      <c r="AC39" t="n">
        <v>0</v>
      </c>
      <c r="AD39" t="n">
        <v>0</v>
      </c>
      <c r="AE39" t="n">
        <v>8</v>
      </c>
      <c r="AF39" t="inlineStr">
        <is>
          <t>MGE ADVENTURY LTDA:ME; SANDU COMERCIO E DISTRIBUICAO DE PRODUTOS LTDA:ME; ATRIUM INDUSTRIA E COMERCIO DE FERRAGENS LTDA:ME; ING - DISTRIBUICAO LTDA:ME; DIPAR FERRAGENS LTDA:ME; DF MAQUINAS E FERRAMENTAS LTDA:ME; HANDOUR COMERCIAL E VAREJO LTDA:ME; MARMORARIA PEDRA BONITA LTDA:ME</t>
        </is>
      </c>
      <c r="AH39" t="inlineStr">
        <is>
          <t>pontual</t>
        </is>
      </c>
      <c r="AJ39" t="n">
        <v>0</v>
      </c>
      <c r="AK39" t="n">
        <v>0</v>
      </c>
      <c r="AL39" t="n">
        <v>0</v>
      </c>
      <c r="AM39" t="n">
        <v>0</v>
      </c>
      <c r="AN39" t="n">
        <v>0</v>
      </c>
      <c r="AQ39" t="n">
        <v>1</v>
      </c>
      <c r="AR39" t="inlineStr">
        <is>
          <t>fornecimento_puro</t>
        </is>
      </c>
      <c r="AS39" t="inlineStr">
        <is>
          <t>Confirmada exclusao automatica (fornecimento_puro): 88 item(ns), todos classificados como material (sem servico).</t>
        </is>
      </c>
      <c r="AT39" t="n">
        <v>1</v>
      </c>
      <c r="AU39" t="n">
        <v>0</v>
      </c>
    </row>
    <row r="40">
      <c r="A40" t="inlineStr">
        <is>
          <t>00394684000153_2026_113</t>
        </is>
      </c>
      <c r="B40" s="2" t="inlineStr">
        <is>
          <t>https://pncp.gov.br/app/editais/00394684000153/2026/113</t>
        </is>
      </c>
      <c r="C40" t="inlineStr">
        <is>
          <t>2026-09-27T04:55:36.033376+00:00</t>
        </is>
      </c>
      <c r="D40" t="inlineStr">
        <is>
          <t>DF</t>
        </is>
      </c>
      <c r="E40" t="inlineStr">
        <is>
          <t>vizinhos</t>
        </is>
      </c>
      <c r="F40" t="inlineStr">
        <is>
          <t>Brasília</t>
        </is>
      </c>
      <c r="G40" t="inlineStr">
        <is>
          <t>SECRETARIA DE ESTADO DE ECONOMIA DO DISTRITO FEDERAL</t>
        </is>
      </c>
      <c r="H40" t="inlineStr">
        <is>
          <t>Distrital</t>
        </is>
      </c>
      <c r="I40" t="inlineStr">
        <is>
          <t>2026-08-03T15:33:51</t>
        </is>
      </c>
      <c r="J40" t="inlineStr">
        <is>
          <t>Pregão - Eletrônico</t>
        </is>
      </c>
      <c r="K40" t="inlineStr">
        <is>
          <t>Registro de Preços a fim de possibilitar a futura aquisição de material elétrico e eletrônico (cabo elétrico, disjuntor, interruptor, tomada, soquete, dentre outros similares), para atender às necessidades dos diversos órgãos e entidades que compõem a estrutura administrativa do Distrito Federal, conforme especificações e condições estabelecidas no termo de referência constante do Anexo I do Edital.</t>
        </is>
      </c>
      <c r="L40" t="b">
        <v>1</v>
      </c>
      <c r="M40" t="inlineStr">
        <is>
          <t>eletrica_predial</t>
        </is>
      </c>
      <c r="N40" t="inlineStr">
        <is>
          <t>eletrica_predial</t>
        </is>
      </c>
      <c r="O40" t="n">
        <v>5477834</v>
      </c>
      <c r="P40" t="n">
        <v>3517664.84</v>
      </c>
      <c r="Q40" t="n">
        <v>3654773.79</v>
      </c>
      <c r="R40" t="n">
        <v>0.03751503044460653</v>
      </c>
      <c r="S40" t="n">
        <v>0</v>
      </c>
      <c r="T40" t="n">
        <v>96</v>
      </c>
      <c r="U40" t="n">
        <v>40</v>
      </c>
      <c r="V40" t="n">
        <v>72</v>
      </c>
      <c r="W40" t="n">
        <v>0</v>
      </c>
      <c r="X40" t="n">
        <v>24</v>
      </c>
      <c r="Y40" t="n">
        <v>0</v>
      </c>
      <c r="Z40" t="n">
        <v>1</v>
      </c>
      <c r="AA40" t="n">
        <v>0</v>
      </c>
      <c r="AB40" t="n">
        <v>1</v>
      </c>
      <c r="AC40" t="n">
        <v>0</v>
      </c>
      <c r="AD40" t="n">
        <v>0</v>
      </c>
      <c r="AE40" t="n">
        <v>1</v>
      </c>
      <c r="AF40" t="inlineStr">
        <is>
          <t>SUNLED INDUSTRIA E COMERCIO DE MATERIAIS ELETRICOS LTDA:ME</t>
        </is>
      </c>
      <c r="AH40" t="inlineStr">
        <is>
          <t>pontual</t>
        </is>
      </c>
      <c r="AJ40" t="n">
        <v>0</v>
      </c>
      <c r="AK40" t="n">
        <v>0</v>
      </c>
      <c r="AL40" t="n">
        <v>0</v>
      </c>
      <c r="AM40" t="n">
        <v>0</v>
      </c>
      <c r="AN40" t="n">
        <v>0</v>
      </c>
      <c r="AQ40" t="n">
        <v>1</v>
      </c>
      <c r="AR40" t="inlineStr">
        <is>
          <t>fornecimento_puro</t>
        </is>
      </c>
      <c r="AS40" t="inlineStr">
        <is>
          <t>Confirmada exclusao automatica (fornecimento_puro): 96 item(ns), todos classificados como material (sem servico).</t>
        </is>
      </c>
      <c r="AT40" t="n">
        <v>0</v>
      </c>
      <c r="AU40" t="n">
        <v>0</v>
      </c>
    </row>
    <row r="41">
      <c r="A41" t="inlineStr">
        <is>
          <t>00394684000153_2026_49</t>
        </is>
      </c>
      <c r="B41" s="2" t="inlineStr">
        <is>
          <t>https://pncp.gov.br/app/editais/00394684000153/2026/49</t>
        </is>
      </c>
      <c r="C41" t="inlineStr">
        <is>
          <t>2026-09-27T04:53:59.896826+00:00</t>
        </is>
      </c>
      <c r="D41" t="inlineStr">
        <is>
          <t>DF</t>
        </is>
      </c>
      <c r="E41" t="inlineStr">
        <is>
          <t>vizinhos</t>
        </is>
      </c>
      <c r="F41" t="inlineStr">
        <is>
          <t>Brasília</t>
        </is>
      </c>
      <c r="G41" t="inlineStr">
        <is>
          <t>SECRETARIA DE ESTADO DE ECONOMIA DO DISTRITO FEDERAL</t>
        </is>
      </c>
      <c r="H41" t="inlineStr">
        <is>
          <t>Distrital</t>
        </is>
      </c>
      <c r="I41" t="inlineStr">
        <is>
          <t>2026-04-15T07:10:38</t>
        </is>
      </c>
      <c r="J41" t="inlineStr">
        <is>
          <t>Pregão - Eletrônico</t>
        </is>
      </c>
      <c r="K41" t="inlineStr">
        <is>
          <t>Registro de Preços, a fim de possibilitar a futura contratação de empresa especializada na prestação de serviços de manutenção preventiva e corretiva de bebedouros e purificadores de água, que se encontram fora do prazo de garantia, incluindo peças, acessórios e componentes, visando atender às necessidades dos diversos órgãos e das entidades que integram a estrutura  administrativa do Distrito Federal.</t>
        </is>
      </c>
      <c r="L41" t="b">
        <v>1</v>
      </c>
      <c r="M41" t="inlineStr">
        <is>
          <t>refrigeracao</t>
        </is>
      </c>
      <c r="N41" t="inlineStr">
        <is>
          <t>refrigeracao</t>
        </is>
      </c>
      <c r="O41" t="n">
        <v>1934898.84</v>
      </c>
      <c r="P41" t="n">
        <v>1237566.65</v>
      </c>
      <c r="Q41" t="n">
        <v>1934898.84</v>
      </c>
      <c r="R41" t="n">
        <v>0.4850438227561292</v>
      </c>
      <c r="S41" t="n">
        <v>0</v>
      </c>
      <c r="T41" t="n">
        <v>2</v>
      </c>
      <c r="U41" t="n">
        <v>2</v>
      </c>
      <c r="V41" t="n">
        <v>2</v>
      </c>
      <c r="W41" t="n">
        <v>0</v>
      </c>
      <c r="X41" t="n">
        <v>0</v>
      </c>
      <c r="Y41" t="n">
        <v>0</v>
      </c>
      <c r="Z41" t="n">
        <v>0</v>
      </c>
      <c r="AA41" t="n">
        <v>0</v>
      </c>
      <c r="AB41" t="n">
        <v>0</v>
      </c>
      <c r="AC41" t="n">
        <v>0</v>
      </c>
      <c r="AD41" t="n">
        <v>0</v>
      </c>
      <c r="AE41" t="n">
        <v>2</v>
      </c>
      <c r="AF41" t="inlineStr">
        <is>
          <t>M C R COMERCIO REPRESENTACOES E SERVICOS LTDA:ME; MEDIC VITALL COMERCIO E SERVICOS HOSPITALARES LTDA:ME</t>
        </is>
      </c>
      <c r="AH41" t="inlineStr">
        <is>
          <t>indefinido</t>
        </is>
      </c>
      <c r="AJ41" t="n">
        <v>0</v>
      </c>
      <c r="AK41" t="n">
        <v>0</v>
      </c>
      <c r="AL41" t="n">
        <v>0</v>
      </c>
      <c r="AM41" t="n">
        <v>0</v>
      </c>
      <c r="AN41" t="n">
        <v>0</v>
      </c>
      <c r="AQ41" t="n">
        <v>0</v>
      </c>
      <c r="AS41" t="inlineStr">
        <is>
          <t>100% do valor em bebedouros e purificadores de agua -- nucleo claro de refrigeracao comercial (SRP).</t>
        </is>
      </c>
      <c r="AT41" t="n">
        <v>0</v>
      </c>
      <c r="AU41" t="n">
        <v>1</v>
      </c>
    </row>
    <row r="42">
      <c r="A42" t="inlineStr">
        <is>
          <t>00396895000125_2025_576</t>
        </is>
      </c>
      <c r="B42" s="2" t="inlineStr">
        <is>
          <t>https://pncp.gov.br/app/editais/00396895000125/2025/576</t>
        </is>
      </c>
      <c r="C42" t="inlineStr">
        <is>
          <t>2026-09-27T03:17:19.139190+00:00</t>
        </is>
      </c>
      <c r="D42" t="inlineStr">
        <is>
          <t>GO</t>
        </is>
      </c>
      <c r="E42" t="inlineStr">
        <is>
          <t>GO</t>
        </is>
      </c>
      <c r="F42" t="inlineStr">
        <is>
          <t>Goiânia</t>
        </is>
      </c>
      <c r="G42" t="inlineStr">
        <is>
          <t>MINISTERIO DA AGRICULTURA, PECUARIA E ABASTECIMENTO</t>
        </is>
      </c>
      <c r="H42" t="inlineStr">
        <is>
          <t>Federal</t>
        </is>
      </c>
      <c r="I42" t="inlineStr">
        <is>
          <t>2025-11-19T07:04:09</t>
        </is>
      </c>
      <c r="J42" t="inlineStr">
        <is>
          <t>Pregão - Eletrônico</t>
        </is>
      </c>
      <c r="K42" t="inlineStr">
        <is>
          <t>Registro de Preços para contratação futura de  empresa especializada na prestação, sob demanda, de serviços comuns de engenharia, de caráter continuado, de manutenção predial preventiva /corretiva com fornecimento de materiais, peças, equipamentos e mão de obra, na forma estabelecida em planilhas de serviços com insumos diversos descritos no Sistema Nacional de Pesquisa de Custos e índices da Construção Civil, doravante denominado SINAPI, conforme Edital e anexos.</t>
        </is>
      </c>
      <c r="L42" t="b">
        <v>1</v>
      </c>
      <c r="M42" t="inlineStr">
        <is>
          <t>manutencao_predial</t>
        </is>
      </c>
      <c r="N42" t="inlineStr">
        <is>
          <t>manutencao_predial</t>
        </is>
      </c>
      <c r="O42" t="n">
        <v>3999999.48</v>
      </c>
      <c r="P42" t="n">
        <v>2928955.1361</v>
      </c>
      <c r="Q42" t="n">
        <v>3999999.48</v>
      </c>
      <c r="R42" t="n">
        <v>0.2677611211792671</v>
      </c>
      <c r="S42" t="n">
        <v>0</v>
      </c>
      <c r="T42" t="n">
        <v>4</v>
      </c>
      <c r="U42" t="n">
        <v>4</v>
      </c>
      <c r="V42" t="n">
        <v>4</v>
      </c>
      <c r="W42" t="n">
        <v>0</v>
      </c>
      <c r="X42" t="n">
        <v>0</v>
      </c>
      <c r="Y42" t="n">
        <v>0</v>
      </c>
      <c r="Z42" t="n">
        <v>0</v>
      </c>
      <c r="AA42" t="n">
        <v>0</v>
      </c>
      <c r="AB42" t="n">
        <v>0</v>
      </c>
      <c r="AC42" t="n">
        <v>0</v>
      </c>
      <c r="AD42" t="n">
        <v>1</v>
      </c>
      <c r="AE42" t="n">
        <v>4</v>
      </c>
      <c r="AF42" t="inlineStr">
        <is>
          <t>CARMO SCHMIDT ENGENHARIA LTDA:ME; ARQTEC ARQUITETURA E ENGENHARIA TECNICA LTDA:ME; E. C. FERNANDES:ME; P H M ENGENHARIA LTDA:ME</t>
        </is>
      </c>
      <c r="AH42" t="inlineStr">
        <is>
          <t>continuado</t>
        </is>
      </c>
      <c r="AI42" t="n">
        <v>12</v>
      </c>
      <c r="AJ42" t="n">
        <v>0</v>
      </c>
      <c r="AK42" t="n">
        <v>0</v>
      </c>
      <c r="AL42" t="n">
        <v>0</v>
      </c>
      <c r="AM42" t="n">
        <v>1</v>
      </c>
      <c r="AN42" t="n">
        <v>0</v>
      </c>
      <c r="AQ42" t="n">
        <v>0</v>
      </c>
      <c r="AT42" t="n">
        <v>0</v>
      </c>
      <c r="AU42" t="n">
        <v>1</v>
      </c>
    </row>
    <row r="43">
      <c r="A43" t="inlineStr">
        <is>
          <t>00489828000155_2025_620</t>
        </is>
      </c>
      <c r="B43" s="2" t="inlineStr">
        <is>
          <t>https://pncp.gov.br/app/editais/00489828000155/2025/620</t>
        </is>
      </c>
      <c r="C43" t="inlineStr">
        <is>
          <t>2026-09-27T02:47:45.599220+00:00</t>
        </is>
      </c>
      <c r="D43" t="inlineStr">
        <is>
          <t>GO</t>
        </is>
      </c>
      <c r="E43" t="inlineStr">
        <is>
          <t>GO</t>
        </is>
      </c>
      <c r="F43" t="inlineStr">
        <is>
          <t>Goiânia</t>
        </is>
      </c>
      <c r="G43" t="inlineStr">
        <is>
          <t>MINISTERIO DA GESTAO E DA INOVACAO EM SERVICOS PUBLICOS</t>
        </is>
      </c>
      <c r="H43" t="inlineStr">
        <is>
          <t>Federal</t>
        </is>
      </c>
      <c r="I43" t="inlineStr">
        <is>
          <t>2025-10-07T07:16:21</t>
        </is>
      </c>
      <c r="J43" t="inlineStr">
        <is>
          <t>Pregão - Eletrônico</t>
        </is>
      </c>
      <c r="K43" t="inlineStr">
        <is>
          <t>Registro de Preços para a contratação de serviços de manutenção preventiva, corretiva, assistência técnica, instalação, remoção e remanejamento de aparelhos de ar condicionado, já existentes ou a serem adquiridos/recebidos/doados sob qualquer forma, com fornecimento de peças, componentes, acessórios, insumos, necessários ao perfeito funcionamento do equipamento (exceto compressores).</t>
        </is>
      </c>
      <c r="L43" t="b">
        <v>1</v>
      </c>
      <c r="M43" t="inlineStr">
        <is>
          <t>climatizacao</t>
        </is>
      </c>
      <c r="N43" t="inlineStr">
        <is>
          <t>climatizacao</t>
        </is>
      </c>
      <c r="O43" t="n">
        <v>647784.91</v>
      </c>
      <c r="P43" t="n">
        <v>999093.37</v>
      </c>
      <c r="Q43" t="n">
        <v>647784.9099999999</v>
      </c>
      <c r="R43" t="n">
        <v>0.30975642825641</v>
      </c>
      <c r="S43" t="n">
        <v>0</v>
      </c>
      <c r="T43" t="n">
        <v>10</v>
      </c>
      <c r="U43" t="n">
        <v>10</v>
      </c>
      <c r="V43" t="n">
        <v>10</v>
      </c>
      <c r="W43" t="n">
        <v>0</v>
      </c>
      <c r="X43" t="n">
        <v>0</v>
      </c>
      <c r="Y43" t="n">
        <v>0</v>
      </c>
      <c r="Z43" t="n">
        <v>0</v>
      </c>
      <c r="AA43" t="n">
        <v>0</v>
      </c>
      <c r="AB43" t="n">
        <v>0</v>
      </c>
      <c r="AC43" t="n">
        <v>0</v>
      </c>
      <c r="AD43" t="n">
        <v>0</v>
      </c>
      <c r="AE43" t="n">
        <v>3</v>
      </c>
      <c r="AF43" t="inlineStr">
        <is>
          <t>GOTHERM ENGENHARIA TERMICA LTDA:ME; F A OLIVEIRA JUNIOR SERVICOS E EMPREENDIMENTOS:ME; ECOAR CLIMATIZACAO LTDA:ME</t>
        </is>
      </c>
      <c r="AH43" t="inlineStr">
        <is>
          <t>pontual</t>
        </is>
      </c>
      <c r="AJ43" t="n">
        <v>0</v>
      </c>
      <c r="AK43" t="n">
        <v>0</v>
      </c>
      <c r="AL43" t="n">
        <v>0</v>
      </c>
      <c r="AM43" t="n">
        <v>0</v>
      </c>
      <c r="AN43" t="n">
        <v>0</v>
      </c>
      <c r="AQ43" t="n">
        <v>0</v>
      </c>
      <c r="AS43" t="inlineStr">
        <is>
          <t>heuristica automatica confirmada: servico real de climatizacao, sem sinais de exclusao.</t>
        </is>
      </c>
      <c r="AT43" t="n">
        <v>0</v>
      </c>
      <c r="AU43" t="n">
        <v>1</v>
      </c>
    </row>
    <row r="44">
      <c r="A44" t="inlineStr">
        <is>
          <t>00508903000188_2025_2169</t>
        </is>
      </c>
      <c r="B44" s="2" t="inlineStr">
        <is>
          <t>https://pncp.gov.br/app/editais/00508903000188/2025/2169</t>
        </is>
      </c>
      <c r="C44" t="inlineStr">
        <is>
          <t>2026-09-27T02:49:51.658260+00:00</t>
        </is>
      </c>
      <c r="D44" t="inlineStr">
        <is>
          <t>GO</t>
        </is>
      </c>
      <c r="E44" t="inlineStr">
        <is>
          <t>GO</t>
        </is>
      </c>
      <c r="F44" t="inlineStr">
        <is>
          <t>Goiânia</t>
        </is>
      </c>
      <c r="G44" t="inlineStr">
        <is>
          <t>JUSTICA FEDERAL DE PRIMEIRA INSTANCIA</t>
        </is>
      </c>
      <c r="H44" t="inlineStr">
        <is>
          <t>Federal</t>
        </is>
      </c>
      <c r="I44" t="inlineStr">
        <is>
          <t>2025-09-19T07:28:56</t>
        </is>
      </c>
      <c r="J44" t="inlineStr">
        <is>
          <t>Pregão - Eletrônico</t>
        </is>
      </c>
      <c r="K44" t="inlineStr">
        <is>
          <t>Contratação de empresa para substituir aparelhos de ar-condicionado tipo Split System nos edifícios das Subseções Judiciárias de Anápolis, Formosa, Itumbiara, Jataí e Uruaçu, e instalar sistema VRF na Subseção de Luziânia. Inclui remoção dos equipamentos antigos, fornecimento e instalação dos novos, conforme especificações do edital e anexos.</t>
        </is>
      </c>
      <c r="L44" t="b">
        <v>0</v>
      </c>
      <c r="M44" t="inlineStr">
        <is>
          <t>climatizacao</t>
        </is>
      </c>
      <c r="N44" t="inlineStr">
        <is>
          <t>climatizacao</t>
        </is>
      </c>
      <c r="O44" t="n">
        <v>991458.53</v>
      </c>
      <c r="P44" t="n">
        <v>876385.1804000001</v>
      </c>
      <c r="Q44" t="n">
        <v>991458.53</v>
      </c>
      <c r="R44" t="n">
        <v>0.1160643818963927</v>
      </c>
      <c r="S44" t="n">
        <v>0</v>
      </c>
      <c r="T44" t="n">
        <v>28</v>
      </c>
      <c r="U44" t="n">
        <v>28</v>
      </c>
      <c r="V44" t="n">
        <v>28</v>
      </c>
      <c r="W44" t="n">
        <v>0</v>
      </c>
      <c r="X44" t="n">
        <v>0</v>
      </c>
      <c r="Y44" t="n">
        <v>0</v>
      </c>
      <c r="Z44" t="n">
        <v>0</v>
      </c>
      <c r="AA44" t="n">
        <v>0</v>
      </c>
      <c r="AB44" t="n">
        <v>1</v>
      </c>
      <c r="AC44" t="n">
        <v>0</v>
      </c>
      <c r="AD44" t="n">
        <v>0</v>
      </c>
      <c r="AE44" t="n">
        <v>3</v>
      </c>
      <c r="AF44" t="inlineStr">
        <is>
          <t>TAFA ENGENHARIA LTDA:Demais; MJR ENGENHARIA E TECNOLOGIA LTDA:ME; PROCEL LTDA:ME</t>
        </is>
      </c>
      <c r="AH44" t="inlineStr">
        <is>
          <t>pontual</t>
        </is>
      </c>
      <c r="AJ44" t="n">
        <v>0</v>
      </c>
      <c r="AK44" t="n">
        <v>0</v>
      </c>
      <c r="AL44" t="n">
        <v>0</v>
      </c>
      <c r="AM44" t="n">
        <v>0</v>
      </c>
      <c r="AN44" t="n">
        <v>0</v>
      </c>
      <c r="AQ44" t="n">
        <v>0</v>
      </c>
      <c r="AR44" t="inlineStr">
        <is>
          <t>equipamento_alto</t>
        </is>
      </c>
      <c r="AS44" t="inlineStr">
        <is>
          <t>heuristica automatica confirmada (equipamento_alto): icios das subsecoes judiciarias de anapolis, formosa, itumbiara, jatai e uruacu, e instalar sistema vrf na subsecao de luziania. inclui remocao dos equipamentos antigos, fornecimen</t>
        </is>
      </c>
      <c r="AT44" t="n">
        <v>0</v>
      </c>
      <c r="AU44" t="n">
        <v>0</v>
      </c>
    </row>
    <row r="45">
      <c r="A45" t="inlineStr">
        <is>
          <t>00508903000188_2026_1432</t>
        </is>
      </c>
      <c r="B45" s="2" t="inlineStr">
        <is>
          <t>https://pncp.gov.br/app/editais/00508903000188/2026/1432</t>
        </is>
      </c>
      <c r="C45" t="inlineStr">
        <is>
          <t>2026-09-27T14:30:28.948375+00:00</t>
        </is>
      </c>
      <c r="D45" t="inlineStr">
        <is>
          <t>GO</t>
        </is>
      </c>
      <c r="E45" t="inlineStr">
        <is>
          <t>GO</t>
        </is>
      </c>
      <c r="F45" t="inlineStr">
        <is>
          <t>Goiânia</t>
        </is>
      </c>
      <c r="G45" t="inlineStr">
        <is>
          <t>JUSTICA FEDERAL DE PRIMEIRA INSTANCIA</t>
        </is>
      </c>
      <c r="H45" t="inlineStr">
        <is>
          <t>Federal</t>
        </is>
      </c>
      <c r="I45" t="inlineStr">
        <is>
          <t>2026-07-29T04:00:15</t>
        </is>
      </c>
      <c r="J45" t="inlineStr">
        <is>
          <t>Pregão - Eletrônico</t>
        </is>
      </c>
      <c r="K45" t="inlineStr">
        <is>
          <t>Aquisição de materiais elétricos destinados à adequação das instalações elétricas para atendimento aos aparelhos de ar-condicionado no Edifício Gama Dias da Justiça Federal em Goiânia</t>
        </is>
      </c>
      <c r="L45" t="b">
        <v>0</v>
      </c>
      <c r="M45" t="inlineStr">
        <is>
          <t>climatizacao</t>
        </is>
      </c>
      <c r="N45" t="inlineStr">
        <is>
          <t>climatizacao</t>
        </is>
      </c>
      <c r="O45" t="n">
        <v>15372.88</v>
      </c>
      <c r="P45" t="n">
        <v>9818.219999999999</v>
      </c>
      <c r="Q45" t="n">
        <v>11072.88</v>
      </c>
      <c r="R45" t="n">
        <v>0.1133092745518781</v>
      </c>
      <c r="S45" t="n">
        <v>0</v>
      </c>
      <c r="T45" t="n">
        <v>30</v>
      </c>
      <c r="U45" t="n">
        <v>9</v>
      </c>
      <c r="V45" t="n">
        <v>9</v>
      </c>
      <c r="W45" t="n">
        <v>0</v>
      </c>
      <c r="X45" t="n">
        <v>21</v>
      </c>
      <c r="Y45" t="n">
        <v>0</v>
      </c>
      <c r="Z45" t="n">
        <v>1</v>
      </c>
      <c r="AA45" t="n">
        <v>1</v>
      </c>
      <c r="AB45" t="n">
        <v>0</v>
      </c>
      <c r="AC45" t="n">
        <v>0</v>
      </c>
      <c r="AD45" t="n">
        <v>0</v>
      </c>
      <c r="AE45" t="n">
        <v>5</v>
      </c>
      <c r="AF45" t="inlineStr">
        <is>
          <t>64.329.244 ANA CAROLINA SIMOES BRASIL CAMARGO:ME; D33D COMERCIO LTDA:ME; VEAR TECNOLOGIA LTDA:ME; ATRIUM INDUSTRIA E COMERCIO DE FERRAGENS LTDA:ME; 61.050.347 MARCUS VINICIUS ALVES RODRIGUES:ME</t>
        </is>
      </c>
      <c r="AH45" t="inlineStr">
        <is>
          <t>pontual</t>
        </is>
      </c>
      <c r="AJ45" t="n">
        <v>0</v>
      </c>
      <c r="AK45" t="n">
        <v>0</v>
      </c>
      <c r="AL45" t="n">
        <v>0</v>
      </c>
      <c r="AM45" t="n">
        <v>0</v>
      </c>
      <c r="AN45" t="n">
        <v>0</v>
      </c>
      <c r="AP45" t="inlineStr">
        <is>
          <t>z, e se o fornecedor for a filial, todos os documentos deverão estar em nome da filial, exceto para atestados de capacidade técnica, e no caso daqueles documentos que, pela própria natureza, comprovadamente, forem emitidos somente em nome da matriz. 9.25. Serão aceitos registros de CNPJ de fornecedo…</t>
        </is>
      </c>
      <c r="AQ45" t="n">
        <v>1</v>
      </c>
      <c r="AR45" t="inlineStr">
        <is>
          <t>fornecimento_puro</t>
        </is>
      </c>
      <c r="AS45" t="inlineStr">
        <is>
          <t>Aquisicao pura de materiais eletricos para adequacao de instalacoes (nao e manutencao/servico de climatizacao em si).</t>
        </is>
      </c>
      <c r="AT45" t="n">
        <v>0</v>
      </c>
      <c r="AU45" t="n">
        <v>0</v>
      </c>
    </row>
    <row r="46">
      <c r="A46" t="inlineStr">
        <is>
          <t>00508903000188_2026_967</t>
        </is>
      </c>
      <c r="B46" s="2" t="inlineStr">
        <is>
          <t>https://pncp.gov.br/app/editais/00508903000188/2026/967</t>
        </is>
      </c>
      <c r="C46" t="inlineStr">
        <is>
          <t>2026-09-27T05:36:07.610368+00:00</t>
        </is>
      </c>
      <c r="D46" t="inlineStr">
        <is>
          <t>TO</t>
        </is>
      </c>
      <c r="E46" t="inlineStr">
        <is>
          <t>vizinhos</t>
        </is>
      </c>
      <c r="F46" t="inlineStr">
        <is>
          <t>Palmas</t>
        </is>
      </c>
      <c r="G46" t="inlineStr">
        <is>
          <t>JUSTICA FEDERAL DE PRIMEIRA INSTANCIA</t>
        </is>
      </c>
      <c r="H46" t="inlineStr">
        <is>
          <t>Federal</t>
        </is>
      </c>
      <c r="I46" t="inlineStr">
        <is>
          <t>2026-05-26T07:19:10</t>
        </is>
      </c>
      <c r="J46" t="inlineStr">
        <is>
          <t>Pregão - Eletrônico</t>
        </is>
      </c>
      <c r="K46" t="inlineStr">
        <is>
          <t>Formação de REGISTRO DE PREÇOS visando à contratação de empresa especializada para eventual execução, sob demanda, dserviços comuns voltados à manutenção predial preventiva e corretiva, com fornecimento de materiais, mão de obra, ferramentaequipamentos e demais insumos necessários, no edifício-sede da Subseção Judiciária de Gurupi/TO.</t>
        </is>
      </c>
      <c r="L46" t="b">
        <v>1</v>
      </c>
      <c r="M46" t="inlineStr">
        <is>
          <t>manutencao_predial</t>
        </is>
      </c>
      <c r="N46" t="inlineStr">
        <is>
          <t>manutencao_predial</t>
        </is>
      </c>
      <c r="O46" t="n">
        <v>40948.47</v>
      </c>
      <c r="P46" t="n">
        <v>37450</v>
      </c>
      <c r="Q46" t="n">
        <v>40948.47</v>
      </c>
      <c r="R46" t="n">
        <v>0.08543591494383063</v>
      </c>
      <c r="S46" t="n">
        <v>0</v>
      </c>
      <c r="T46" t="n">
        <v>1</v>
      </c>
      <c r="U46" t="n">
        <v>1</v>
      </c>
      <c r="V46" t="n">
        <v>1</v>
      </c>
      <c r="W46" t="n">
        <v>0</v>
      </c>
      <c r="X46" t="n">
        <v>0</v>
      </c>
      <c r="Y46" t="n">
        <v>0</v>
      </c>
      <c r="Z46" t="n">
        <v>0</v>
      </c>
      <c r="AA46" t="n">
        <v>1</v>
      </c>
      <c r="AB46" t="n">
        <v>0</v>
      </c>
      <c r="AC46" t="n">
        <v>0</v>
      </c>
      <c r="AD46" t="n">
        <v>0</v>
      </c>
      <c r="AE46" t="n">
        <v>1</v>
      </c>
      <c r="AF46" t="inlineStr">
        <is>
          <t>G A EMPREENDIMENTOS LTDA:ME</t>
        </is>
      </c>
      <c r="AH46" t="inlineStr">
        <is>
          <t>pontual</t>
        </is>
      </c>
      <c r="AJ46" t="n">
        <v>0</v>
      </c>
      <c r="AK46" t="n">
        <v>0</v>
      </c>
      <c r="AL46" t="n">
        <v>0</v>
      </c>
      <c r="AM46" t="n">
        <v>0</v>
      </c>
      <c r="AN46" t="n">
        <v>0</v>
      </c>
      <c r="AQ46" t="n">
        <v>0</v>
      </c>
      <c r="AT46" t="n">
        <v>0</v>
      </c>
      <c r="AU46" t="n">
        <v>1</v>
      </c>
    </row>
    <row r="47">
      <c r="A47" t="inlineStr">
        <is>
          <t>00509018000113_2025_1112</t>
        </is>
      </c>
      <c r="B47" s="2" t="inlineStr">
        <is>
          <t>https://pncp.gov.br/app/editais/00509018000113/2025/1112</t>
        </is>
      </c>
      <c r="C47" t="inlineStr">
        <is>
          <t>2026-09-27T14:34:50.623063+00:00</t>
        </is>
      </c>
      <c r="D47" t="inlineStr">
        <is>
          <t>GO</t>
        </is>
      </c>
      <c r="E47" t="inlineStr">
        <is>
          <t>GO</t>
        </is>
      </c>
      <c r="F47" t="inlineStr">
        <is>
          <t>Goiânia</t>
        </is>
      </c>
      <c r="G47" t="inlineStr">
        <is>
          <t>TRIBUNAL SUPERIOR ELEITORAL</t>
        </is>
      </c>
      <c r="H47" t="inlineStr">
        <is>
          <t>Federal</t>
        </is>
      </c>
      <c r="I47" t="inlineStr">
        <is>
          <t>2025-05-22T07:46:19</t>
        </is>
      </c>
      <c r="J47" t="inlineStr">
        <is>
          <t>Pregão - Eletrônico</t>
        </is>
      </c>
      <c r="K47" t="inlineStr">
        <is>
          <t>Contratação de serviços continuados de apoio a copa, limpeza, higienização, asseio, conservação predial e serviços gerais, mediante alocação de postos de trabalho de 44 horas semanais em regime de dedicação exclusiva de mão de obra, bem como de serviços continuados de jardinagem (manutenção de áreas verdes), com fornecimento de materiais, insumos e mudas vegetais e gramíneas, conforme condições, quantidades e exigências estabelecidas no edital e seus anexos.</t>
        </is>
      </c>
      <c r="L47" t="b">
        <v>0</v>
      </c>
      <c r="M47" t="inlineStr">
        <is>
          <t>manutencao_predial</t>
        </is>
      </c>
      <c r="N47" t="inlineStr">
        <is>
          <t>manutencao_predial</t>
        </is>
      </c>
      <c r="O47" t="n">
        <v>4862877.21</v>
      </c>
      <c r="P47" t="n">
        <v>6151379.76</v>
      </c>
      <c r="Q47" t="n">
        <v>4862877.21</v>
      </c>
      <c r="R47" t="n">
        <v>0.1246051203501393</v>
      </c>
      <c r="S47" t="n">
        <v>0</v>
      </c>
      <c r="T47" t="n">
        <v>2</v>
      </c>
      <c r="U47" t="n">
        <v>2</v>
      </c>
      <c r="V47" t="n">
        <v>1</v>
      </c>
      <c r="W47" t="n">
        <v>0</v>
      </c>
      <c r="X47" t="n">
        <v>1</v>
      </c>
      <c r="Y47" t="n">
        <v>0</v>
      </c>
      <c r="Z47" t="n">
        <v>1</v>
      </c>
      <c r="AA47" t="n">
        <v>0</v>
      </c>
      <c r="AB47" t="n">
        <v>0</v>
      </c>
      <c r="AC47" t="n">
        <v>0</v>
      </c>
      <c r="AD47" t="n">
        <v>0</v>
      </c>
      <c r="AE47" t="n">
        <v>2</v>
      </c>
      <c r="AF47" t="inlineStr">
        <is>
          <t>CONFIANCA TERCEIRIZACAO LTDA:ME; ABC SERVICOS GERAIS LTDA:Demais</t>
        </is>
      </c>
      <c r="AH47" t="inlineStr">
        <is>
          <t>continuado</t>
        </is>
      </c>
      <c r="AJ47" t="n">
        <v>0</v>
      </c>
      <c r="AK47" t="n">
        <v>0</v>
      </c>
      <c r="AL47" t="n">
        <v>0</v>
      </c>
      <c r="AM47" t="n">
        <v>0</v>
      </c>
      <c r="AN47" t="n">
        <v>0</v>
      </c>
      <c r="AQ47" t="n">
        <v>0</v>
      </c>
      <c r="AT47" t="n">
        <v>0</v>
      </c>
      <c r="AU47" t="n">
        <v>1</v>
      </c>
    </row>
    <row r="48">
      <c r="A48" t="inlineStr">
        <is>
          <t>00509018000113_2025_1577</t>
        </is>
      </c>
      <c r="B48" s="2" t="inlineStr">
        <is>
          <t>https://pncp.gov.br/app/editais/00509018000113/2025/1577</t>
        </is>
      </c>
      <c r="C48" t="inlineStr">
        <is>
          <t>2026-09-27T14:34:38.628539+00:00</t>
        </is>
      </c>
      <c r="D48" t="inlineStr">
        <is>
          <t>GO</t>
        </is>
      </c>
      <c r="E48" t="inlineStr">
        <is>
          <t>GO</t>
        </is>
      </c>
      <c r="F48" t="inlineStr">
        <is>
          <t>Goiânia</t>
        </is>
      </c>
      <c r="G48" t="inlineStr">
        <is>
          <t>TRIBUNAL SUPERIOR ELEITORAL</t>
        </is>
      </c>
      <c r="H48" t="inlineStr">
        <is>
          <t>Federal</t>
        </is>
      </c>
      <c r="I48" t="inlineStr">
        <is>
          <t>2025-07-02T07:50:45</t>
        </is>
      </c>
      <c r="J48" t="inlineStr">
        <is>
          <t>Pregão - Eletrônico</t>
        </is>
      </c>
      <c r="K48" t="inlineStr">
        <is>
          <t>Contratação de serviços continuados de apoio a copa, limpeza, higienização, asseio, conservação predial e serviços gerais, com fornecimento de materiais, equipamentos e utensílios e serviços continuados de jardinagem (manutenção de áreas verdes), por demanda, com fornecimento de materiais, insumos e mudas vegetais e gramíneas, conforme condições, quantidades e exigências estabelecidas no Edital e seus anexos.</t>
        </is>
      </c>
      <c r="L48" t="b">
        <v>0</v>
      </c>
      <c r="M48" t="inlineStr">
        <is>
          <t>manutencao_predial</t>
        </is>
      </c>
      <c r="N48" t="inlineStr">
        <is>
          <t>manutencao_predial</t>
        </is>
      </c>
      <c r="O48" t="n">
        <v>2822574.24</v>
      </c>
      <c r="P48" t="n">
        <v>2276361.26</v>
      </c>
      <c r="Q48" t="n">
        <v>2822574.24</v>
      </c>
      <c r="R48" t="n">
        <v>0.1935158949087553</v>
      </c>
      <c r="S48" t="n">
        <v>0</v>
      </c>
      <c r="T48" t="n">
        <v>2</v>
      </c>
      <c r="U48" t="n">
        <v>2</v>
      </c>
      <c r="V48" t="n">
        <v>2</v>
      </c>
      <c r="W48" t="n">
        <v>0</v>
      </c>
      <c r="X48" t="n">
        <v>0</v>
      </c>
      <c r="Y48" t="n">
        <v>0</v>
      </c>
      <c r="Z48" t="n">
        <v>0</v>
      </c>
      <c r="AA48" t="n">
        <v>0</v>
      </c>
      <c r="AB48" t="n">
        <v>0</v>
      </c>
      <c r="AC48" t="n">
        <v>0</v>
      </c>
      <c r="AD48" t="n">
        <v>0</v>
      </c>
      <c r="AE48" t="n">
        <v>2</v>
      </c>
      <c r="AF48" t="inlineStr">
        <is>
          <t>ASHER SOLUCOES TERCEIRIZACAO LTDA:ME; TERCEIRIZA BRASIL TRANSPORTES LTDA:ME</t>
        </is>
      </c>
      <c r="AH48" t="inlineStr">
        <is>
          <t>continuado</t>
        </is>
      </c>
      <c r="AJ48" t="n">
        <v>0</v>
      </c>
      <c r="AK48" t="n">
        <v>0</v>
      </c>
      <c r="AL48" t="n">
        <v>0</v>
      </c>
      <c r="AM48" t="n">
        <v>0</v>
      </c>
      <c r="AN48" t="n">
        <v>0</v>
      </c>
      <c r="AQ48" t="n">
        <v>0</v>
      </c>
      <c r="AT48" t="n">
        <v>0</v>
      </c>
      <c r="AU48" t="n">
        <v>1</v>
      </c>
    </row>
    <row r="49">
      <c r="A49" t="inlineStr">
        <is>
          <t>00509018000113_2025_2719</t>
        </is>
      </c>
      <c r="B49" s="2" t="inlineStr">
        <is>
          <t>https://pncp.gov.br/app/editais/00509018000113/2025/2719</t>
        </is>
      </c>
      <c r="C49" t="inlineStr">
        <is>
          <t>2026-09-27T14:34:33.619667+00:00</t>
        </is>
      </c>
      <c r="D49" t="inlineStr">
        <is>
          <t>GO</t>
        </is>
      </c>
      <c r="E49" t="inlineStr">
        <is>
          <t>GO</t>
        </is>
      </c>
      <c r="F49" t="inlineStr">
        <is>
          <t>Goiânia</t>
        </is>
      </c>
      <c r="G49" t="inlineStr">
        <is>
          <t>TRIBUNAL SUPERIOR ELEITORAL</t>
        </is>
      </c>
      <c r="H49" t="inlineStr">
        <is>
          <t>Federal</t>
        </is>
      </c>
      <c r="I49" t="inlineStr">
        <is>
          <t>2025-10-03T07:18:07</t>
        </is>
      </c>
      <c r="J49" t="inlineStr">
        <is>
          <t>Pregão - Eletrônico</t>
        </is>
      </c>
      <c r="K49" t="inlineStr">
        <is>
          <t>Contratação de serviços de apoio a copa, limpeza, higienização, asseio, conservação predial e serviços gerais, com fornecimento de materiais, equipamentos e utensílios e serviços continuados de jardinagem (manutenção de áreas verdes), por demanda, para edifícios que abrigam Cartórios Eleitorais no Estado de Goiás, conforme especificações estabelecidas no edital e seus anexos.</t>
        </is>
      </c>
      <c r="L49" t="b">
        <v>0</v>
      </c>
      <c r="M49" t="inlineStr">
        <is>
          <t>manutencao_predial</t>
        </is>
      </c>
      <c r="N49" t="inlineStr">
        <is>
          <t>manutencao_predial</t>
        </is>
      </c>
      <c r="O49" t="n">
        <v>2464192.67</v>
      </c>
      <c r="P49" t="n">
        <v>1836708.06</v>
      </c>
      <c r="Q49" t="n">
        <v>2464192.67</v>
      </c>
      <c r="R49" t="n">
        <v>0.254641050450004</v>
      </c>
      <c r="S49" t="n">
        <v>0</v>
      </c>
      <c r="T49" t="n">
        <v>7</v>
      </c>
      <c r="U49" t="n">
        <v>7</v>
      </c>
      <c r="V49" t="n">
        <v>7</v>
      </c>
      <c r="W49" t="n">
        <v>0</v>
      </c>
      <c r="X49" t="n">
        <v>0</v>
      </c>
      <c r="Y49" t="n">
        <v>0</v>
      </c>
      <c r="Z49" t="n">
        <v>0</v>
      </c>
      <c r="AA49" t="n">
        <v>0</v>
      </c>
      <c r="AB49" t="n">
        <v>0</v>
      </c>
      <c r="AC49" t="n">
        <v>0</v>
      </c>
      <c r="AD49" t="n">
        <v>0</v>
      </c>
      <c r="AE49" t="n">
        <v>1</v>
      </c>
      <c r="AF49" t="inlineStr">
        <is>
          <t>SOLUCOES RECURSOS HUMANOS LTDA:ME</t>
        </is>
      </c>
      <c r="AH49" t="inlineStr">
        <is>
          <t>continuado</t>
        </is>
      </c>
      <c r="AJ49" t="n">
        <v>0</v>
      </c>
      <c r="AK49" t="n">
        <v>0</v>
      </c>
      <c r="AL49" t="n">
        <v>0</v>
      </c>
      <c r="AM49" t="n">
        <v>0</v>
      </c>
      <c r="AN49" t="n">
        <v>0</v>
      </c>
      <c r="AQ49" t="n">
        <v>0</v>
      </c>
      <c r="AT49" t="n">
        <v>0</v>
      </c>
      <c r="AU49" t="n">
        <v>1</v>
      </c>
    </row>
    <row r="50">
      <c r="A50" t="inlineStr">
        <is>
          <t>00509018000113_2026_1080</t>
        </is>
      </c>
      <c r="B50" s="2" t="inlineStr">
        <is>
          <t>https://pncp.gov.br/app/editais/00509018000113/2026/1080</t>
        </is>
      </c>
      <c r="C50" t="inlineStr">
        <is>
          <t>2026-09-27T03:41:36.768015+00:00</t>
        </is>
      </c>
      <c r="D50" t="inlineStr">
        <is>
          <t>GO</t>
        </is>
      </c>
      <c r="E50" t="inlineStr">
        <is>
          <t>GO</t>
        </is>
      </c>
      <c r="F50" t="inlineStr">
        <is>
          <t>Goiânia</t>
        </is>
      </c>
      <c r="G50" t="inlineStr">
        <is>
          <t>TRIBUNAL SUPERIOR ELEITORAL</t>
        </is>
      </c>
      <c r="H50" t="inlineStr">
        <is>
          <t>Federal</t>
        </is>
      </c>
      <c r="I50" t="inlineStr">
        <is>
          <t>2026-05-19T07:02:54</t>
        </is>
      </c>
      <c r="J50" t="inlineStr">
        <is>
          <t>Pregão - Eletrônico</t>
        </is>
      </c>
      <c r="K50" t="inlineStr">
        <is>
          <t>Registro de preços para futura e eventual aquisição de materiais elétricos de consumo para manutenção predial das edificações da Justiça Eleitoral de Goiás, com garantia mínima de 12 (doze) meses, contados a partir do recebimento dos materiais, conforme condições, descrições, especificações e exigências estabelecidas no Edital e seus anexos (SEI nº 26.0.000000753-5)</t>
        </is>
      </c>
      <c r="L50" t="b">
        <v>1</v>
      </c>
      <c r="M50" t="inlineStr">
        <is>
          <t>eletrica_predial</t>
        </is>
      </c>
      <c r="N50" t="inlineStr">
        <is>
          <t>eletrica_predial</t>
        </is>
      </c>
      <c r="O50" t="n">
        <v>520680.6</v>
      </c>
      <c r="P50" t="n">
        <v>236952.5</v>
      </c>
      <c r="Q50" t="n">
        <v>452088.6</v>
      </c>
      <c r="R50" t="n">
        <v>0.4758715437637666</v>
      </c>
      <c r="S50" t="n">
        <v>0</v>
      </c>
      <c r="T50" t="n">
        <v>43</v>
      </c>
      <c r="U50" t="n">
        <v>40</v>
      </c>
      <c r="V50" t="n">
        <v>42</v>
      </c>
      <c r="W50" t="n">
        <v>0</v>
      </c>
      <c r="X50" t="n">
        <v>1</v>
      </c>
      <c r="Y50" t="n">
        <v>0</v>
      </c>
      <c r="Z50" t="n">
        <v>1</v>
      </c>
      <c r="AA50" t="n">
        <v>0</v>
      </c>
      <c r="AB50" t="n">
        <v>1</v>
      </c>
      <c r="AC50" t="n">
        <v>0</v>
      </c>
      <c r="AD50" t="n">
        <v>0</v>
      </c>
      <c r="AE50" t="n">
        <v>14</v>
      </c>
      <c r="AF50" t="inlineStr">
        <is>
          <t>COMERCIAL MARTINS LTDA:ME; CASTELLARI ILUMINACAO E DECORACAO LTDA:ME; IVANETE APARECIDA MIRANDA:ME; AC COMERCIO E SERVICOS LTDA:ME; DR COMERCIO E LICITACAO LTDA:ME; APEX ELEVARE COMERCIAL LTDA:ME; DOMINI TELECOM LTDA:ME; MEGACABOS INDUSTRIA E COMERCIO DE FIOS E CABOS LTDA:Demais; ENG10 TECNOLOGIA COMERCIO E SOLUCOES LTDA:ME; SIBATECH SERVICOS DE ENGENHARIA LTDA:ME; ATRIUM INDUSTRIA E COMERCIO DE FERRAGENS LTDA:ME; MERCATTO BRASIL COMERCIO DE MATERIAIS ELETRICOS LTDA:ME; INOVAR SOLUCAO EM TECNOLOGIA E SERVICOS LTDA:ME; LLST COMERCIO DE MATERIAIS ELETRICOS LTDA:ME</t>
        </is>
      </c>
      <c r="AH50" t="inlineStr">
        <is>
          <t>pontual</t>
        </is>
      </c>
      <c r="AI50" t="n">
        <v>12</v>
      </c>
      <c r="AJ50" t="n">
        <v>0</v>
      </c>
      <c r="AK50" t="n">
        <v>0</v>
      </c>
      <c r="AL50" t="n">
        <v>0</v>
      </c>
      <c r="AM50" t="n">
        <v>1</v>
      </c>
      <c r="AN50" t="n">
        <v>1</v>
      </c>
      <c r="AP50" t="inlineStr">
        <is>
          <t>(ão) conter informações que permitam a identificação do(s) emissor(res). 12.1.4.1.2 As certidões ou atestados de capacidade técnica poderão ser apresentados em nome da matriz ou da filial da licitante; 12.1.4.1.3 A licitante disponibilizará todas as informações necessárias à comprovação da legitimid…</t>
        </is>
      </c>
      <c r="AQ50" t="n">
        <v>1</v>
      </c>
      <c r="AR50" t="inlineStr">
        <is>
          <t>fornecimento_puro</t>
        </is>
      </c>
      <c r="AS50" t="inlineStr">
        <is>
          <t>Confirmada exclusao automatica (fornecimento_puro): 43 item(ns), todos classificados como material (sem servico).</t>
        </is>
      </c>
      <c r="AT50" t="n">
        <v>1</v>
      </c>
      <c r="AU50" t="n">
        <v>0</v>
      </c>
    </row>
    <row r="51">
      <c r="A51" t="inlineStr">
        <is>
          <t>00509018000113_2026_494</t>
        </is>
      </c>
      <c r="B51" s="2" t="inlineStr">
        <is>
          <t>https://pncp.gov.br/app/editais/00509018000113/2026/494</t>
        </is>
      </c>
      <c r="C51" t="inlineStr">
        <is>
          <t>2026-09-27T02:39:00.647201+00:00</t>
        </is>
      </c>
      <c r="D51" t="inlineStr">
        <is>
          <t>GO</t>
        </is>
      </c>
      <c r="E51" t="inlineStr">
        <is>
          <t>GO</t>
        </is>
      </c>
      <c r="F51" t="inlineStr">
        <is>
          <t>Goiânia</t>
        </is>
      </c>
      <c r="G51" t="inlineStr">
        <is>
          <t>TRIBUNAL SUPERIOR ELEITORAL</t>
        </is>
      </c>
      <c r="H51" t="inlineStr">
        <is>
          <t>Federal</t>
        </is>
      </c>
      <c r="I51" t="inlineStr">
        <is>
          <t>2026-03-05T09:24:40</t>
        </is>
      </c>
      <c r="J51" t="inlineStr">
        <is>
          <t>Pregão - Eletrônico</t>
        </is>
      </c>
      <c r="K51" t="inlineStr">
        <is>
          <t xml:space="preserve">Contratação de serviços continuados de manutenção preventiva, corretiva e elaboração de Plano de Manutenção, Operação e Controle (PMOC), com fornecimento de peças, materiais, compressores, mão-de-obra, componentes e acessórios de  aparelhos de ar condicionado do tipo split e/ou ACJ, instalados nos imóveis que abrigam os Fóruns e Cartórios Eleitorais do interior do Estado de Goiás. </t>
        </is>
      </c>
      <c r="L51" t="b">
        <v>0</v>
      </c>
      <c r="M51" t="inlineStr">
        <is>
          <t>climatizacao</t>
        </is>
      </c>
      <c r="N51" t="inlineStr">
        <is>
          <t>climatizacao</t>
        </is>
      </c>
      <c r="O51" t="n">
        <v>43789.78</v>
      </c>
      <c r="P51" t="n">
        <v>17330</v>
      </c>
      <c r="Q51" t="n">
        <v>43789.78000000001</v>
      </c>
      <c r="R51" t="n">
        <v>0.6042455568399748</v>
      </c>
      <c r="S51" t="n">
        <v>0</v>
      </c>
      <c r="T51" t="n">
        <v>6</v>
      </c>
      <c r="U51" t="n">
        <v>6</v>
      </c>
      <c r="V51" t="n">
        <v>6</v>
      </c>
      <c r="W51" t="n">
        <v>0</v>
      </c>
      <c r="X51" t="n">
        <v>0</v>
      </c>
      <c r="Y51" t="n">
        <v>0</v>
      </c>
      <c r="Z51" t="n">
        <v>0</v>
      </c>
      <c r="AA51" t="n">
        <v>1</v>
      </c>
      <c r="AB51" t="n">
        <v>0</v>
      </c>
      <c r="AC51" t="n">
        <v>0</v>
      </c>
      <c r="AD51" t="n">
        <v>0</v>
      </c>
      <c r="AE51" t="n">
        <v>1</v>
      </c>
      <c r="AF51" t="inlineStr">
        <is>
          <t>THERMOOK INSTALACAO E MANUTENCAO LTDA:ME</t>
        </is>
      </c>
      <c r="AH51" t="inlineStr">
        <is>
          <t>continuado</t>
        </is>
      </c>
      <c r="AI51" t="n">
        <v>12</v>
      </c>
      <c r="AJ51" t="n">
        <v>0</v>
      </c>
      <c r="AK51" t="n">
        <v>0</v>
      </c>
      <c r="AL51" t="n">
        <v>0</v>
      </c>
      <c r="AM51" t="n">
        <v>1</v>
      </c>
      <c r="AN51" t="n">
        <v>1</v>
      </c>
      <c r="AQ51" t="n">
        <v>0</v>
      </c>
      <c r="AS51" t="inlineStr">
        <is>
          <t>heuristica automatica confirmada: servico real de climatizacao, sem sinais de exclusao.</t>
        </is>
      </c>
      <c r="AT51" t="n">
        <v>0</v>
      </c>
      <c r="AU51" t="n">
        <v>1</v>
      </c>
    </row>
    <row r="52">
      <c r="A52" t="inlineStr">
        <is>
          <t>00509968000148_2024_4438</t>
        </is>
      </c>
      <c r="B52" s="2" t="inlineStr">
        <is>
          <t>https://pncp.gov.br/app/editais/00509968000148/2024/4438</t>
        </is>
      </c>
      <c r="C52" t="inlineStr">
        <is>
          <t>2026-09-27T04:48:45.284937+00:00</t>
        </is>
      </c>
      <c r="D52" t="inlineStr">
        <is>
          <t>GO</t>
        </is>
      </c>
      <c r="E52" t="inlineStr">
        <is>
          <t>GO</t>
        </is>
      </c>
      <c r="F52" t="inlineStr">
        <is>
          <t>Goiânia</t>
        </is>
      </c>
      <c r="G52" t="inlineStr">
        <is>
          <t>TRIBUNAL SUPERIOR DO TRABALHO</t>
        </is>
      </c>
      <c r="H52" t="inlineStr">
        <is>
          <t>Federal</t>
        </is>
      </c>
      <c r="I52" t="inlineStr">
        <is>
          <t>2024-12-20T07:17:13</t>
        </is>
      </c>
      <c r="J52" t="inlineStr">
        <is>
          <t>Pregão - Eletrônico</t>
        </is>
      </c>
      <c r="K52" t="inlineStr">
        <is>
          <t>Contratação de empresa especializada para a prestação de serviços técnicos, continuados e sob demanda, em operação e controle, movimentação, adequação e adaptação de elementos dos sistemas, suporte técnico de engenharia, manutenções preditiva, preventiva e corretiva nos sistemas de refrigeração e de exaustão do Complexo Trabalhista de Goiânia, conforme especificações técnicas e condições constantes no Termo de Referência.</t>
        </is>
      </c>
      <c r="L52" t="b">
        <v>0</v>
      </c>
      <c r="M52" t="inlineStr">
        <is>
          <t>refrigeracao</t>
        </is>
      </c>
      <c r="N52" t="inlineStr">
        <is>
          <t>refrigeracao</t>
        </is>
      </c>
      <c r="O52" t="n">
        <v>2001591.32</v>
      </c>
      <c r="P52" t="n">
        <v>1414833.03</v>
      </c>
      <c r="Q52" t="n">
        <v>2001591.32</v>
      </c>
      <c r="R52" t="n">
        <v>0.2931458422030196</v>
      </c>
      <c r="S52" t="n">
        <v>0</v>
      </c>
      <c r="T52" t="n">
        <v>6</v>
      </c>
      <c r="U52" t="n">
        <v>6</v>
      </c>
      <c r="V52" t="n">
        <v>6</v>
      </c>
      <c r="W52" t="n">
        <v>0</v>
      </c>
      <c r="X52" t="n">
        <v>0</v>
      </c>
      <c r="Y52" t="n">
        <v>0</v>
      </c>
      <c r="Z52" t="n">
        <v>0</v>
      </c>
      <c r="AA52" t="n">
        <v>0</v>
      </c>
      <c r="AB52" t="n">
        <v>0</v>
      </c>
      <c r="AC52" t="n">
        <v>0</v>
      </c>
      <c r="AD52" t="n">
        <v>0</v>
      </c>
      <c r="AE52" t="n">
        <v>2</v>
      </c>
      <c r="AF52" t="inlineStr">
        <is>
          <t>AFEL ENGENHARIA E SERVICOS LTDA:Demais; BRAVO AR SERVICE COMERCIO MAQUINAS E EQUIPAMENTOS LTDA:Demais</t>
        </is>
      </c>
      <c r="AH52" t="inlineStr">
        <is>
          <t>continuado</t>
        </is>
      </c>
      <c r="AJ52" t="n">
        <v>0</v>
      </c>
      <c r="AK52" t="n">
        <v>0</v>
      </c>
      <c r="AL52" t="n">
        <v>0</v>
      </c>
      <c r="AM52" t="n">
        <v>0</v>
      </c>
      <c r="AN52" t="n">
        <v>0</v>
      </c>
      <c r="AQ52" t="n">
        <v>0</v>
      </c>
      <c r="AR52" t="inlineStr">
        <is>
          <t>fora_do_nucleo</t>
        </is>
      </c>
      <c r="AS52" t="inlineStr">
        <is>
          <t>Edital baixado (TRT da 18a Regiao/GO) exige atestado de execucao de manutencao em 'sistema de ar-condicionado central de expansao indireta com condensacao a ar' -- e climatizacao central de grande porte (chiller predial), nao camara fria/freezer/bebedouro comercial, apesar do objeto usar a palavra 'refrigeracao'.</t>
        </is>
      </c>
      <c r="AT52" t="n">
        <v>0</v>
      </c>
      <c r="AU52" t="n">
        <v>0</v>
      </c>
    </row>
    <row r="53">
      <c r="A53" t="inlineStr">
        <is>
          <t>00509968000148_2025_160</t>
        </is>
      </c>
      <c r="B53" s="2" t="inlineStr">
        <is>
          <t>https://pncp.gov.br/app/editais/00509968000148/2025/160</t>
        </is>
      </c>
      <c r="C53" t="inlineStr">
        <is>
          <t>2026-09-27T03:27:06.632005+00:00</t>
        </is>
      </c>
      <c r="D53" t="inlineStr">
        <is>
          <t>GO</t>
        </is>
      </c>
      <c r="E53" t="inlineStr">
        <is>
          <t>GO</t>
        </is>
      </c>
      <c r="F53" t="inlineStr">
        <is>
          <t>Goiânia</t>
        </is>
      </c>
      <c r="G53" t="inlineStr">
        <is>
          <t>TRIBUNAL SUPERIOR DO TRABALHO</t>
        </is>
      </c>
      <c r="H53" t="inlineStr">
        <is>
          <t>Federal</t>
        </is>
      </c>
      <c r="I53" t="inlineStr">
        <is>
          <t>2025-01-13T07:12:33</t>
        </is>
      </c>
      <c r="J53" t="inlineStr">
        <is>
          <t>Pregão - Eletrônico</t>
        </is>
      </c>
      <c r="K53" t="inlineStr">
        <is>
          <t>Contratação de empresa especializada para prestação dos serviços de manutenção predial preditiva, preventiva e corretiva, caracterizados como serviços comuns e de natureza contínua, para atenderem às necessidades deste Tribunal, com fornecimento de mão de obra com dedicação exclusiva, no âmbito do TRT da 18ª Região, em suas unidades da capital e interior do Estado de Goiás, com fornecimento de insumos adequados à execução dos trabalhos, conforme edital.</t>
        </is>
      </c>
      <c r="L53" t="b">
        <v>0</v>
      </c>
      <c r="M53" t="inlineStr">
        <is>
          <t>manutencao_predial</t>
        </is>
      </c>
      <c r="N53" t="inlineStr">
        <is>
          <t>manutencao_predial</t>
        </is>
      </c>
      <c r="O53" t="n">
        <v>1880859.16</v>
      </c>
      <c r="P53" t="n">
        <v>3158522.840000001</v>
      </c>
      <c r="Q53" t="n">
        <v>1880859.16</v>
      </c>
      <c r="R53" t="n">
        <v>0.1508264765555333</v>
      </c>
      <c r="S53" t="n">
        <v>0</v>
      </c>
      <c r="T53" t="n">
        <v>10</v>
      </c>
      <c r="U53" t="n">
        <v>10</v>
      </c>
      <c r="V53" t="n">
        <v>10</v>
      </c>
      <c r="W53" t="n">
        <v>0</v>
      </c>
      <c r="X53" t="n">
        <v>0</v>
      </c>
      <c r="Y53" t="n">
        <v>0</v>
      </c>
      <c r="Z53" t="n">
        <v>0</v>
      </c>
      <c r="AA53" t="n">
        <v>0</v>
      </c>
      <c r="AB53" t="n">
        <v>0</v>
      </c>
      <c r="AC53" t="n">
        <v>0</v>
      </c>
      <c r="AD53" t="n">
        <v>0</v>
      </c>
      <c r="AE53" t="n">
        <v>2</v>
      </c>
      <c r="AF53" t="inlineStr">
        <is>
          <t>CONSTRUTORA ENERGETTE LTDA:ME; SERGIO LUCAS BORGES SOARES GALVAO 03336414180:ME</t>
        </is>
      </c>
      <c r="AH53" t="inlineStr">
        <is>
          <t>pontual</t>
        </is>
      </c>
      <c r="AI53" t="n">
        <v>3</v>
      </c>
      <c r="AJ53" t="n">
        <v>0</v>
      </c>
      <c r="AK53" t="n">
        <v>0</v>
      </c>
      <c r="AL53" t="n">
        <v>0</v>
      </c>
      <c r="AM53" t="n">
        <v>1</v>
      </c>
      <c r="AN53" t="n">
        <v>1</v>
      </c>
      <c r="AP53" t="inlineStr">
        <is>
          <t>lificação técnico-operacional será comprovada mediante apresentação de: 9.6.1.1 Pelo menos, um atestado de capacidade técnica, compatível com o objeto desta licitação, ou seja, prestação de serviços de manutenção predial com dedicação exclusiva de mão de obra , fornecido por pessoa jurídica de direi…</t>
        </is>
      </c>
      <c r="AQ53" t="n">
        <v>0</v>
      </c>
      <c r="AT53" t="n">
        <v>0</v>
      </c>
      <c r="AU53" t="n">
        <v>1</v>
      </c>
    </row>
    <row r="54">
      <c r="A54" t="inlineStr">
        <is>
          <t>00509968000148_2026_1604</t>
        </is>
      </c>
      <c r="B54" s="2" t="inlineStr">
        <is>
          <t>https://pncp.gov.br/app/editais/00509968000148/2026/1604</t>
        </is>
      </c>
      <c r="C54" t="inlineStr">
        <is>
          <t>2026-09-27T02:35:52.733809+00:00</t>
        </is>
      </c>
      <c r="D54" t="inlineStr">
        <is>
          <t>GO</t>
        </is>
      </c>
      <c r="E54" t="inlineStr">
        <is>
          <t>GO</t>
        </is>
      </c>
      <c r="F54" t="inlineStr">
        <is>
          <t>Goiânia</t>
        </is>
      </c>
      <c r="G54" t="inlineStr">
        <is>
          <t>TRIBUNAL SUPERIOR DO TRABALHO</t>
        </is>
      </c>
      <c r="H54" t="inlineStr">
        <is>
          <t>Federal</t>
        </is>
      </c>
      <c r="I54" t="inlineStr">
        <is>
          <t>2026-05-27T07:20:31</t>
        </is>
      </c>
      <c r="J54" t="inlineStr">
        <is>
          <t>Pregão - Eletrônico</t>
        </is>
      </c>
      <c r="K54" t="inlineStr">
        <is>
          <t>Registro de preços para eventual fornecimento e instalação de equipamentos de ar-condicionado tipo split high-wall, split piso-teto, split cassete, com eventual retirada de máquinas, incluindo pequenas recomposições de alvenarias e acabamentos, conforme especificações técnicas e condições constantes no Termo de Referência.</t>
        </is>
      </c>
      <c r="L54" t="b">
        <v>1</v>
      </c>
      <c r="M54" t="inlineStr">
        <is>
          <t>climatizacao</t>
        </is>
      </c>
      <c r="N54" t="inlineStr">
        <is>
          <t>climatizacao</t>
        </is>
      </c>
      <c r="O54" t="n">
        <v>1835871.8</v>
      </c>
      <c r="P54" t="n">
        <v>1104601.85</v>
      </c>
      <c r="Q54" t="n">
        <v>1835871.8</v>
      </c>
      <c r="R54" t="n">
        <v>0.39832299292358</v>
      </c>
      <c r="S54" t="n">
        <v>0</v>
      </c>
      <c r="T54" t="n">
        <v>16</v>
      </c>
      <c r="U54" t="n">
        <v>16</v>
      </c>
      <c r="V54" t="n">
        <v>16</v>
      </c>
      <c r="W54" t="n">
        <v>0</v>
      </c>
      <c r="X54" t="n">
        <v>0</v>
      </c>
      <c r="Y54" t="n">
        <v>0</v>
      </c>
      <c r="Z54" t="n">
        <v>0</v>
      </c>
      <c r="AA54" t="n">
        <v>0</v>
      </c>
      <c r="AB54" t="n">
        <v>0</v>
      </c>
      <c r="AC54" t="n">
        <v>0</v>
      </c>
      <c r="AD54" t="n">
        <v>0</v>
      </c>
      <c r="AE54" t="n">
        <v>1</v>
      </c>
      <c r="AF54" t="inlineStr">
        <is>
          <t>MUNDIAL REFRIGERACAO LTDA:ME</t>
        </is>
      </c>
      <c r="AH54" t="inlineStr">
        <is>
          <t>pontual</t>
        </is>
      </c>
      <c r="AI54" t="n">
        <v>12</v>
      </c>
      <c r="AJ54" t="n">
        <v>0</v>
      </c>
      <c r="AK54" t="n">
        <v>0</v>
      </c>
      <c r="AL54" t="n">
        <v>0</v>
      </c>
      <c r="AM54" t="n">
        <v>1</v>
      </c>
      <c r="AN54" t="n">
        <v>1</v>
      </c>
      <c r="AP54" t="inlineStr">
        <is>
          <t>instalação de equipamento de ar-condicionado tipo split, mediante apresentação de, pelo menos, um atestado de capacidade técnica fornecido por pessoa jurídica de direito público ou privado; 10.6.1.1 O atestado deverá conter, obrigatoriamente: a) Nome da empresa ou órgão que fornece o atestado; b) En…</t>
        </is>
      </c>
      <c r="AQ54" t="n">
        <v>0.9054505875628134</v>
      </c>
      <c r="AR54" t="inlineStr">
        <is>
          <t>equipamento_alto</t>
        </is>
      </c>
      <c r="AS54" t="inlineStr">
        <is>
          <t>heuristica automatica confirmada (equipamento_alto): fracao estimada em itens de material = 91% (&gt; 40%).</t>
        </is>
      </c>
      <c r="AT54" t="n">
        <v>0</v>
      </c>
      <c r="AU54" t="n">
        <v>0</v>
      </c>
    </row>
    <row r="55">
      <c r="A55" t="inlineStr">
        <is>
          <t>00531954000120_2025_154</t>
        </is>
      </c>
      <c r="B55" s="2" t="inlineStr">
        <is>
          <t>https://pncp.gov.br/app/editais/00531954000120/2025/154</t>
        </is>
      </c>
      <c r="C55" t="inlineStr">
        <is>
          <t>2026-09-27T04:54:09.945451+00:00</t>
        </is>
      </c>
      <c r="D55" t="inlineStr">
        <is>
          <t>DF</t>
        </is>
      </c>
      <c r="E55" t="inlineStr">
        <is>
          <t>vizinhos</t>
        </is>
      </c>
      <c r="F55" t="inlineStr">
        <is>
          <t>Brasília</t>
        </is>
      </c>
      <c r="G55" t="inlineStr">
        <is>
          <t>TRIBUNAL DE JUSTICA DO DISTRITO FEDERAL E DOS TERRITORIOS</t>
        </is>
      </c>
      <c r="H55" t="inlineStr">
        <is>
          <t>Federal</t>
        </is>
      </c>
      <c r="I55" t="inlineStr">
        <is>
          <t>2026-01-23T07:01:43</t>
        </is>
      </c>
      <c r="J55" t="inlineStr">
        <is>
          <t>Pregão - Eletrônico</t>
        </is>
      </c>
      <c r="K55" t="inlineStr">
        <is>
          <t>Contratação de empresa especializada na prestação de serviços de manutenção preventiva e corretiva dos equipamentos de ar condicionado de pequeno e médio porte, bem como na manutenção corretiva em bebedouros de garrafão e pressão, além do remanejamento e instalação de equipamentos de ar condicionado do tipo split, nos termos do edital e dos seus anexos.</t>
        </is>
      </c>
      <c r="L55" t="b">
        <v>0</v>
      </c>
      <c r="M55" t="inlineStr">
        <is>
          <t>refrigeracao</t>
        </is>
      </c>
      <c r="N55" t="inlineStr">
        <is>
          <t>refrigeracao</t>
        </is>
      </c>
      <c r="O55" t="n">
        <v>799533.4399999999</v>
      </c>
      <c r="P55" t="n">
        <v>443035.56</v>
      </c>
      <c r="Q55" t="n">
        <v>799533.4399999999</v>
      </c>
      <c r="R55" t="n">
        <v>0.4458823886090368</v>
      </c>
      <c r="S55" t="n">
        <v>0</v>
      </c>
      <c r="T55" t="n">
        <v>7</v>
      </c>
      <c r="U55" t="n">
        <v>7</v>
      </c>
      <c r="V55" t="n">
        <v>7</v>
      </c>
      <c r="W55" t="n">
        <v>0</v>
      </c>
      <c r="X55" t="n">
        <v>0</v>
      </c>
      <c r="Y55" t="n">
        <v>0</v>
      </c>
      <c r="Z55" t="n">
        <v>0</v>
      </c>
      <c r="AA55" t="n">
        <v>0</v>
      </c>
      <c r="AB55" t="n">
        <v>0</v>
      </c>
      <c r="AC55" t="n">
        <v>0</v>
      </c>
      <c r="AD55" t="n">
        <v>0</v>
      </c>
      <c r="AE55" t="n">
        <v>1</v>
      </c>
      <c r="AF55" t="inlineStr">
        <is>
          <t>ARJ SISTEMAS DE AR CONDICIONADO E INCENDIO LTDA:ME</t>
        </is>
      </c>
      <c r="AH55" t="inlineStr">
        <is>
          <t>indefinido</t>
        </is>
      </c>
      <c r="AJ55" t="n">
        <v>0</v>
      </c>
      <c r="AK55" t="n">
        <v>0</v>
      </c>
      <c r="AL55" t="n">
        <v>0</v>
      </c>
      <c r="AM55" t="n">
        <v>0</v>
      </c>
      <c r="AN55" t="n">
        <v>0</v>
      </c>
      <c r="AQ55" t="n">
        <v>0</v>
      </c>
      <c r="AR55" t="inlineStr">
        <is>
          <t>fora_do_nucleo</t>
        </is>
      </c>
      <c r="AS55" t="inlineStr">
        <is>
          <t>~86% do valor em manutencao de ar-condicionado de pequeno/medio porte; ~14% em bebedouros.</t>
        </is>
      </c>
      <c r="AT55" t="n">
        <v>0</v>
      </c>
      <c r="AU55" t="n">
        <v>0</v>
      </c>
    </row>
    <row r="56">
      <c r="A56" t="inlineStr">
        <is>
          <t>00675468000186_2025_67</t>
        </is>
      </c>
      <c r="B56" s="2" t="inlineStr">
        <is>
          <t>https://pncp.gov.br/app/editais/00675468000186/2025/67</t>
        </is>
      </c>
      <c r="C56" t="inlineStr">
        <is>
          <t>2026-09-27T02:45:49.675136+00:00</t>
        </is>
      </c>
      <c r="D56" t="inlineStr">
        <is>
          <t>GO</t>
        </is>
      </c>
      <c r="E56" t="inlineStr">
        <is>
          <t>GO</t>
        </is>
      </c>
      <c r="F56" t="inlineStr">
        <is>
          <t>Caldas Novas</t>
        </is>
      </c>
      <c r="G56" t="inlineStr">
        <is>
          <t>DEMAE - DEPARTAMENTO MUNICIPAL DE AGUA E ESGOTO</t>
        </is>
      </c>
      <c r="H56" t="inlineStr">
        <is>
          <t>Municipal</t>
        </is>
      </c>
      <c r="I56" t="inlineStr">
        <is>
          <t>2025-10-14T09:17:39</t>
        </is>
      </c>
      <c r="J56" t="inlineStr">
        <is>
          <t>Pregão - Eletrônico</t>
        </is>
      </c>
      <c r="K56" t="inlineStr">
        <is>
          <t>CONTRATAÇÃO DE EMPRESA PARA REGISTRO DE PREÇOS PARA FUTURA E EVENTUAL MANUTENÇÃO PREVENTIVA E CORRETIVA E INSTALAÇÃO DE EQUIPAMENTOS DE AR CONDICIONADO, COM FORNECIMENTO DE PEÇAS E COMPONENTES DO DEMAE - DEPARTAMENTO MUNICIPAL DE ÁGUA E ESGOTO DE CALDAS NOVAS, CONFORME CONDIÇÕES E EXIGÊNCIAS ESTABELECIDAS NO EDITAL E SEUS ANEXOS.</t>
        </is>
      </c>
      <c r="L56" t="b">
        <v>1</v>
      </c>
      <c r="M56" t="inlineStr">
        <is>
          <t>climatizacao</t>
        </is>
      </c>
      <c r="N56" t="inlineStr">
        <is>
          <t>climatizacao</t>
        </is>
      </c>
      <c r="O56" t="n">
        <v>160547.66</v>
      </c>
      <c r="P56" t="n">
        <v>112500</v>
      </c>
      <c r="Q56" t="n">
        <v>160547.663</v>
      </c>
      <c r="R56" t="n">
        <v>0.2992735123151558</v>
      </c>
      <c r="S56" t="n">
        <v>0</v>
      </c>
      <c r="T56" t="n">
        <v>28</v>
      </c>
      <c r="U56" t="n">
        <v>28</v>
      </c>
      <c r="V56" t="n">
        <v>28</v>
      </c>
      <c r="W56" t="n">
        <v>0</v>
      </c>
      <c r="X56" t="n">
        <v>0</v>
      </c>
      <c r="Y56" t="n">
        <v>0</v>
      </c>
      <c r="Z56" t="n">
        <v>0</v>
      </c>
      <c r="AA56" t="n">
        <v>0</v>
      </c>
      <c r="AB56" t="n">
        <v>0</v>
      </c>
      <c r="AC56" t="n">
        <v>0</v>
      </c>
      <c r="AD56" t="n">
        <v>0</v>
      </c>
      <c r="AE56" t="n">
        <v>1</v>
      </c>
      <c r="AF56" t="inlineStr">
        <is>
          <t>IMPERIO SERVICOS LTDA:Demais</t>
        </is>
      </c>
      <c r="AH56" t="inlineStr">
        <is>
          <t>pontual</t>
        </is>
      </c>
      <c r="AJ56" t="n">
        <v>0</v>
      </c>
      <c r="AK56" t="n">
        <v>0</v>
      </c>
      <c r="AL56" t="n">
        <v>0</v>
      </c>
      <c r="AM56" t="n">
        <v>0</v>
      </c>
      <c r="AN56" t="n">
        <v>0</v>
      </c>
      <c r="AQ56" t="n">
        <v>0.02988209177482702</v>
      </c>
      <c r="AS56" t="inlineStr">
        <is>
          <t>heuristica automatica confirmada: servico real de climatizacao, sem sinais de exclusao.</t>
        </is>
      </c>
      <c r="AT56" t="n">
        <v>0</v>
      </c>
      <c r="AU56" t="n">
        <v>1</v>
      </c>
    </row>
    <row r="57">
      <c r="A57" t="inlineStr">
        <is>
          <t>01005727000124_2025_88</t>
        </is>
      </c>
      <c r="B57" s="2" t="inlineStr">
        <is>
          <t>https://pncp.gov.br/app/editais/01005727000124/2025/88</t>
        </is>
      </c>
      <c r="C57" t="inlineStr">
        <is>
          <t>2026-09-27T02:59:59.085296+00:00</t>
        </is>
      </c>
      <c r="D57" t="inlineStr">
        <is>
          <t>GO</t>
        </is>
      </c>
      <c r="E57" t="inlineStr">
        <is>
          <t>GO</t>
        </is>
      </c>
      <c r="F57" t="inlineStr">
        <is>
          <t>Aparecida de Goiânia</t>
        </is>
      </c>
      <c r="G57" t="inlineStr">
        <is>
          <t>MUNICIPIO DE APARECIDA DE GOIANIA</t>
        </is>
      </c>
      <c r="H57" t="inlineStr">
        <is>
          <t>Municipal</t>
        </is>
      </c>
      <c r="I57" t="inlineStr">
        <is>
          <t>2025-07-10T18:32:57</t>
        </is>
      </c>
      <c r="J57" t="inlineStr">
        <is>
          <t>Pregão - Eletrônico</t>
        </is>
      </c>
      <c r="K57" t="inlineStr">
        <is>
          <t>Contratação de empresa especializada em manutenção preventiva mensal, corretiva e emergencial, nos sistemas de refrigeração, instalados nos prédios do Complexo da Cidade Administrativa Maguito Vilela e Anfiteatro Municipal Cantor Leandro, com a inclusão total de peças, componentes, acessórios e mão de obra, conforme condições e especificações estabelecidas no edital e seus anexos.</t>
        </is>
      </c>
      <c r="L57" t="b">
        <v>0</v>
      </c>
      <c r="M57" t="inlineStr">
        <is>
          <t>climatizacao</t>
        </is>
      </c>
      <c r="N57" t="inlineStr">
        <is>
          <t>climatizacao</t>
        </is>
      </c>
      <c r="O57" t="n">
        <v>428920</v>
      </c>
      <c r="P57" t="n">
        <v>297999.96</v>
      </c>
      <c r="Q57" t="n">
        <v>428920</v>
      </c>
      <c r="R57" t="n">
        <v>0.3052318381050079</v>
      </c>
      <c r="S57" t="n">
        <v>0</v>
      </c>
      <c r="T57" t="n">
        <v>1</v>
      </c>
      <c r="U57" t="n">
        <v>1</v>
      </c>
      <c r="V57" t="n">
        <v>1</v>
      </c>
      <c r="W57" t="n">
        <v>0</v>
      </c>
      <c r="X57" t="n">
        <v>0</v>
      </c>
      <c r="Y57" t="n">
        <v>0</v>
      </c>
      <c r="Z57" t="n">
        <v>0</v>
      </c>
      <c r="AA57" t="n">
        <v>0</v>
      </c>
      <c r="AB57" t="n">
        <v>0</v>
      </c>
      <c r="AC57" t="n">
        <v>0</v>
      </c>
      <c r="AD57" t="n">
        <v>0</v>
      </c>
      <c r="AE57" t="n">
        <v>1</v>
      </c>
      <c r="AF57" t="inlineStr">
        <is>
          <t>BR MIX COMERCIO E SERVICOS LTDA:Não Informado</t>
        </is>
      </c>
      <c r="AH57" t="inlineStr">
        <is>
          <t>continuado</t>
        </is>
      </c>
      <c r="AJ57" t="n">
        <v>0</v>
      </c>
      <c r="AK57" t="n">
        <v>0</v>
      </c>
      <c r="AL57" t="n">
        <v>0</v>
      </c>
      <c r="AM57" t="n">
        <v>0</v>
      </c>
      <c r="AN57" t="n">
        <v>0</v>
      </c>
      <c r="AQ57" t="n">
        <v>1</v>
      </c>
      <c r="AS57" t="inlineStr">
        <is>
          <t>objeto descreve explicitamente manutencao mensal com pecas e mao de obra incluidas = servico continuado, nao fornecimento puro.</t>
        </is>
      </c>
      <c r="AT57" t="n">
        <v>1</v>
      </c>
      <c r="AU57" t="n">
        <v>1</v>
      </c>
    </row>
    <row r="58">
      <c r="A58" t="inlineStr">
        <is>
          <t>01005727000124_2026_158</t>
        </is>
      </c>
      <c r="B58" s="2" t="inlineStr">
        <is>
          <t>https://pncp.gov.br/app/editais/01005727000124/2026/158</t>
        </is>
      </c>
      <c r="C58" t="inlineStr">
        <is>
          <t>2026-09-27T14:31:15.570658+00:00</t>
        </is>
      </c>
      <c r="D58" t="inlineStr">
        <is>
          <t>GO</t>
        </is>
      </c>
      <c r="E58" t="inlineStr">
        <is>
          <t>GO</t>
        </is>
      </c>
      <c r="F58" t="inlineStr">
        <is>
          <t>Aparecida de Goiânia</t>
        </is>
      </c>
      <c r="G58" t="inlineStr">
        <is>
          <t>MUNICIPIO DE APARECIDA DE GOIANIA</t>
        </is>
      </c>
      <c r="H58" t="inlineStr">
        <is>
          <t>Municipal</t>
        </is>
      </c>
      <c r="I58" t="inlineStr">
        <is>
          <t>2026-05-28T10:37:41</t>
        </is>
      </c>
      <c r="J58" t="inlineStr">
        <is>
          <t>Pregão - Eletrônico</t>
        </is>
      </c>
      <c r="K58" t="inlineStr">
        <is>
          <t>REGISTRO DE PREÇO PARA EVENTUAL CONTRATAÇÃO DE EMPRESA ESPECIALIZADA NA PRESTAÇÃO DE SERVIÇOS DE MANUTENÇÃO CORRETIVA E PREVENTIVA DE EQUIPAMENTOS ODONTOLÓGICOS, COM FORNECIMENTO E SUBSTITUIÇÃO DE PEÇAS E ACESSÓRIOS ORIGINAIS, EXECUÇÃO DE CALIBRAÇÕES E TESTES DE SEGURANÇA ELÉTRICA CONFORME NORMAS VIGENTES, E DISPONIBILIZAÇÃO DE SISTEMA INFORMATIZADO DE GESTÃO TÉCNICA, CONFORME CONDIÇÕES E ESPECIFICAÇÕES ESTABELECIDAS NO EDITAL E SEUS ANEXOS.</t>
        </is>
      </c>
      <c r="L58" t="b">
        <v>1</v>
      </c>
      <c r="M58" t="inlineStr">
        <is>
          <t>eletrica_predial</t>
        </is>
      </c>
      <c r="N58" t="inlineStr">
        <is>
          <t>eletrica_predial</t>
        </is>
      </c>
      <c r="O58" t="n">
        <v>1275766.74</v>
      </c>
      <c r="P58" t="n">
        <v>600000</v>
      </c>
      <c r="Q58" t="n">
        <v>1275766.74</v>
      </c>
      <c r="R58" t="n">
        <v>0.5296945897805738</v>
      </c>
      <c r="S58" t="n">
        <v>0</v>
      </c>
      <c r="T58" t="n">
        <v>1</v>
      </c>
      <c r="U58" t="n">
        <v>1</v>
      </c>
      <c r="V58" t="n">
        <v>1</v>
      </c>
      <c r="W58" t="n">
        <v>0</v>
      </c>
      <c r="X58" t="n">
        <v>0</v>
      </c>
      <c r="Y58" t="n">
        <v>0</v>
      </c>
      <c r="Z58" t="n">
        <v>0</v>
      </c>
      <c r="AA58" t="n">
        <v>0</v>
      </c>
      <c r="AB58" t="n">
        <v>0</v>
      </c>
      <c r="AC58" t="n">
        <v>0</v>
      </c>
      <c r="AD58" t="n">
        <v>0</v>
      </c>
      <c r="AE58" t="n">
        <v>1</v>
      </c>
      <c r="AF58" t="inlineStr">
        <is>
          <t>SANTER MED COMERCIO E PRESTACAO DE SERVICOS EM MAN:Não Informado</t>
        </is>
      </c>
      <c r="AH58" t="inlineStr">
        <is>
          <t>pontual</t>
        </is>
      </c>
      <c r="AI58" t="n">
        <v>3</v>
      </c>
      <c r="AJ58" t="n">
        <v>0</v>
      </c>
      <c r="AK58" t="n">
        <v>0</v>
      </c>
      <c r="AL58" t="n">
        <v>0</v>
      </c>
      <c r="AM58" t="n">
        <v>1</v>
      </c>
      <c r="AN58" t="n">
        <v>1</v>
      </c>
      <c r="AP58" t="inlineStr">
        <is>
          <t>restação de serviços. 7.5.3. Capacitação técnico-operacional - cuja comprovação se fará através de atestados de capacidade técnica, emitidos por pessoa jurídica de direito público ou privado, em nome da empresa licitante, que comprovem aptidão da licitante para o desempenho de atividades compatíveis…</t>
        </is>
      </c>
      <c r="AQ58" t="n">
        <v>1</v>
      </c>
      <c r="AR58" t="inlineStr">
        <is>
          <t>fornecimento_puro</t>
        </is>
      </c>
      <c r="AS58" t="inlineStr">
        <is>
          <t>Confirmada exclusao automatica (fornecimento_puro): 1 item(ns), todos classificados como material (sem servico).</t>
        </is>
      </c>
      <c r="AT58" t="n">
        <v>1</v>
      </c>
      <c r="AU58" t="n">
        <v>0</v>
      </c>
    </row>
    <row r="59">
      <c r="A59" t="inlineStr">
        <is>
          <t>01005727000124_2026_21</t>
        </is>
      </c>
      <c r="B59" s="2" t="inlineStr">
        <is>
          <t>https://pncp.gov.br/app/editais/01005727000124/2026/21</t>
        </is>
      </c>
      <c r="C59" t="inlineStr">
        <is>
          <t>2026-09-27T14:34:02.609469+00:00</t>
        </is>
      </c>
      <c r="D59" t="inlineStr">
        <is>
          <t>GO</t>
        </is>
      </c>
      <c r="E59" t="inlineStr">
        <is>
          <t>GO</t>
        </is>
      </c>
      <c r="F59" t="inlineStr">
        <is>
          <t>Aparecida de Goiânia</t>
        </is>
      </c>
      <c r="G59" t="inlineStr">
        <is>
          <t>MUNICIPIO DE APARECIDA DE GOIANIA</t>
        </is>
      </c>
      <c r="H59" t="inlineStr">
        <is>
          <t>Municipal</t>
        </is>
      </c>
      <c r="I59" t="inlineStr">
        <is>
          <t>2026-01-19T18:31:38</t>
        </is>
      </c>
      <c r="J59" t="inlineStr">
        <is>
          <t>Pregão - Eletrônico</t>
        </is>
      </c>
      <c r="K59" t="inlineStr">
        <is>
          <t>Registro de Preço para eventual contratação de empresa especializada em locação de ambulâncias (AMBULÂNCIA DE TRANSPORTE / SUPORTE BÁSICO (TIPO A e B), MINIVANS, VAN REFRIGERADA e VANS ACESSIVEIS) em conformidade com a Lei Nº 10.098, de dezembro de 2000, bem como a resolução ANTT Nº 3.871/2012, Portaria INMETRO Nº 383/2021 Norma ABNT NBR 15320; com motorista, abrangendo o seguro veicular completo, manutenção preventiva e corretiva, limpeza e higienização, monitoramento e rastreamento, para atender as demandas específicas da Secretária de Saúde do Município de Aparecida de Goiânia.</t>
        </is>
      </c>
      <c r="L59" t="b">
        <v>1</v>
      </c>
      <c r="M59" t="inlineStr">
        <is>
          <t>refrigeracao</t>
        </is>
      </c>
      <c r="N59" t="inlineStr">
        <is>
          <t>refrigeracao</t>
        </is>
      </c>
      <c r="O59" t="n">
        <v>13086269.88</v>
      </c>
      <c r="P59" t="n">
        <v>17842075.92</v>
      </c>
      <c r="Q59" t="n">
        <v>13086269.88</v>
      </c>
      <c r="R59" t="n">
        <v>-0.3634195292937057</v>
      </c>
      <c r="S59" t="n">
        <v>1</v>
      </c>
      <c r="T59" t="n">
        <v>5</v>
      </c>
      <c r="U59" t="n">
        <v>5</v>
      </c>
      <c r="V59" t="n">
        <v>5</v>
      </c>
      <c r="W59" t="n">
        <v>0</v>
      </c>
      <c r="X59" t="n">
        <v>0</v>
      </c>
      <c r="Y59" t="n">
        <v>0</v>
      </c>
      <c r="Z59" t="n">
        <v>0</v>
      </c>
      <c r="AA59" t="n">
        <v>0</v>
      </c>
      <c r="AB59" t="n">
        <v>0</v>
      </c>
      <c r="AC59" t="n">
        <v>0</v>
      </c>
      <c r="AD59" t="n">
        <v>0</v>
      </c>
      <c r="AE59" t="n">
        <v>2</v>
      </c>
      <c r="AF59" t="inlineStr">
        <is>
          <t>SUPORTE LOCACAO DE VEICULOS MAQUINAS E EQUIPAMENTO:Não Informado; JML 3 SOLUCOES E TRANSPORTES LTDA:Não Informado</t>
        </is>
      </c>
      <c r="AH59" t="inlineStr">
        <is>
          <t>continuado</t>
        </is>
      </c>
      <c r="AI59" t="n">
        <v>12</v>
      </c>
      <c r="AJ59" t="n">
        <v>0</v>
      </c>
      <c r="AK59" t="n">
        <v>0</v>
      </c>
      <c r="AL59" t="n">
        <v>0</v>
      </c>
      <c r="AM59" t="n">
        <v>0</v>
      </c>
      <c r="AN59" t="n">
        <v>0</v>
      </c>
      <c r="AP59" t="inlineStr">
        <is>
          <t>UALIFICAÇÃO TÉCNICA: 8.5.1. Capacitação técnico- operacional - cuja comprovação se fará através de atestados de capacidade técnica, emitidos por pessoa jurídica de direito público ou privado, em nome da empresa licitante, que comprovem aptidão da licitante para o desempenho de atividades compatíveis…</t>
        </is>
      </c>
      <c r="AQ59" t="n">
        <v>1</v>
      </c>
      <c r="AR59" t="inlineStr">
        <is>
          <t>mencao_passagem</t>
        </is>
      </c>
      <c r="AS59" t="inlineStr">
        <is>
          <t>Locacao de ambulancias (transporte/suporte basico tipo A e B) -- e veiculo, nao refrigeracao. Unico caso da coleta suplementar (hit.origem='suplementar'), corretamente sinalizado pelo pipeline automatico.</t>
        </is>
      </c>
      <c r="AT59" t="n">
        <v>0</v>
      </c>
      <c r="AU59" t="n">
        <v>0</v>
      </c>
    </row>
    <row r="60">
      <c r="A60" t="inlineStr">
        <is>
          <t>01005727000124_2026_4</t>
        </is>
      </c>
      <c r="B60" s="2" t="inlineStr">
        <is>
          <t>https://pncp.gov.br/app/editais/01005727000124/2026/4</t>
        </is>
      </c>
      <c r="C60" t="inlineStr">
        <is>
          <t>2026-09-27T02:41:19.001201+00:00</t>
        </is>
      </c>
      <c r="D60" t="inlineStr">
        <is>
          <t>GO</t>
        </is>
      </c>
      <c r="E60" t="inlineStr">
        <is>
          <t>GO</t>
        </is>
      </c>
      <c r="F60" t="inlineStr">
        <is>
          <t>Aparecida de Goiânia</t>
        </is>
      </c>
      <c r="G60" t="inlineStr">
        <is>
          <t>MUNICIPIO DE APARECIDA DE GOIANIA</t>
        </is>
      </c>
      <c r="H60" t="inlineStr">
        <is>
          <t>Municipal</t>
        </is>
      </c>
      <c r="I60" t="inlineStr">
        <is>
          <t>2025-12-16T18:30:55</t>
        </is>
      </c>
      <c r="J60" t="inlineStr">
        <is>
          <t>Pregão - Eletrônico</t>
        </is>
      </c>
      <c r="K60" t="inlineStr">
        <is>
          <t>Contratação de empresa especializada para prestação de serviços, sob demanda, relacionados à manutenção preventiva, corretiva, instalação e remoção de aparelhos de ar condicionado, com fornecimento de peças, conforme condições e especificações estabelecidas no edital e seus anexos.</t>
        </is>
      </c>
      <c r="L60" t="b">
        <v>0</v>
      </c>
      <c r="M60" t="inlineStr">
        <is>
          <t>climatizacao</t>
        </is>
      </c>
      <c r="N60" t="inlineStr">
        <is>
          <t>climatizacao</t>
        </is>
      </c>
      <c r="O60" t="n">
        <v>86592.55</v>
      </c>
      <c r="P60" t="n">
        <v>58000</v>
      </c>
      <c r="Q60" t="n">
        <v>86592.55</v>
      </c>
      <c r="R60" t="n">
        <v>0.3301964198998644</v>
      </c>
      <c r="S60" t="n">
        <v>0</v>
      </c>
      <c r="T60" t="n">
        <v>1</v>
      </c>
      <c r="U60" t="n">
        <v>1</v>
      </c>
      <c r="V60" t="n">
        <v>1</v>
      </c>
      <c r="W60" t="n">
        <v>0</v>
      </c>
      <c r="X60" t="n">
        <v>0</v>
      </c>
      <c r="Y60" t="n">
        <v>0</v>
      </c>
      <c r="Z60" t="n">
        <v>0</v>
      </c>
      <c r="AA60" t="n">
        <v>0</v>
      </c>
      <c r="AB60" t="n">
        <v>0</v>
      </c>
      <c r="AC60" t="n">
        <v>0</v>
      </c>
      <c r="AD60" t="n">
        <v>0</v>
      </c>
      <c r="AE60" t="n">
        <v>1</v>
      </c>
      <c r="AF60" t="inlineStr">
        <is>
          <t>ALTURA E CLIMA AR CONDICIONADO LTDA:Não Informado</t>
        </is>
      </c>
      <c r="AH60" t="inlineStr">
        <is>
          <t>continuado</t>
        </is>
      </c>
      <c r="AI60" t="n">
        <v>12</v>
      </c>
      <c r="AJ60" t="n">
        <v>0</v>
      </c>
      <c r="AK60" t="n">
        <v>0</v>
      </c>
      <c r="AL60" t="n">
        <v>0</v>
      </c>
      <c r="AM60" t="n">
        <v>1</v>
      </c>
      <c r="AN60" t="n">
        <v>0</v>
      </c>
      <c r="AP60" t="inlineStr">
        <is>
          <t>UALIFICAÇÃO TÉCNICA: 7.5.1. Capacitação técnico -operacional - cuja comprovação se fará através de atestados de capacidade técnica, emitidos por pessoa jurídica de direito público ou privado, em nome da empresa licitante, que comprovem aptidão da licitante para o desempenho de atividades compatíveis…</t>
        </is>
      </c>
      <c r="AQ60" t="n">
        <v>1</v>
      </c>
      <c r="AS60" t="inlineStr">
        <is>
          <t>servico sob demanda de manutencao/instalacao/remocao com fornecimento de pecas = servico, mal cadastrado como Material.</t>
        </is>
      </c>
      <c r="AT60" t="n">
        <v>1</v>
      </c>
      <c r="AU60" t="n">
        <v>1</v>
      </c>
    </row>
    <row r="61">
      <c r="A61" t="inlineStr">
        <is>
          <t>01005917000141_2025_257</t>
        </is>
      </c>
      <c r="B61" s="2" t="inlineStr">
        <is>
          <t>https://pncp.gov.br/app/editais/01005917000141/2025/257</t>
        </is>
      </c>
      <c r="C61" t="inlineStr">
        <is>
          <t>2026-09-27T04:42:26.271421+00:00</t>
        </is>
      </c>
      <c r="D61" t="inlineStr">
        <is>
          <t>GO</t>
        </is>
      </c>
      <c r="E61" t="inlineStr">
        <is>
          <t>GO</t>
        </is>
      </c>
      <c r="F61" t="inlineStr">
        <is>
          <t>Bela Vista de Goiás</t>
        </is>
      </c>
      <c r="G61" t="inlineStr">
        <is>
          <t>MUNICIPIO DE BELA VISTA DE GOIAS</t>
        </is>
      </c>
      <c r="H61" t="inlineStr">
        <is>
          <t>Municipal</t>
        </is>
      </c>
      <c r="I61" t="inlineStr">
        <is>
          <t>2025-12-18T23:01:46</t>
        </is>
      </c>
      <c r="J61" t="inlineStr">
        <is>
          <t>Pregão - Presencial</t>
        </is>
      </c>
      <c r="K61" t="inlineStr">
        <is>
          <t>AQUISIÇÃO FUTURA E PARCELADA DE ITENS DE NATAL DESTINADOS À DECORAÇÃO E ILUMINAÇÃO DOS ESPAÇOS PÚBLICOS DO MUNICÍPIO DE BELA VISTA DE GOIÁS</t>
        </is>
      </c>
      <c r="L61" t="b">
        <v>1</v>
      </c>
      <c r="M61" t="inlineStr">
        <is>
          <t>iluminacao_publica</t>
        </is>
      </c>
      <c r="N61" t="inlineStr">
        <is>
          <t>iluminacao_publica</t>
        </is>
      </c>
      <c r="O61" t="n">
        <v>990458.73</v>
      </c>
      <c r="P61" t="n">
        <v>940315</v>
      </c>
      <c r="Q61" t="n">
        <v>990458.73</v>
      </c>
      <c r="R61" t="n">
        <v>0.05062677371726533</v>
      </c>
      <c r="S61" t="n">
        <v>0</v>
      </c>
      <c r="T61" t="n">
        <v>26</v>
      </c>
      <c r="U61" t="n">
        <v>26</v>
      </c>
      <c r="V61" t="n">
        <v>26</v>
      </c>
      <c r="W61" t="n">
        <v>0</v>
      </c>
      <c r="X61" t="n">
        <v>0</v>
      </c>
      <c r="Y61" t="n">
        <v>0</v>
      </c>
      <c r="Z61" t="n">
        <v>0</v>
      </c>
      <c r="AA61" t="n">
        <v>0</v>
      </c>
      <c r="AB61" t="n">
        <v>0</v>
      </c>
      <c r="AC61" t="n">
        <v>0</v>
      </c>
      <c r="AD61" t="n">
        <v>0</v>
      </c>
      <c r="AE61" t="n">
        <v>1</v>
      </c>
      <c r="AF61" t="inlineStr">
        <is>
          <t>OUROLUZ MATERIAIS ELETRICOS E ILUMINACAO LTDA:ME</t>
        </is>
      </c>
      <c r="AH61" t="inlineStr">
        <is>
          <t>pontual</t>
        </is>
      </c>
      <c r="AJ61" t="n">
        <v>0</v>
      </c>
      <c r="AK61" t="n">
        <v>0</v>
      </c>
      <c r="AL61" t="n">
        <v>0</v>
      </c>
      <c r="AM61" t="n">
        <v>0</v>
      </c>
      <c r="AN61" t="n">
        <v>0</v>
      </c>
      <c r="AQ61" t="n">
        <v>1</v>
      </c>
      <c r="AR61" t="inlineStr">
        <is>
          <t>fornecimento_puro</t>
        </is>
      </c>
      <c r="AS61" t="inlineStr">
        <is>
          <t>Registro de preços/contratação de fornecimento de materiais, sem mão de obra de manutenção contratada.</t>
        </is>
      </c>
      <c r="AT61" t="n">
        <v>0</v>
      </c>
      <c r="AU61" t="n">
        <v>0</v>
      </c>
    </row>
    <row r="62">
      <c r="A62" t="inlineStr">
        <is>
          <t>01005917000141_2025_75</t>
        </is>
      </c>
      <c r="B62" s="2" t="inlineStr">
        <is>
          <t>https://pncp.gov.br/app/editais/01005917000141/2025/75</t>
        </is>
      </c>
      <c r="C62" t="inlineStr">
        <is>
          <t>2026-09-27T03:04:21.506731+00:00</t>
        </is>
      </c>
      <c r="D62" t="inlineStr">
        <is>
          <t>GO</t>
        </is>
      </c>
      <c r="E62" t="inlineStr">
        <is>
          <t>GO</t>
        </is>
      </c>
      <c r="F62" t="inlineStr">
        <is>
          <t>Bela Vista de Goiás</t>
        </is>
      </c>
      <c r="G62" t="inlineStr">
        <is>
          <t>MUNICIPIO DE BELA VISTA DE GOIAS</t>
        </is>
      </c>
      <c r="H62" t="inlineStr">
        <is>
          <t>Municipal</t>
        </is>
      </c>
      <c r="I62" t="inlineStr">
        <is>
          <t>2025-04-28T10:50:34</t>
        </is>
      </c>
      <c r="J62" t="inlineStr">
        <is>
          <t>Pregão - Eletrônico</t>
        </is>
      </c>
      <c r="K62" t="inlineStr">
        <is>
          <t>Contratação futura, eventual e parcelada de empresa especializada na prestação de serviço de instalação, desinstalação e manutenção de ar condicionado para atender às demandas do Poder Executivo, Fundo Municipal de Assistência Social, Fundo Municipal de Educação, Fundo Especial Municipal de Reaparelhamento e Modernização do Corpo de Bombeiros Militar do Estado de Goiás, Fundo Municipal do Meio Ambiente e Superintendência Municipal de Trânsito e seus departamentos.</t>
        </is>
      </c>
      <c r="L62" t="b">
        <v>1</v>
      </c>
      <c r="M62" t="inlineStr">
        <is>
          <t>climatizacao</t>
        </is>
      </c>
      <c r="N62" t="inlineStr">
        <is>
          <t>climatizacao</t>
        </is>
      </c>
      <c r="O62" t="n">
        <v>169673.52</v>
      </c>
      <c r="P62" t="n">
        <v>74864.10000000001</v>
      </c>
      <c r="Q62" t="n">
        <v>169673.523</v>
      </c>
      <c r="R62" t="n">
        <v>0.5587755904614533</v>
      </c>
      <c r="S62" t="n">
        <v>0</v>
      </c>
      <c r="T62" t="n">
        <v>17</v>
      </c>
      <c r="U62" t="n">
        <v>17</v>
      </c>
      <c r="V62" t="n">
        <v>17</v>
      </c>
      <c r="W62" t="n">
        <v>0</v>
      </c>
      <c r="X62" t="n">
        <v>0</v>
      </c>
      <c r="Y62" t="n">
        <v>0</v>
      </c>
      <c r="Z62" t="n">
        <v>0</v>
      </c>
      <c r="AA62" t="n">
        <v>0</v>
      </c>
      <c r="AB62" t="n">
        <v>0</v>
      </c>
      <c r="AC62" t="n">
        <v>0</v>
      </c>
      <c r="AD62" t="n">
        <v>0</v>
      </c>
      <c r="AE62" t="n">
        <v>1</v>
      </c>
      <c r="AF62" t="inlineStr">
        <is>
          <t>Z-9 ENGENHARIA LTDA:ME</t>
        </is>
      </c>
      <c r="AH62" t="inlineStr">
        <is>
          <t>pontual</t>
        </is>
      </c>
      <c r="AJ62" t="n">
        <v>0</v>
      </c>
      <c r="AK62" t="n">
        <v>0</v>
      </c>
      <c r="AL62" t="n">
        <v>0</v>
      </c>
      <c r="AM62" t="n">
        <v>0</v>
      </c>
      <c r="AN62" t="n">
        <v>0</v>
      </c>
      <c r="AQ62" t="n">
        <v>0</v>
      </c>
      <c r="AS62" t="inlineStr">
        <is>
          <t>heuristica automatica confirmada: servico real de climatizacao, sem sinais de exclusao.</t>
        </is>
      </c>
      <c r="AT62" t="n">
        <v>0</v>
      </c>
      <c r="AU62" t="n">
        <v>1</v>
      </c>
    </row>
    <row r="63">
      <c r="A63" t="inlineStr">
        <is>
          <t>01005917000141_2026_54</t>
        </is>
      </c>
      <c r="B63" s="2" t="inlineStr">
        <is>
          <t>https://pncp.gov.br/app/editais/01005917000141/2026/54</t>
        </is>
      </c>
      <c r="C63" t="inlineStr">
        <is>
          <t>2026-09-27T03:13:51.228286+00:00</t>
        </is>
      </c>
      <c r="D63" t="inlineStr">
        <is>
          <t>GO</t>
        </is>
      </c>
      <c r="E63" t="inlineStr">
        <is>
          <t>GO</t>
        </is>
      </c>
      <c r="F63" t="inlineStr">
        <is>
          <t>Bela Vista de Goiás</t>
        </is>
      </c>
      <c r="G63" t="inlineStr">
        <is>
          <t>MUNICIPIO DE BELA VISTA DE GOIAS</t>
        </is>
      </c>
      <c r="H63" t="inlineStr">
        <is>
          <t>Municipal</t>
        </is>
      </c>
      <c r="I63" t="inlineStr">
        <is>
          <t>2026-04-30T14:10:21</t>
        </is>
      </c>
      <c r="J63" t="inlineStr">
        <is>
          <t>Pregão - Eletrônico</t>
        </is>
      </c>
      <c r="K63" t="inlineStr">
        <is>
          <t>Contratação futura, eventual e parcelada de empresa especializada para o fornecimento de materiais destinados à execução de reparos, manutenções preventivas e corretivas, pequenas reformas e demais intervenções de manutenção predial, visando atender às necessidades da Secretaria Municipal de Obras e Manutenções do Município de Bela Vista de Goiás – GO.</t>
        </is>
      </c>
      <c r="L63" t="b">
        <v>1</v>
      </c>
      <c r="M63" t="inlineStr">
        <is>
          <t>manutencao_predial</t>
        </is>
      </c>
      <c r="N63" t="inlineStr">
        <is>
          <t>manutencao_predial</t>
        </is>
      </c>
      <c r="O63" t="n">
        <v>3159768.55</v>
      </c>
      <c r="P63" t="n">
        <v>983994.9</v>
      </c>
      <c r="Q63" t="n">
        <v>1373232.331</v>
      </c>
      <c r="R63" t="n">
        <v>0.2834461599928644</v>
      </c>
      <c r="S63" t="n">
        <v>0</v>
      </c>
      <c r="T63" t="n">
        <v>90</v>
      </c>
      <c r="U63" t="n">
        <v>40</v>
      </c>
      <c r="V63" t="n">
        <v>90</v>
      </c>
      <c r="W63" t="n">
        <v>0</v>
      </c>
      <c r="X63" t="n">
        <v>0</v>
      </c>
      <c r="Y63" t="n">
        <v>0</v>
      </c>
      <c r="Z63" t="n">
        <v>0</v>
      </c>
      <c r="AA63" t="n">
        <v>0</v>
      </c>
      <c r="AB63" t="n">
        <v>0</v>
      </c>
      <c r="AC63" t="n">
        <v>0</v>
      </c>
      <c r="AD63" t="n">
        <v>0</v>
      </c>
      <c r="AE63" t="n">
        <v>6</v>
      </c>
      <c r="AF63" t="inlineStr">
        <is>
          <t>COMERCIAL RIO SUL LTDA:Demais; COMERCIAL LEAO MATERIAIS DE CONSTRUCAO LTDA:ME; ATACADAO FIBROMAX LTDA:ME; CIMB CONSTRUÇÕES E COMERCIO LTDA:ME; CONSOMAR MATERIAL ELETRICO E HIDRAULICO LTDA:ME; COMERCIAL D &amp; V LTDA:ME</t>
        </is>
      </c>
      <c r="AH63" t="inlineStr">
        <is>
          <t>pontual</t>
        </is>
      </c>
      <c r="AJ63" t="n">
        <v>0</v>
      </c>
      <c r="AK63" t="n">
        <v>0</v>
      </c>
      <c r="AL63" t="n">
        <v>0</v>
      </c>
      <c r="AM63" t="n">
        <v>0</v>
      </c>
      <c r="AN63" t="n">
        <v>0</v>
      </c>
      <c r="AQ63" t="n">
        <v>1</v>
      </c>
      <c r="AR63" t="inlineStr">
        <is>
          <t>fornecimento_puro</t>
        </is>
      </c>
      <c r="AS63" t="inlineStr">
        <is>
          <t>90 item(ns), todos classificados como material (sem servico).</t>
        </is>
      </c>
      <c r="AT63" t="n">
        <v>1</v>
      </c>
      <c r="AU63" t="n">
        <v>0</v>
      </c>
    </row>
    <row r="64">
      <c r="A64" t="inlineStr">
        <is>
          <t>01005917000141_2026_70</t>
        </is>
      </c>
      <c r="B64" s="2" t="inlineStr">
        <is>
          <t>https://pncp.gov.br/app/editais/01005917000141/2026/70</t>
        </is>
      </c>
      <c r="C64" t="inlineStr">
        <is>
          <t>2026-09-27T04:29:58.157327+00:00</t>
        </is>
      </c>
      <c r="D64" t="inlineStr">
        <is>
          <t>GO</t>
        </is>
      </c>
      <c r="E64" t="inlineStr">
        <is>
          <t>GO</t>
        </is>
      </c>
      <c r="F64" t="inlineStr">
        <is>
          <t>Bela Vista de Goiás</t>
        </is>
      </c>
      <c r="G64" t="inlineStr">
        <is>
          <t>MUNICIPIO DE BELA VISTA DE GOIAS</t>
        </is>
      </c>
      <c r="H64" t="inlineStr">
        <is>
          <t>Municipal</t>
        </is>
      </c>
      <c r="I64" t="inlineStr">
        <is>
          <t>2026-06-09T10:12:03</t>
        </is>
      </c>
      <c r="J64" t="inlineStr">
        <is>
          <t>Pregão - Eletrônico</t>
        </is>
      </c>
      <c r="K64" t="inlineStr">
        <is>
          <t>CONTRATAÇÃO FUTURA, EVENTUAL E PARCELADA DE EMPRESA ESPECIALIZADA NO FORNECIMENTO DE FERRAMENTAS, EQUIPAMENTOS E HERBICIDAS PARA ATENDER A DEMANDA DA SECRETARIA MUNICIPAL DE ILUMINAÇÃO, PRAÇAS, JARDINS E LIMPEZA PÚBLICA.</t>
        </is>
      </c>
      <c r="L64" t="b">
        <v>1</v>
      </c>
      <c r="M64" t="inlineStr">
        <is>
          <t>iluminacao_publica</t>
        </is>
      </c>
      <c r="N64" t="inlineStr">
        <is>
          <t>iluminacao_publica</t>
        </is>
      </c>
      <c r="O64" t="n">
        <v>519837.85</v>
      </c>
      <c r="P64" t="n">
        <v>320532.16</v>
      </c>
      <c r="Q64" t="n">
        <v>519837.8535</v>
      </c>
      <c r="R64" t="n">
        <v>0.3833997315857262</v>
      </c>
      <c r="S64" t="n">
        <v>0</v>
      </c>
      <c r="T64" t="n">
        <v>34</v>
      </c>
      <c r="U64" t="n">
        <v>34</v>
      </c>
      <c r="V64" t="n">
        <v>34</v>
      </c>
      <c r="W64" t="n">
        <v>0</v>
      </c>
      <c r="X64" t="n">
        <v>0</v>
      </c>
      <c r="Y64" t="n">
        <v>0</v>
      </c>
      <c r="Z64" t="n">
        <v>0</v>
      </c>
      <c r="AA64" t="n">
        <v>0</v>
      </c>
      <c r="AB64" t="n">
        <v>0</v>
      </c>
      <c r="AC64" t="n">
        <v>0</v>
      </c>
      <c r="AD64" t="n">
        <v>0</v>
      </c>
      <c r="AE64" t="n">
        <v>10</v>
      </c>
      <c r="AF64" t="inlineStr">
        <is>
          <t>CASA DO CAMPO DEBA LTDA:ME; REFINAR EMPRESARIAL ASSESSORIA EM CONTROLES ADMINISTRATIVOS LTDA:ME; MERCOSUL AGRONEGÓCIOS EIRELI:ME; ZAIDAN AGRICOLA LTDA:ME; COMERCIAL D &amp; V LTDA:ME; AC EMPREENDIMENTOS LTDA:ME; FAM ATACADO E DISTRIBUICAO DE MATERIAIS DE CONSTRUCAO LTDA:ME; FREEDOM DO BRASIL LTDA:ME; ARAGUAIA MAQUINAS LTDA:ME; CONSTRULUZ COMERCIO E IMPORTACAO DE MATERIAIS DE CONSTRUCAO E ILUMINACAO LTDA:ME</t>
        </is>
      </c>
      <c r="AH64" t="inlineStr">
        <is>
          <t>pontual</t>
        </is>
      </c>
      <c r="AJ64" t="n">
        <v>0</v>
      </c>
      <c r="AK64" t="n">
        <v>0</v>
      </c>
      <c r="AL64" t="n">
        <v>0</v>
      </c>
      <c r="AM64" t="n">
        <v>0</v>
      </c>
      <c r="AN64" t="n">
        <v>0</v>
      </c>
      <c r="AQ64" t="n">
        <v>1</v>
      </c>
      <c r="AR64" t="inlineStr">
        <is>
          <t>fornecimento_puro</t>
        </is>
      </c>
      <c r="AS64" t="inlineStr">
        <is>
          <t>Registro de preços/contratação de fornecimento de materiais, sem mão de obra de manutenção contratada.</t>
        </is>
      </c>
      <c r="AT64" t="n">
        <v>0</v>
      </c>
      <c r="AU64" t="n">
        <v>0</v>
      </c>
    </row>
    <row r="65">
      <c r="A65" t="inlineStr">
        <is>
          <t>01015676000111_2025_47</t>
        </is>
      </c>
      <c r="B65" s="2" t="inlineStr">
        <is>
          <t>https://pncp.gov.br/app/editais/01015676000111/2025/47</t>
        </is>
      </c>
      <c r="C65" t="inlineStr">
        <is>
          <t>2026-09-27T03:21:57.604919+00:00</t>
        </is>
      </c>
      <c r="D65" t="inlineStr">
        <is>
          <t>GO</t>
        </is>
      </c>
      <c r="E65" t="inlineStr">
        <is>
          <t>GO</t>
        </is>
      </c>
      <c r="F65" t="inlineStr">
        <is>
          <t>Goiânia</t>
        </is>
      </c>
      <c r="G65" t="inlineStr">
        <is>
          <t>CONSELHO REGIONAL DE CONTABILIDADE DO ESTADO DE GOIAS</t>
        </is>
      </c>
      <c r="H65" t="inlineStr">
        <is>
          <t>Federal</t>
        </is>
      </c>
      <c r="I65" t="inlineStr">
        <is>
          <t>2025-08-01T07:54:55</t>
        </is>
      </c>
      <c r="J65" t="inlineStr">
        <is>
          <t>Pregão - Eletrônico</t>
        </is>
      </c>
      <c r="K65" t="inlineStr">
        <is>
          <t>Contratação de empresa para prestação de serviços de manutenção predial preventiva, corretiva e preditiva, com fornecimento de peças, materiais de consumo, insumos e mão de obra sem dedicação exclusiva, bem como para a realização de serviços eventuais diversos, nos sistemas e instalações prediais utilizados pelo Conselho Regional de Contabilidade de Goiás.</t>
        </is>
      </c>
      <c r="L65" t="b">
        <v>0</v>
      </c>
      <c r="M65" t="inlineStr">
        <is>
          <t>manutencao_predial</t>
        </is>
      </c>
      <c r="N65" t="inlineStr">
        <is>
          <t>manutencao_predial</t>
        </is>
      </c>
      <c r="O65" t="n">
        <v>691280.71</v>
      </c>
      <c r="P65" t="n">
        <v>519483.2</v>
      </c>
      <c r="Q65" t="n">
        <v>691280.71</v>
      </c>
      <c r="R65" t="n">
        <v>0.2485206190694948</v>
      </c>
      <c r="S65" t="n">
        <v>0</v>
      </c>
      <c r="T65" t="n">
        <v>1</v>
      </c>
      <c r="U65" t="n">
        <v>1</v>
      </c>
      <c r="V65" t="n">
        <v>1</v>
      </c>
      <c r="W65" t="n">
        <v>0</v>
      </c>
      <c r="X65" t="n">
        <v>0</v>
      </c>
      <c r="Y65" t="n">
        <v>0</v>
      </c>
      <c r="Z65" t="n">
        <v>0</v>
      </c>
      <c r="AA65" t="n">
        <v>0</v>
      </c>
      <c r="AB65" t="n">
        <v>0</v>
      </c>
      <c r="AC65" t="n">
        <v>0</v>
      </c>
      <c r="AD65" t="n">
        <v>0</v>
      </c>
      <c r="AE65" t="n">
        <v>1</v>
      </c>
      <c r="AF65" t="inlineStr">
        <is>
          <t>MAFFENG ENGENHARIA E MANUTENCAO LTDA:Demais</t>
        </is>
      </c>
      <c r="AH65" t="inlineStr">
        <is>
          <t>continuado</t>
        </is>
      </c>
      <c r="AI65" t="n">
        <v>6</v>
      </c>
      <c r="AJ65" t="n">
        <v>0</v>
      </c>
      <c r="AK65" t="n">
        <v>0</v>
      </c>
      <c r="AL65" t="n">
        <v>0</v>
      </c>
      <c r="AM65" t="n">
        <v>1</v>
      </c>
      <c r="AN65" t="n">
        <v>1</v>
      </c>
      <c r="AP65" t="inlineStr">
        <is>
          <t>TANTE, conforme determina, em seu art. 67, da Lei nº 14.133/2021. 4.6. Apresente no mínimo, 01 (um) Atestado de Capacidade Técnica fornecido por pessoa jurídica de direito público ou privado, que comprove a aptidão da LICITANTE na prestação de serviços pertinentes e compatíveis em características co…</t>
        </is>
      </c>
      <c r="AQ65" t="n">
        <v>0</v>
      </c>
      <c r="AT65" t="n">
        <v>0</v>
      </c>
      <c r="AU65" t="n">
        <v>1</v>
      </c>
    </row>
    <row r="66">
      <c r="A66" t="inlineStr">
        <is>
          <t>01015676000111_2025_60</t>
        </is>
      </c>
      <c r="B66" s="2" t="inlineStr">
        <is>
          <t>https://pncp.gov.br/app/editais/01015676000111/2025/60</t>
        </is>
      </c>
      <c r="C66" t="inlineStr">
        <is>
          <t>2026-09-27T02:54:37.866803+00:00</t>
        </is>
      </c>
      <c r="D66" t="inlineStr">
        <is>
          <t>GO</t>
        </is>
      </c>
      <c r="E66" t="inlineStr">
        <is>
          <t>GO</t>
        </is>
      </c>
      <c r="F66" t="inlineStr">
        <is>
          <t>Goiânia</t>
        </is>
      </c>
      <c r="G66" t="inlineStr">
        <is>
          <t>CONSELHO REGIONAL DE CONTABILIDADE DO ESTADO DE GOIAS</t>
        </is>
      </c>
      <c r="H66" t="inlineStr">
        <is>
          <t>Federal</t>
        </is>
      </c>
      <c r="I66" t="inlineStr">
        <is>
          <t>2025-08-22T07:19:32</t>
        </is>
      </c>
      <c r="J66" t="inlineStr">
        <is>
          <t>Pregão - Eletrônico</t>
        </is>
      </c>
      <c r="K66" t="inlineStr">
        <is>
          <t>Prestação de serviços continuados de manutenção preventiva e corretiva das instalações, equipamentos e aparelhos de ar condicionado, com fornecimento de peças, materiais, mão de obra, instalação e desinstalação de aparelhos entre um ambiente e outro na sede do Conselho Regional de Contabilidade de Goiás, em Goiânia - GO e implantação do Plano de manutenção, operação e Controle(PMOC).</t>
        </is>
      </c>
      <c r="L66" t="b">
        <v>0</v>
      </c>
      <c r="M66" t="inlineStr">
        <is>
          <t>climatizacao</t>
        </is>
      </c>
      <c r="N66" t="inlineStr">
        <is>
          <t>climatizacao</t>
        </is>
      </c>
      <c r="O66" t="n">
        <v>119171.53</v>
      </c>
      <c r="P66" t="n">
        <v>198200</v>
      </c>
      <c r="Q66" t="n">
        <v>119171.53</v>
      </c>
      <c r="R66" t="n">
        <v>0.1608734065930009</v>
      </c>
      <c r="S66" t="n">
        <v>0</v>
      </c>
      <c r="T66" t="n">
        <v>4</v>
      </c>
      <c r="U66" t="n">
        <v>4</v>
      </c>
      <c r="V66" t="n">
        <v>4</v>
      </c>
      <c r="W66" t="n">
        <v>0</v>
      </c>
      <c r="X66" t="n">
        <v>0</v>
      </c>
      <c r="Y66" t="n">
        <v>0</v>
      </c>
      <c r="Z66" t="n">
        <v>0</v>
      </c>
      <c r="AA66" t="n">
        <v>0</v>
      </c>
      <c r="AB66" t="n">
        <v>0</v>
      </c>
      <c r="AC66" t="n">
        <v>0</v>
      </c>
      <c r="AD66" t="n">
        <v>0</v>
      </c>
      <c r="AE66" t="n">
        <v>2</v>
      </c>
      <c r="AF66" t="inlineStr">
        <is>
          <t>A. DA SILVA CORREA:ME; GENESIS COMERCIO E MANUTENCOES LTDA:ME</t>
        </is>
      </c>
      <c r="AH66" t="inlineStr">
        <is>
          <t>continuado</t>
        </is>
      </c>
      <c r="AJ66" t="n">
        <v>0</v>
      </c>
      <c r="AK66" t="n">
        <v>0</v>
      </c>
      <c r="AL66" t="n">
        <v>0</v>
      </c>
      <c r="AM66" t="n">
        <v>0</v>
      </c>
      <c r="AN66" t="n">
        <v>0</v>
      </c>
      <c r="AQ66" t="n">
        <v>0.1547545793865364</v>
      </c>
      <c r="AS66" t="inlineStr">
        <is>
          <t>heuristica automatica confirmada: servico real de climatizacao, sem sinais de exclusao.</t>
        </is>
      </c>
      <c r="AT66" t="n">
        <v>0</v>
      </c>
      <c r="AU66" t="n">
        <v>1</v>
      </c>
    </row>
    <row r="67">
      <c r="A67" t="inlineStr">
        <is>
          <t>01065846000172_2026_282</t>
        </is>
      </c>
      <c r="B67" s="2" t="inlineStr">
        <is>
          <t>https://pncp.gov.br/app/editais/01065846000172/2026/282</t>
        </is>
      </c>
      <c r="C67" t="inlineStr">
        <is>
          <t>2026-09-27T03:50:12.696615+00:00</t>
        </is>
      </c>
      <c r="D67" t="inlineStr">
        <is>
          <t>GO</t>
        </is>
      </c>
      <c r="E67" t="inlineStr">
        <is>
          <t>GO</t>
        </is>
      </c>
      <c r="F67" t="inlineStr">
        <is>
          <t>Goianésia</t>
        </is>
      </c>
      <c r="G67" t="inlineStr">
        <is>
          <t>MUNICIPIO DE GOIANESIA</t>
        </is>
      </c>
      <c r="H67" t="inlineStr">
        <is>
          <t>Municipal</t>
        </is>
      </c>
      <c r="I67" t="inlineStr">
        <is>
          <t>2026-04-15T16:08:58</t>
        </is>
      </c>
      <c r="J67" t="inlineStr">
        <is>
          <t>Pregão - Eletrônico</t>
        </is>
      </c>
      <c r="K67" t="inlineStr">
        <is>
          <t>PROCESSO LICITATÓRIO, NA MODALIDADE REGISTRO DE PREÇOS, PARA CONTRATAÇÃO DE EMPRESA ESPECIALIZADA NO FORNECIMENTO DE MATERIAIS ELÉTRICOS E FERRAMENTAS A SEREM UTILIZADOS, NA MANUTENÇÃO DA ILUMINAÇÃO PÚBLICA NO MUNICÍPIO DE GOIANÉSIA, EM ATENDIMENTO À SECRETARIA MUNICIPAL DE INFRAESTRUTURA.</t>
        </is>
      </c>
      <c r="L67" t="b">
        <v>1</v>
      </c>
      <c r="M67" t="inlineStr">
        <is>
          <t>iluminacao_publica</t>
        </is>
      </c>
      <c r="N67" t="inlineStr">
        <is>
          <t>iluminacao_publica</t>
        </is>
      </c>
      <c r="O67" t="n">
        <v>15159321.25</v>
      </c>
      <c r="P67" t="n">
        <v>5593732</v>
      </c>
      <c r="Q67" t="n">
        <v>15159321.25</v>
      </c>
      <c r="R67" t="n">
        <v>0.6310037957669113</v>
      </c>
      <c r="S67" t="n">
        <v>0</v>
      </c>
      <c r="T67" t="n">
        <v>40</v>
      </c>
      <c r="U67" t="n">
        <v>40</v>
      </c>
      <c r="V67" t="n">
        <v>40</v>
      </c>
      <c r="W67" t="n">
        <v>0</v>
      </c>
      <c r="X67" t="n">
        <v>0</v>
      </c>
      <c r="Y67" t="n">
        <v>0</v>
      </c>
      <c r="Z67" t="n">
        <v>0</v>
      </c>
      <c r="AA67" t="n">
        <v>0</v>
      </c>
      <c r="AB67" t="n">
        <v>0</v>
      </c>
      <c r="AC67" t="n">
        <v>0</v>
      </c>
      <c r="AD67" t="n">
        <v>0</v>
      </c>
      <c r="AE67" t="n">
        <v>3</v>
      </c>
      <c r="AF67" t="inlineStr">
        <is>
          <t>CANTONALE SERVIÇOS E COMÉRCIOS EIRELI:ME; APEX ELEVARE COMERCIAL LTDA:Demais; MIRIAM SUZANA MORETTI ME:Demais</t>
        </is>
      </c>
      <c r="AH67" t="inlineStr">
        <is>
          <t>pontual</t>
        </is>
      </c>
      <c r="AJ67" t="n">
        <v>0</v>
      </c>
      <c r="AK67" t="n">
        <v>0</v>
      </c>
      <c r="AL67" t="n">
        <v>0</v>
      </c>
      <c r="AM67" t="n">
        <v>0</v>
      </c>
      <c r="AN67" t="n">
        <v>0</v>
      </c>
      <c r="AQ67" t="n">
        <v>1</v>
      </c>
      <c r="AR67" t="inlineStr">
        <is>
          <t>fornecimento_puro</t>
        </is>
      </c>
      <c r="AS67" t="inlineStr">
        <is>
          <t>Registro de preços/contratação de fornecimento de materiais, sem mão de obra de manutenção contratada.</t>
        </is>
      </c>
      <c r="AT67" t="n">
        <v>1</v>
      </c>
      <c r="AU67" t="n">
        <v>0</v>
      </c>
    </row>
    <row r="68">
      <c r="A68" t="inlineStr">
        <is>
          <t>01065846000172_2026_584</t>
        </is>
      </c>
      <c r="B68" s="2" t="inlineStr">
        <is>
          <t>https://pncp.gov.br/app/editais/01065846000172/2026/584</t>
        </is>
      </c>
      <c r="C68" t="inlineStr">
        <is>
          <t>2026-09-27T04:49:08.294572+00:00</t>
        </is>
      </c>
      <c r="D68" t="inlineStr">
        <is>
          <t>GO</t>
        </is>
      </c>
      <c r="E68" t="inlineStr">
        <is>
          <t>GO</t>
        </is>
      </c>
      <c r="F68" t="inlineStr">
        <is>
          <t>Goianésia</t>
        </is>
      </c>
      <c r="G68" t="inlineStr">
        <is>
          <t>MUNICIPIO DE GOIANESIA</t>
        </is>
      </c>
      <c r="H68" t="inlineStr">
        <is>
          <t>Municipal</t>
        </is>
      </c>
      <c r="I68" t="inlineStr">
        <is>
          <t>2026-06-01T08:40:05</t>
        </is>
      </c>
      <c r="J68" t="inlineStr">
        <is>
          <t>Pregão - Eletrônico</t>
        </is>
      </c>
      <c r="K68" t="inlineStr">
        <is>
          <t>REGISTRO DE PREÇOS PARA A REGISTRO DE PREÇOS, PARA A CONTRATAÇÃO DE EMPRESA PARA LOCAÇÃO DE CAMINHÃO TIPO MUNCK, ANO E MODELO DE FABRICAÇÃO NÃO INFERIOR AO ANO DE 2.000 PARA ATENDER AS NECESSIDADES DA SECRETARIA DE INFRAESTRUTURA DO MUNICÍPIO DE GOIANÉSIA/GO.
.</t>
        </is>
      </c>
      <c r="L68" t="b">
        <v>1</v>
      </c>
      <c r="M68" t="inlineStr">
        <is>
          <t>munck</t>
        </is>
      </c>
      <c r="N68" t="inlineStr">
        <is>
          <t>munck</t>
        </is>
      </c>
      <c r="O68" t="n">
        <v>1397510.4</v>
      </c>
      <c r="P68" t="n">
        <v>565440</v>
      </c>
      <c r="Q68" t="n">
        <v>1397510.4</v>
      </c>
      <c r="R68" t="n">
        <v>0.5953947820352535</v>
      </c>
      <c r="S68" t="n">
        <v>0</v>
      </c>
      <c r="T68" t="n">
        <v>2</v>
      </c>
      <c r="U68" t="n">
        <v>2</v>
      </c>
      <c r="V68" t="n">
        <v>2</v>
      </c>
      <c r="W68" t="n">
        <v>0</v>
      </c>
      <c r="X68" t="n">
        <v>0</v>
      </c>
      <c r="Y68" t="n">
        <v>0</v>
      </c>
      <c r="Z68" t="n">
        <v>0</v>
      </c>
      <c r="AA68" t="n">
        <v>0</v>
      </c>
      <c r="AB68" t="n">
        <v>0</v>
      </c>
      <c r="AC68" t="n">
        <v>0</v>
      </c>
      <c r="AD68" t="n">
        <v>0</v>
      </c>
      <c r="AE68" t="n">
        <v>1</v>
      </c>
      <c r="AF68" t="inlineStr">
        <is>
          <t>RSM ILUMINAÇÃO LTDA:Demais</t>
        </is>
      </c>
      <c r="AH68" t="inlineStr">
        <is>
          <t>pontual</t>
        </is>
      </c>
      <c r="AI68" t="n">
        <v>3</v>
      </c>
      <c r="AJ68" t="n">
        <v>1</v>
      </c>
      <c r="AK68" t="n">
        <v>1</v>
      </c>
      <c r="AL68" t="n">
        <v>1</v>
      </c>
      <c r="AM68" t="n">
        <v>1</v>
      </c>
      <c r="AN68" t="n">
        <v>0</v>
      </c>
      <c r="AQ68" t="n">
        <v>0</v>
      </c>
      <c r="AS68" t="inlineStr">
        <is>
          <t>Locação de 2 caminhões munck com cesto para a Secretaria de Infraestrutura; núcleo do escopo.</t>
        </is>
      </c>
      <c r="AT68" t="n">
        <v>0</v>
      </c>
      <c r="AU68" t="n">
        <v>1</v>
      </c>
    </row>
    <row r="69">
      <c r="A69" t="inlineStr">
        <is>
          <t>01065846000172_2026_72</t>
        </is>
      </c>
      <c r="B69" s="2" t="inlineStr">
        <is>
          <t>https://pncp.gov.br/app/editais/01065846000172/2026/72</t>
        </is>
      </c>
      <c r="C69" t="inlineStr">
        <is>
          <t>2026-09-27T03:15:50.665391+00:00</t>
        </is>
      </c>
      <c r="D69" t="inlineStr">
        <is>
          <t>GO</t>
        </is>
      </c>
      <c r="E69" t="inlineStr">
        <is>
          <t>GO</t>
        </is>
      </c>
      <c r="F69" t="inlineStr">
        <is>
          <t>Goianésia</t>
        </is>
      </c>
      <c r="G69" t="inlineStr">
        <is>
          <t>MUNICIPIO DE GOIANESIA</t>
        </is>
      </c>
      <c r="H69" t="inlineStr">
        <is>
          <t>Municipal</t>
        </is>
      </c>
      <c r="I69" t="inlineStr">
        <is>
          <t>2026-02-11T17:11:34</t>
        </is>
      </c>
      <c r="J69" t="inlineStr">
        <is>
          <t>Pregão - Eletrônico</t>
        </is>
      </c>
      <c r="K69" t="inlineStr">
        <is>
          <t>ADESÃO À ATA DE REGISTRO DE PREÇOS Nº 053/2025, GERENCIADA PELO INSTITUTO FEDERAL DE EDUCAÇÃO, CIÊNCIA E TECNOLOGIA DE SÃO PAULO - IFSP, NA CONDIÇÃO DE ÓRGÃO NÃO
PARTICIPANTE (CARONA EXTERNA), VISANDO À CONTRATAÇÃO DE EMPRESA ESPECIALIZADA PARA A PRESTAÇÃO DE SERVIÇOS DE MANUTENÇÃO PREDIAL, COMPREENDENDO SERVIÇOS DE CONSERTO E REPARO DE TELHADOS METÁLICOS, BEM COMO SERVIÇOS DE MANUTENÇÃO E ADEQUAÇÃO DE SISTEMAS ELÉTRICOS, COM FORNECIMENTO DE MATERIAIS, EQUIPAMENTOS, FERRAMENTAS E MÃO DE OBRA, CONFORME ITENS, ESPECIFICAÇÕES, QUANTIDADES E VALORES REGISTRADOS NA REFERIDA ATA DE REGISTRO DE PREÇOS.</t>
        </is>
      </c>
      <c r="L69" t="b">
        <v>1</v>
      </c>
      <c r="M69" t="inlineStr">
        <is>
          <t>eletrica_predial</t>
        </is>
      </c>
      <c r="N69" t="inlineStr">
        <is>
          <t>eletrica_predial</t>
        </is>
      </c>
      <c r="O69" t="n">
        <v>2711790</v>
      </c>
      <c r="P69" t="n">
        <v>564640</v>
      </c>
      <c r="Q69" t="n">
        <v>564640</v>
      </c>
      <c r="R69" t="n">
        <v>0</v>
      </c>
      <c r="S69" t="n">
        <v>0</v>
      </c>
      <c r="T69" t="n">
        <v>57</v>
      </c>
      <c r="U69" t="n">
        <v>40</v>
      </c>
      <c r="V69" t="n">
        <v>57</v>
      </c>
      <c r="W69" t="n">
        <v>0</v>
      </c>
      <c r="X69" t="n">
        <v>0</v>
      </c>
      <c r="Y69" t="n">
        <v>0</v>
      </c>
      <c r="Z69" t="n">
        <v>0</v>
      </c>
      <c r="AA69" t="n">
        <v>0</v>
      </c>
      <c r="AB69" t="n">
        <v>0</v>
      </c>
      <c r="AC69" t="n">
        <v>0</v>
      </c>
      <c r="AD69" t="n">
        <v>0</v>
      </c>
      <c r="AE69" t="n">
        <v>1</v>
      </c>
      <c r="AF69" t="inlineStr">
        <is>
          <t>SOLUCTION LOGISTICA E EVENTOS LTDA:Demais</t>
        </is>
      </c>
      <c r="AH69" t="inlineStr">
        <is>
          <t>continuado</t>
        </is>
      </c>
      <c r="AJ69" t="n">
        <v>0</v>
      </c>
      <c r="AK69" t="n">
        <v>0</v>
      </c>
      <c r="AL69" t="n">
        <v>0</v>
      </c>
      <c r="AM69" t="n">
        <v>0</v>
      </c>
      <c r="AN69" t="n">
        <v>0</v>
      </c>
      <c r="AQ69" t="n">
        <v>0.02961143746381541</v>
      </c>
      <c r="AR69" t="inlineStr">
        <is>
          <t>mencao_passagem</t>
        </is>
      </c>
      <c r="AS69" t="inlineStr">
        <is>
          <t>Adesao a ata de eventos do IFSP: dos 57 itens reais, quase todos sao filmagem, hospedagem, crachas, tendas, coffee break, seguranca etc.; so 1 item ("ponto eletrico para tomada e extensao", R$10 mil de R$2,71 mi) toca eletrica -- mencao de passagem, nao e contrato de eletrica predial.</t>
        </is>
      </c>
      <c r="AT69" t="n">
        <v>0</v>
      </c>
      <c r="AU69" t="n">
        <v>0</v>
      </c>
    </row>
    <row r="70">
      <c r="A70" t="inlineStr">
        <is>
          <t>01067081000100_2025_10</t>
        </is>
      </c>
      <c r="B70" s="2" t="inlineStr">
        <is>
          <t>https://pncp.gov.br/app/editais/01067081000100/2025/10</t>
        </is>
      </c>
      <c r="C70" t="inlineStr">
        <is>
          <t>2026-09-27T04:21:12.073956+00:00</t>
        </is>
      </c>
      <c r="D70" t="inlineStr">
        <is>
          <t>GO</t>
        </is>
      </c>
      <c r="E70" t="inlineStr">
        <is>
          <t>GO</t>
        </is>
      </c>
      <c r="F70" t="inlineStr">
        <is>
          <t>Aruanã</t>
        </is>
      </c>
      <c r="G70" t="inlineStr">
        <is>
          <t>MUNICIPIO DE ARUANA</t>
        </is>
      </c>
      <c r="H70" t="inlineStr">
        <is>
          <t>Municipal</t>
        </is>
      </c>
      <c r="I70" t="inlineStr">
        <is>
          <t>2026-09-02T11:24:23</t>
        </is>
      </c>
      <c r="J70" t="inlineStr">
        <is>
          <t>Pregão - Presencial</t>
        </is>
      </c>
      <c r="K70" t="inlineStr">
        <is>
          <t>ABERTURA DE PROCESSO PARA A AQUISIÇÃO DE LUMINARIAS PARA ILUMINAÇÃO PÚBLICA COM BASE PARA RELÊ E RELÊS FOCONTROLADORES</t>
        </is>
      </c>
      <c r="L70" t="b">
        <v>1</v>
      </c>
      <c r="M70" t="inlineStr">
        <is>
          <t>iluminacao_publica</t>
        </is>
      </c>
      <c r="N70" t="inlineStr">
        <is>
          <t>iluminacao_publica</t>
        </is>
      </c>
      <c r="O70" t="n">
        <v>78020</v>
      </c>
      <c r="P70" t="n">
        <v>73176</v>
      </c>
      <c r="Q70" t="n">
        <v>78020</v>
      </c>
      <c r="R70" t="n">
        <v>0.06208664445014098</v>
      </c>
      <c r="S70" t="n">
        <v>0</v>
      </c>
      <c r="T70" t="n">
        <v>4</v>
      </c>
      <c r="U70" t="n">
        <v>4</v>
      </c>
      <c r="V70" t="n">
        <v>4</v>
      </c>
      <c r="W70" t="n">
        <v>0</v>
      </c>
      <c r="X70" t="n">
        <v>0</v>
      </c>
      <c r="Y70" t="n">
        <v>0</v>
      </c>
      <c r="Z70" t="n">
        <v>0</v>
      </c>
      <c r="AA70" t="n">
        <v>0</v>
      </c>
      <c r="AB70" t="n">
        <v>0</v>
      </c>
      <c r="AC70" t="n">
        <v>0</v>
      </c>
      <c r="AD70" t="n">
        <v>0</v>
      </c>
      <c r="AE70" t="n">
        <v>1</v>
      </c>
      <c r="AF70" t="inlineStr">
        <is>
          <t>CASTELLARI ILUMINACAO E DECORACAO LTDA:ME</t>
        </is>
      </c>
      <c r="AH70" t="inlineStr">
        <is>
          <t>pontual</t>
        </is>
      </c>
      <c r="AI70" t="n">
        <v>12</v>
      </c>
      <c r="AJ70" t="n">
        <v>0</v>
      </c>
      <c r="AK70" t="n">
        <v>0</v>
      </c>
      <c r="AL70" t="n">
        <v>0</v>
      </c>
      <c r="AM70" t="n">
        <v>0</v>
      </c>
      <c r="AN70" t="n">
        <v>0</v>
      </c>
      <c r="AP70" t="inlineStr">
        <is>
          <t>7.1 - Para verificação da capacidade técnico -operacional, a empresa licitante, deverá apresentar Atestado de Capacidade Técnica, expedido ou firmado por pessoa jurídica de direito público ou privado, que comprovem que tenham executados serviços /fornecimentos semelhantes ao objeto deste certame de…</t>
        </is>
      </c>
      <c r="AQ70" t="n">
        <v>1</v>
      </c>
      <c r="AR70" t="inlineStr">
        <is>
          <t>fornecimento_puro</t>
        </is>
      </c>
      <c r="AS70" t="inlineStr">
        <is>
          <t>Registro de preços/contratação de fornecimento de materiais, sem mão de obra de manutenção contratada.</t>
        </is>
      </c>
      <c r="AT70" t="n">
        <v>0</v>
      </c>
      <c r="AU70" t="n">
        <v>0</v>
      </c>
    </row>
    <row r="71">
      <c r="A71" t="inlineStr">
        <is>
          <t>01067081000100_2025_3</t>
        </is>
      </c>
      <c r="B71" s="2" t="inlineStr">
        <is>
          <t>https://pncp.gov.br/app/editais/01067081000100/2025/3</t>
        </is>
      </c>
      <c r="C71" t="inlineStr">
        <is>
          <t>2026-09-27T14:29:48.942501+00:00</t>
        </is>
      </c>
      <c r="D71" t="inlineStr">
        <is>
          <t>GO</t>
        </is>
      </c>
      <c r="E71" t="inlineStr">
        <is>
          <t>GO</t>
        </is>
      </c>
      <c r="F71" t="inlineStr">
        <is>
          <t>Aruanã</t>
        </is>
      </c>
      <c r="G71" t="inlineStr">
        <is>
          <t>MUNICIPIO DE ARUANA</t>
        </is>
      </c>
      <c r="H71" t="inlineStr">
        <is>
          <t>Municipal</t>
        </is>
      </c>
      <c r="I71" t="inlineStr">
        <is>
          <t>2026-09-02T10:52:41</t>
        </is>
      </c>
      <c r="J71" t="inlineStr">
        <is>
          <t>Pregão - Eletrônico</t>
        </is>
      </c>
      <c r="K71" t="inlineStr">
        <is>
          <t>Contratação de prestação de serviço/locação de Sistema de Estrutura de Som e Sistema de Iluminação, gerador e banheiro químico,  para atender a demanda das Secretarias de Administração Municipal de Aruanã– GO.</t>
        </is>
      </c>
      <c r="L71" t="b">
        <v>1</v>
      </c>
      <c r="M71" t="inlineStr">
        <is>
          <t>eletrica_predial</t>
        </is>
      </c>
      <c r="N71" t="inlineStr">
        <is>
          <t>eletrica_predial</t>
        </is>
      </c>
      <c r="O71" t="n">
        <v>1073944.63</v>
      </c>
      <c r="P71" t="n">
        <v>594156.5</v>
      </c>
      <c r="Q71" t="n">
        <v>807731.7599999999</v>
      </c>
      <c r="R71" t="n">
        <v>0.2644136005427588</v>
      </c>
      <c r="S71" t="n">
        <v>0</v>
      </c>
      <c r="T71" t="n">
        <v>24</v>
      </c>
      <c r="U71" t="n">
        <v>20</v>
      </c>
      <c r="V71" t="n">
        <v>24</v>
      </c>
      <c r="W71" t="n">
        <v>0</v>
      </c>
      <c r="X71" t="n">
        <v>0</v>
      </c>
      <c r="Y71" t="n">
        <v>0</v>
      </c>
      <c r="Z71" t="n">
        <v>0</v>
      </c>
      <c r="AA71" t="n">
        <v>0</v>
      </c>
      <c r="AB71" t="n">
        <v>0</v>
      </c>
      <c r="AC71" t="n">
        <v>0</v>
      </c>
      <c r="AD71" t="n">
        <v>0</v>
      </c>
      <c r="AE71" t="n">
        <v>1</v>
      </c>
      <c r="AF71" t="inlineStr">
        <is>
          <t>MOREIRA PRESTADORA DE SERVIÇOS LTDA:ME</t>
        </is>
      </c>
      <c r="AH71" t="inlineStr">
        <is>
          <t>pontual</t>
        </is>
      </c>
      <c r="AI71" t="n">
        <v>12</v>
      </c>
      <c r="AJ71" t="n">
        <v>0</v>
      </c>
      <c r="AK71" t="n">
        <v>0</v>
      </c>
      <c r="AL71" t="n">
        <v>0</v>
      </c>
      <c r="AM71" t="n">
        <v>1</v>
      </c>
      <c r="AN71" t="n">
        <v>0</v>
      </c>
      <c r="AP71" t="inlineStr">
        <is>
          <t>cia expedida pelo distribuidor da sede da pessoa jurídica; 14.21. Qualificação Técnica 14.21.1. Atestado de Capacidade Técnica, emitido por empresa de Direito Público ou Privando comprovando ter fornecido material compatível com o solicitado. 14.22. O licitante enquadrado como microempreendedor indi…</t>
        </is>
      </c>
      <c r="AQ71" t="n">
        <v>1</v>
      </c>
      <c r="AR71" t="inlineStr">
        <is>
          <t>fornecimento_puro</t>
        </is>
      </c>
      <c r="AS71" t="inlineStr">
        <is>
          <t>Confirmada exclusao automatica (fornecimento_puro): 24 item(ns), todos classificados como material (sem servico).</t>
        </is>
      </c>
      <c r="AT71" t="n">
        <v>1</v>
      </c>
      <c r="AU71" t="n">
        <v>0</v>
      </c>
    </row>
    <row r="72">
      <c r="A72" t="inlineStr">
        <is>
          <t>01067081000100_2026_91</t>
        </is>
      </c>
      <c r="B72" s="2" t="inlineStr">
        <is>
          <t>https://pncp.gov.br/app/editais/01067081000100/2026/91</t>
        </is>
      </c>
      <c r="C72" t="inlineStr">
        <is>
          <t>2026-09-27T04:21:18.357015+00:00</t>
        </is>
      </c>
      <c r="D72" t="inlineStr">
        <is>
          <t>GO</t>
        </is>
      </c>
      <c r="E72" t="inlineStr">
        <is>
          <t>GO</t>
        </is>
      </c>
      <c r="F72" t="inlineStr">
        <is>
          <t>Aruanã</t>
        </is>
      </c>
      <c r="G72" t="inlineStr">
        <is>
          <t>MUNICIPIO DE ARUANA</t>
        </is>
      </c>
      <c r="H72" t="inlineStr">
        <is>
          <t>Municipal</t>
        </is>
      </c>
      <c r="I72" t="inlineStr">
        <is>
          <t>2026-08-28T10:57:37</t>
        </is>
      </c>
      <c r="J72" t="inlineStr">
        <is>
          <t>Pregão - Eletrônico</t>
        </is>
      </c>
      <c r="K72" t="inlineStr">
        <is>
          <t>Aquisição de luminárias para iluminação pública com base para relê e relês fotocontroladores, com o fim de atender as demandas da
Secretaria Municipal de Administração.</t>
        </is>
      </c>
      <c r="L72" t="b">
        <v>1</v>
      </c>
      <c r="M72" t="inlineStr">
        <is>
          <t>iluminacao_publica</t>
        </is>
      </c>
      <c r="N72" t="inlineStr">
        <is>
          <t>iluminacao_publica</t>
        </is>
      </c>
      <c r="O72" t="n">
        <v>1417650</v>
      </c>
      <c r="P72" t="n">
        <v>703000</v>
      </c>
      <c r="Q72" t="n">
        <v>1417650</v>
      </c>
      <c r="R72" t="n">
        <v>0.5041089126371107</v>
      </c>
      <c r="S72" t="n">
        <v>0</v>
      </c>
      <c r="T72" t="n">
        <v>3</v>
      </c>
      <c r="U72" t="n">
        <v>3</v>
      </c>
      <c r="V72" t="n">
        <v>3</v>
      </c>
      <c r="W72" t="n">
        <v>0</v>
      </c>
      <c r="X72" t="n">
        <v>0</v>
      </c>
      <c r="Y72" t="n">
        <v>0</v>
      </c>
      <c r="Z72" t="n">
        <v>0</v>
      </c>
      <c r="AA72" t="n">
        <v>0</v>
      </c>
      <c r="AB72" t="n">
        <v>0</v>
      </c>
      <c r="AC72" t="n">
        <v>0</v>
      </c>
      <c r="AD72" t="n">
        <v>0</v>
      </c>
      <c r="AE72" t="n">
        <v>1</v>
      </c>
      <c r="AF72" t="inlineStr">
        <is>
          <t>CASTELLARI ILUMINACAO E DECORACAO LTDA:ME</t>
        </is>
      </c>
      <c r="AH72" t="inlineStr">
        <is>
          <t>pontual</t>
        </is>
      </c>
      <c r="AI72" t="n">
        <v>12</v>
      </c>
      <c r="AJ72" t="n">
        <v>0</v>
      </c>
      <c r="AK72" t="n">
        <v>0</v>
      </c>
      <c r="AL72" t="n">
        <v>0</v>
      </c>
      <c r="AM72" t="n">
        <v>0</v>
      </c>
      <c r="AN72" t="n">
        <v>0</v>
      </c>
      <c r="AP72" t="inlineStr">
        <is>
          <t>cia expedida pelo distribuidor da sede da pessoa jurídica; 14.21. Qualificação Técnica 14.21.1. Atestado de Capacidade Técnica, emitido por empresa de Direito Público ou Privando comprovando ter fornecido material compatível com o solicitado. 14.22. O licitante enquadrado como microempreendedor indi…</t>
        </is>
      </c>
      <c r="AQ72" t="n">
        <v>1</v>
      </c>
      <c r="AR72" t="inlineStr">
        <is>
          <t>fornecimento_puro</t>
        </is>
      </c>
      <c r="AS72" t="inlineStr">
        <is>
          <t>Registro de preços/contratação de fornecimento de materiais, sem mão de obra de manutenção contratada.</t>
        </is>
      </c>
      <c r="AT72" t="n">
        <v>0</v>
      </c>
      <c r="AU72" t="n">
        <v>0</v>
      </c>
    </row>
    <row r="73">
      <c r="A73" t="inlineStr">
        <is>
          <t>01067206000100_2025_201</t>
        </is>
      </c>
      <c r="B73" s="2" t="inlineStr">
        <is>
          <t>https://pncp.gov.br/app/editais/01067206000100/2025/201</t>
        </is>
      </c>
      <c r="C73" t="inlineStr">
        <is>
          <t>2026-09-27T04:29:21.151641+00:00</t>
        </is>
      </c>
      <c r="D73" t="inlineStr">
        <is>
          <t>GO</t>
        </is>
      </c>
      <c r="E73" t="inlineStr">
        <is>
          <t>GO</t>
        </is>
      </c>
      <c r="F73" t="inlineStr">
        <is>
          <t>Divinópolis de Goiás</t>
        </is>
      </c>
      <c r="G73" t="inlineStr">
        <is>
          <t>MUNICIPIO DE DIVINOPOLIS DE GOIAS</t>
        </is>
      </c>
      <c r="H73" t="inlineStr">
        <is>
          <t>Municipal</t>
        </is>
      </c>
      <c r="I73" t="inlineStr">
        <is>
          <t>2026-06-11T09:47:35</t>
        </is>
      </c>
      <c r="J73" t="inlineStr">
        <is>
          <t>Pregão - Presencial</t>
        </is>
      </c>
      <c r="K73" t="inlineStr">
        <is>
          <t>Adesão da Ata de Registro de Preços nº 002/2024 - LOCAÇÃO DE ESTRUTURA DE PALCO, SONORIZAÇÃO, ILUMINAÇÃO, GERADOR, APOIO TÉCNICO E DEMAIS EQUIPAMENTOS NECESSÁRIOS À REALIZAÇÃO DOS EVENTOS FESTIVOS - justifica-se pela necessidade de atendimento à realização das festividades públicas do Município de Divinópolis de Goiás, notadamente os eventos Natal Encantado 2025 e Réveillon, programados para os dias 18 e 31 de dezembro, a serem realizados em espaço público - Ata de Registro de Preços nº 002/2024, oriunda do Processo Administrativo nº 0623/2024, do Município de Sítio D’Abadia – GO, decorrente do Pregão Eletrônico nº 004/2024.</t>
        </is>
      </c>
      <c r="L73" t="b">
        <v>1</v>
      </c>
      <c r="M73" t="inlineStr">
        <is>
          <t>iluminacao_publica</t>
        </is>
      </c>
      <c r="N73" t="inlineStr">
        <is>
          <t>iluminacao_publica</t>
        </is>
      </c>
      <c r="O73" t="n">
        <v>174136.93</v>
      </c>
      <c r="P73" t="n">
        <v>158306.34</v>
      </c>
      <c r="Q73" t="n">
        <v>174136.925</v>
      </c>
      <c r="R73" t="n">
        <v>0.0909088351020325</v>
      </c>
      <c r="S73" t="n">
        <v>0</v>
      </c>
      <c r="T73" t="n">
        <v>12</v>
      </c>
      <c r="U73" t="n">
        <v>12</v>
      </c>
      <c r="V73" t="n">
        <v>12</v>
      </c>
      <c r="W73" t="n">
        <v>0</v>
      </c>
      <c r="X73" t="n">
        <v>0</v>
      </c>
      <c r="Y73" t="n">
        <v>0</v>
      </c>
      <c r="Z73" t="n">
        <v>0</v>
      </c>
      <c r="AA73" t="n">
        <v>0</v>
      </c>
      <c r="AB73" t="n">
        <v>0</v>
      </c>
      <c r="AC73" t="n">
        <v>0</v>
      </c>
      <c r="AD73" t="n">
        <v>0</v>
      </c>
      <c r="AE73" t="n">
        <v>1</v>
      </c>
      <c r="AF73" t="inlineStr">
        <is>
          <t>ES COMERCIO E SERVICOS LTDA:Demais</t>
        </is>
      </c>
      <c r="AH73" t="inlineStr">
        <is>
          <t>indefinido</t>
        </is>
      </c>
      <c r="AJ73" t="n">
        <v>0</v>
      </c>
      <c r="AK73" t="n">
        <v>0</v>
      </c>
      <c r="AL73" t="n">
        <v>0</v>
      </c>
      <c r="AM73" t="n">
        <v>0</v>
      </c>
      <c r="AN73" t="n">
        <v>0</v>
      </c>
      <c r="AQ73" t="n">
        <v>0</v>
      </c>
      <c r="AR73" t="inlineStr">
        <is>
          <t>equipamento_alto</t>
        </is>
      </c>
      <c r="AS73" t="inlineStr">
        <is>
          <t>Objeto envolve gerador/estrutura de evento ou fração de material &gt; 40% associada a equipamentos de grande porte.</t>
        </is>
      </c>
      <c r="AT73" t="n">
        <v>0</v>
      </c>
      <c r="AU73" t="n">
        <v>0</v>
      </c>
    </row>
    <row r="74">
      <c r="A74" t="inlineStr">
        <is>
          <t>01067255000134_2026_4</t>
        </is>
      </c>
      <c r="B74" s="2" t="inlineStr">
        <is>
          <t>https://pncp.gov.br/app/editais/01067255000134/2026/4</t>
        </is>
      </c>
      <c r="C74" t="inlineStr">
        <is>
          <t>2026-09-27T03:56:26.763556+00:00</t>
        </is>
      </c>
      <c r="D74" t="inlineStr">
        <is>
          <t>GO</t>
        </is>
      </c>
      <c r="E74" t="inlineStr">
        <is>
          <t>GO</t>
        </is>
      </c>
      <c r="F74" t="inlineStr">
        <is>
          <t>Itaguaru</t>
        </is>
      </c>
      <c r="G74" t="inlineStr">
        <is>
          <t>MUNICIPIO DE ITAGUARU</t>
        </is>
      </c>
      <c r="H74" t="inlineStr">
        <is>
          <t>Municipal</t>
        </is>
      </c>
      <c r="I74" t="inlineStr">
        <is>
          <t>2026-01-16T14:07:19</t>
        </is>
      </c>
      <c r="J74" t="inlineStr">
        <is>
          <t>Pregão - Eletrônico</t>
        </is>
      </c>
      <c r="K74" t="inlineStr">
        <is>
          <t>Registro de Preços para eventual contratação de empresa especializada na instalação e operação de sistema de minigeração de energia solar fotovoltaica ON-GRID, com potência estimada de 570 kWp, abrangendo laudos estruturais e à aprovação do projeto junto à concessionária de energia elétrica, o fornecimento de todos os equipamentos, materiais e serviços necessários à completa instalação, bem como a efetivação do acesso junto à concessionária, o treinamento, a manutenção e o suporte técnico, conforme as especificações técnicas, condições e demais requisitos estabelecidos nos Anexos do Edital, em conformidade com as normas da Associação Brasileira de Normas Técnicas (ABNT) e demais regulamentações aplicáveis.</t>
        </is>
      </c>
      <c r="L74" t="b">
        <v>1</v>
      </c>
      <c r="M74" t="inlineStr">
        <is>
          <t>eletrica_predial</t>
        </is>
      </c>
      <c r="N74" t="inlineStr">
        <is>
          <t>eletrica_predial</t>
        </is>
      </c>
      <c r="O74" t="n">
        <v>3135000</v>
      </c>
      <c r="P74" t="n">
        <v>3135000</v>
      </c>
      <c r="Q74" t="n">
        <v>3135000</v>
      </c>
      <c r="R74" t="n">
        <v>0</v>
      </c>
      <c r="S74" t="n">
        <v>0</v>
      </c>
      <c r="T74" t="n">
        <v>1</v>
      </c>
      <c r="U74" t="n">
        <v>1</v>
      </c>
      <c r="V74" t="n">
        <v>1</v>
      </c>
      <c r="W74" t="n">
        <v>0</v>
      </c>
      <c r="X74" t="n">
        <v>0</v>
      </c>
      <c r="Y74" t="n">
        <v>0</v>
      </c>
      <c r="Z74" t="n">
        <v>0</v>
      </c>
      <c r="AA74" t="n">
        <v>0</v>
      </c>
      <c r="AB74" t="n">
        <v>0</v>
      </c>
      <c r="AC74" t="n">
        <v>0</v>
      </c>
      <c r="AD74" t="n">
        <v>0</v>
      </c>
      <c r="AE74" t="n">
        <v>1</v>
      </c>
      <c r="AF74" t="inlineStr">
        <is>
          <t>G H PARTICIPAÇOES E NEGOCIOS LTDA:ME</t>
        </is>
      </c>
      <c r="AH74" t="inlineStr">
        <is>
          <t>pontual</t>
        </is>
      </c>
      <c r="AJ74" t="n">
        <v>0</v>
      </c>
      <c r="AK74" t="n">
        <v>0</v>
      </c>
      <c r="AL74" t="n">
        <v>0</v>
      </c>
      <c r="AM74" t="n">
        <v>0</v>
      </c>
      <c r="AN74" t="n">
        <v>0</v>
      </c>
      <c r="AQ74" t="n">
        <v>0</v>
      </c>
      <c r="AR74" t="inlineStr">
        <is>
          <t>equipamento_alto</t>
        </is>
      </c>
      <c r="AS74" t="inlineStr">
        <is>
          <t>Confirmada exclusao automatica (equipamento_alto): eventual contratacao de empresa especializada na instalacao e operacao de sistema de minigeracao de energia solar fotovoltaica on-grid, com potencia estimada de 570 kwp, abrangendo</t>
        </is>
      </c>
      <c r="AT74" t="n">
        <v>0</v>
      </c>
      <c r="AU74" t="n">
        <v>0</v>
      </c>
    </row>
    <row r="75">
      <c r="A75" t="inlineStr">
        <is>
          <t>01067255000134_2026_55</t>
        </is>
      </c>
      <c r="B75" s="2" t="inlineStr">
        <is>
          <t>https://pncp.gov.br/app/editais/01067255000134/2026/55</t>
        </is>
      </c>
      <c r="C75" t="inlineStr">
        <is>
          <t>2026-09-27T04:34:23.450379+00:00</t>
        </is>
      </c>
      <c r="D75" t="inlineStr">
        <is>
          <t>GO</t>
        </is>
      </c>
      <c r="E75" t="inlineStr">
        <is>
          <t>GO</t>
        </is>
      </c>
      <c r="F75" t="inlineStr">
        <is>
          <t>Itaguaru</t>
        </is>
      </c>
      <c r="G75" t="inlineStr">
        <is>
          <t>MUNICIPIO DE ITAGUARU</t>
        </is>
      </c>
      <c r="H75" t="inlineStr">
        <is>
          <t>Municipal</t>
        </is>
      </c>
      <c r="I75" t="inlineStr">
        <is>
          <t>2026-04-09T13:27:29</t>
        </is>
      </c>
      <c r="J75" t="inlineStr">
        <is>
          <t>Pregão - Presencial</t>
        </is>
      </c>
      <c r="K75" t="inlineStr">
        <is>
          <t>AQUISIÇÃO DE MATERIAL ELÉTRICO E ELETRONICO PARA MANUTENÇÃO DA ILUMINAÇÃO PUBLICA E PREDIOS PUBLICOS.</t>
        </is>
      </c>
      <c r="L75" t="b">
        <v>1</v>
      </c>
      <c r="M75" t="inlineStr">
        <is>
          <t>iluminacao_publica</t>
        </is>
      </c>
      <c r="N75" t="inlineStr">
        <is>
          <t>iluminacao_publica</t>
        </is>
      </c>
      <c r="O75" t="n">
        <v>880993.48</v>
      </c>
      <c r="P75" t="n">
        <v>253473.7</v>
      </c>
      <c r="Q75" t="n">
        <v>276522.6344999999</v>
      </c>
      <c r="R75" t="n">
        <v>0.08335279512173174</v>
      </c>
      <c r="S75" t="n">
        <v>0</v>
      </c>
      <c r="T75" t="n">
        <v>57</v>
      </c>
      <c r="U75" t="n">
        <v>40</v>
      </c>
      <c r="V75" t="n">
        <v>57</v>
      </c>
      <c r="W75" t="n">
        <v>0</v>
      </c>
      <c r="X75" t="n">
        <v>0</v>
      </c>
      <c r="Y75" t="n">
        <v>0</v>
      </c>
      <c r="Z75" t="n">
        <v>0</v>
      </c>
      <c r="AA75" t="n">
        <v>0</v>
      </c>
      <c r="AB75" t="n">
        <v>0</v>
      </c>
      <c r="AC75" t="n">
        <v>0</v>
      </c>
      <c r="AD75" t="n">
        <v>0</v>
      </c>
      <c r="AE75" t="n">
        <v>1</v>
      </c>
      <c r="AF75" t="inlineStr">
        <is>
          <t>OUROLUZ MATERIAIS ELETRICOS E ILUMINACAO LTDA:Demais</t>
        </is>
      </c>
      <c r="AH75" t="inlineStr">
        <is>
          <t>pontual</t>
        </is>
      </c>
      <c r="AJ75" t="n">
        <v>0</v>
      </c>
      <c r="AK75" t="n">
        <v>0</v>
      </c>
      <c r="AL75" t="n">
        <v>0</v>
      </c>
      <c r="AM75" t="n">
        <v>0</v>
      </c>
      <c r="AN75" t="n">
        <v>0</v>
      </c>
      <c r="AQ75" t="n">
        <v>1</v>
      </c>
      <c r="AR75" t="inlineStr">
        <is>
          <t>fornecimento_puro</t>
        </is>
      </c>
      <c r="AS75" t="inlineStr">
        <is>
          <t>Registro de preços/contratação de fornecimento de materiais, sem mão de obra de manutenção contratada.</t>
        </is>
      </c>
      <c r="AT75" t="n">
        <v>1</v>
      </c>
      <c r="AU75" t="n">
        <v>0</v>
      </c>
    </row>
    <row r="76">
      <c r="A76" t="inlineStr">
        <is>
          <t>01067255000134_2026_63</t>
        </is>
      </c>
      <c r="B76" s="2" t="inlineStr">
        <is>
          <t>https://pncp.gov.br/app/editais/01067255000134/2026/63</t>
        </is>
      </c>
      <c r="C76" t="inlineStr">
        <is>
          <t>2026-09-27T04:49:17.316763+00:00</t>
        </is>
      </c>
      <c r="D76" t="inlineStr">
        <is>
          <t>GO</t>
        </is>
      </c>
      <c r="E76" t="inlineStr">
        <is>
          <t>GO</t>
        </is>
      </c>
      <c r="F76" t="inlineStr">
        <is>
          <t>Itaguaru</t>
        </is>
      </c>
      <c r="G76" t="inlineStr">
        <is>
          <t>MUNICIPIO DE ITAGUARU</t>
        </is>
      </c>
      <c r="H76" t="inlineStr">
        <is>
          <t>Municipal</t>
        </is>
      </c>
      <c r="I76" t="inlineStr">
        <is>
          <t>2026-05-20T09:25:25</t>
        </is>
      </c>
      <c r="J76" t="inlineStr">
        <is>
          <t>Pregão - Eletrônico</t>
        </is>
      </c>
      <c r="K76" t="inlineStr">
        <is>
          <t>Registro de Preços para contratação, sob demanda, de empresa especializada em locação de caminhão com cesto aéreo, para atender as demandas do município de Itaguaru, conforme especificações constantes no Termo de Referência – Anexo I, do Edital.</t>
        </is>
      </c>
      <c r="L76" t="b">
        <v>1</v>
      </c>
      <c r="M76" t="inlineStr">
        <is>
          <t>munck</t>
        </is>
      </c>
      <c r="N76" t="inlineStr">
        <is>
          <t>munck</t>
        </is>
      </c>
      <c r="O76" t="n">
        <v>188966.64</v>
      </c>
      <c r="P76" t="n">
        <v>188966.64</v>
      </c>
      <c r="Q76" t="n">
        <v>188966.64</v>
      </c>
      <c r="R76" t="n">
        <v>0</v>
      </c>
      <c r="S76" t="n">
        <v>0</v>
      </c>
      <c r="T76" t="n">
        <v>1</v>
      </c>
      <c r="U76" t="n">
        <v>1</v>
      </c>
      <c r="V76" t="n">
        <v>1</v>
      </c>
      <c r="W76" t="n">
        <v>0</v>
      </c>
      <c r="X76" t="n">
        <v>0</v>
      </c>
      <c r="Y76" t="n">
        <v>0</v>
      </c>
      <c r="Z76" t="n">
        <v>0</v>
      </c>
      <c r="AA76" t="n">
        <v>0</v>
      </c>
      <c r="AB76" t="n">
        <v>0</v>
      </c>
      <c r="AC76" t="n">
        <v>0</v>
      </c>
      <c r="AD76" t="n">
        <v>0</v>
      </c>
      <c r="AE76" t="n">
        <v>1</v>
      </c>
      <c r="AF76" t="inlineStr">
        <is>
          <t>SUDOESTE VIAS SERVIÇOS COMERCIO LTDA ME:ME</t>
        </is>
      </c>
      <c r="AH76" t="inlineStr">
        <is>
          <t>pontual</t>
        </is>
      </c>
      <c r="AI76" t="n">
        <v>12</v>
      </c>
      <c r="AJ76" t="n">
        <v>1</v>
      </c>
      <c r="AK76" t="n">
        <v>0</v>
      </c>
      <c r="AL76" t="n">
        <v>0</v>
      </c>
      <c r="AM76" t="n">
        <v>1</v>
      </c>
      <c r="AN76" t="n">
        <v>0</v>
      </c>
      <c r="AQ76" t="n">
        <v>0</v>
      </c>
      <c r="AS76" t="inlineStr">
        <is>
          <t>Locação mensal de caminhão com cesto aéreo (inclui manutenção e seguro) para demandas municipais; equipamento adjacente ao munck usado em poste/iluminação.</t>
        </is>
      </c>
      <c r="AT76" t="n">
        <v>0</v>
      </c>
      <c r="AU76" t="n">
        <v>1</v>
      </c>
    </row>
    <row r="77">
      <c r="A77" t="inlineStr">
        <is>
          <t>01067305000183_2025_311</t>
        </is>
      </c>
      <c r="B77" s="2" t="inlineStr">
        <is>
          <t>https://pncp.gov.br/app/editais/01067305000183/2025/311</t>
        </is>
      </c>
      <c r="C77" t="inlineStr">
        <is>
          <t>2026-09-27T04:44:54.532331+00:00</t>
        </is>
      </c>
      <c r="D77" t="inlineStr">
        <is>
          <t>GO</t>
        </is>
      </c>
      <c r="E77" t="inlineStr">
        <is>
          <t>GO</t>
        </is>
      </c>
      <c r="F77" t="inlineStr">
        <is>
          <t>Leopoldo de Bulhões</t>
        </is>
      </c>
      <c r="G77" t="inlineStr">
        <is>
          <t>MUNICIPIO DE LEOPOLDO DE BULHOES</t>
        </is>
      </c>
      <c r="H77" t="inlineStr">
        <is>
          <t>Municipal</t>
        </is>
      </c>
      <c r="I77" t="inlineStr">
        <is>
          <t>2025-11-19T17:04:45</t>
        </is>
      </c>
      <c r="J77" t="inlineStr">
        <is>
          <t>Pregão - Presencial</t>
        </is>
      </c>
      <c r="K77" t="inlineStr">
        <is>
          <t>REGISTRO DE PREÇOS PARA CONTRATAÇÃO FUTURA E EVENTUAL DE EMPRESA ESPECIALIZADA EM SERVIÇOS DE SEGURANÇA, BOMBEIRO CIVIL, LOCAÇÃO DE EQUIPAMENTOS DE SONORIZAÇÃO, ILUMINAÇAO E ESTRUTURAS METÁLICAS PARA EVENTOS DIVERSOS, COMPREENDENDO OS SERVIÇOS DE MONTAGEM/DESMONTAGEM, INSTALAÇÃO/DESINSTALAÇÃO E TRANSPORTE E DEMAIS SERVIÇOS PARA ATENDER AS DEMANDAS DA PREFEITURA MUNICIPAL DE LEOPOLDO DE BULHÕES-GO, CONFORME ESPECIFICAÇÕES CONSTANTES NO TERMO DE REFERÊNCIA ANEXO I DESTE EDITAL.</t>
        </is>
      </c>
      <c r="L77" t="b">
        <v>1</v>
      </c>
      <c r="M77" t="inlineStr">
        <is>
          <t>iluminacao_publica</t>
        </is>
      </c>
      <c r="N77" t="inlineStr">
        <is>
          <t>iluminacao_publica</t>
        </is>
      </c>
      <c r="O77" t="n">
        <v>2534138.28</v>
      </c>
      <c r="P77" t="n">
        <v>1099600</v>
      </c>
      <c r="Q77" t="n">
        <v>2534138.28</v>
      </c>
      <c r="R77" t="n">
        <v>0.5660852414099518</v>
      </c>
      <c r="S77" t="n">
        <v>0</v>
      </c>
      <c r="T77" t="n">
        <v>20</v>
      </c>
      <c r="U77" t="n">
        <v>20</v>
      </c>
      <c r="V77" t="n">
        <v>20</v>
      </c>
      <c r="W77" t="n">
        <v>0</v>
      </c>
      <c r="X77" t="n">
        <v>0</v>
      </c>
      <c r="Y77" t="n">
        <v>0</v>
      </c>
      <c r="Z77" t="n">
        <v>0</v>
      </c>
      <c r="AA77" t="n">
        <v>0</v>
      </c>
      <c r="AB77" t="n">
        <v>0</v>
      </c>
      <c r="AC77" t="n">
        <v>0</v>
      </c>
      <c r="AD77" t="n">
        <v>0</v>
      </c>
      <c r="AE77" t="n">
        <v>7</v>
      </c>
      <c r="AF77" t="inlineStr">
        <is>
          <t>FABRICA DE SHOWS, PRODUCOES E EVENTOS LTDA:ME; TAY COMERCIO E SERVICOS LTDA:ME; VOX LTDA:ME; DS SERVICOS E VENDAS LTDA:ME; MD JARAGUA TENDAS E PALCOS LTDA:ME; LIONS PREPARATORIOS E SERVICOS LTDA:ME; POSITIVO VIGILANCIA E SEGURANCA LTDA:ME</t>
        </is>
      </c>
      <c r="AH77" t="inlineStr">
        <is>
          <t>pontual</t>
        </is>
      </c>
      <c r="AJ77" t="n">
        <v>0</v>
      </c>
      <c r="AK77" t="n">
        <v>0</v>
      </c>
      <c r="AL77" t="n">
        <v>0</v>
      </c>
      <c r="AM77" t="n">
        <v>0</v>
      </c>
      <c r="AN77" t="n">
        <v>0</v>
      </c>
      <c r="AQ77" t="n">
        <v>0</v>
      </c>
      <c r="AR77" t="inlineStr">
        <is>
          <t>mencao_passagem</t>
        </is>
      </c>
      <c r="AS77" t="inlineStr">
        <is>
          <t>Locação de segurança/bombeiro civil/sonorização/iluminação para eventos diversos; não é manutenção de IP.</t>
        </is>
      </c>
      <c r="AT77" t="n">
        <v>0</v>
      </c>
      <c r="AU77" t="n">
        <v>0</v>
      </c>
    </row>
    <row r="78">
      <c r="A78" t="inlineStr">
        <is>
          <t>01067479000146_2025_157</t>
        </is>
      </c>
      <c r="B78" s="2" t="inlineStr">
        <is>
          <t>https://pncp.gov.br/app/editais/01067479000146/2025/157</t>
        </is>
      </c>
      <c r="C78" t="inlineStr">
        <is>
          <t>2026-09-27T04:43:08.863178+00:00</t>
        </is>
      </c>
      <c r="D78" t="inlineStr">
        <is>
          <t>GO</t>
        </is>
      </c>
      <c r="E78" t="inlineStr">
        <is>
          <t>GO</t>
        </is>
      </c>
      <c r="F78" t="inlineStr">
        <is>
          <t>Anápolis</t>
        </is>
      </c>
      <c r="G78" t="inlineStr">
        <is>
          <t>MUNICIPIO DE ANAPOLIS</t>
        </is>
      </c>
      <c r="H78" t="inlineStr">
        <is>
          <t>Municipal</t>
        </is>
      </c>
      <c r="I78" t="inlineStr">
        <is>
          <t>2025-12-18T07:10:55</t>
        </is>
      </c>
      <c r="J78" t="inlineStr">
        <is>
          <t>Pregão - Eletrônico</t>
        </is>
      </c>
      <c r="K78" t="inlineStr">
        <is>
          <t>Registro de Preços para a eventual e futura contratação de empresa especializada na prestação de serviços de locação, montagem e desmontagem de estruturas para eventos, compreendendo tendas, palcos, som, iluminação, gradis, mesas, cadeiras e demais equipamentos correlatos, para atender as demandas do Município de Anápolis.</t>
        </is>
      </c>
      <c r="L78" t="b">
        <v>1</v>
      </c>
      <c r="M78" t="inlineStr">
        <is>
          <t>iluminacao_publica</t>
        </is>
      </c>
      <c r="N78" t="inlineStr">
        <is>
          <t>iluminacao_publica</t>
        </is>
      </c>
      <c r="O78" t="n">
        <v>11675975.54</v>
      </c>
      <c r="P78" t="n">
        <v>2033770.84</v>
      </c>
      <c r="Q78" t="n">
        <v>7128289.99</v>
      </c>
      <c r="R78" t="n">
        <v>0.7146902212377586</v>
      </c>
      <c r="S78" t="n">
        <v>0</v>
      </c>
      <c r="T78" t="n">
        <v>63</v>
      </c>
      <c r="U78" t="n">
        <v>40</v>
      </c>
      <c r="V78" t="n">
        <v>60</v>
      </c>
      <c r="W78" t="n">
        <v>0</v>
      </c>
      <c r="X78" t="n">
        <v>0</v>
      </c>
      <c r="Y78" t="n">
        <v>3</v>
      </c>
      <c r="Z78" t="n">
        <v>0</v>
      </c>
      <c r="AA78" t="n">
        <v>0</v>
      </c>
      <c r="AB78" t="n">
        <v>1</v>
      </c>
      <c r="AC78" t="n">
        <v>0</v>
      </c>
      <c r="AD78" t="n">
        <v>0</v>
      </c>
      <c r="AE78" t="n">
        <v>3</v>
      </c>
      <c r="AF78" t="inlineStr">
        <is>
          <t>RCR EVENTOS LTDA:ME; PRESTASOM LTDA:ME; MKDS EVENTOS MARKETING E DIVERTIMENTOS LTDA:Demais</t>
        </is>
      </c>
      <c r="AH78" t="inlineStr">
        <is>
          <t>pontual</t>
        </is>
      </c>
      <c r="AJ78" t="n">
        <v>0</v>
      </c>
      <c r="AK78" t="n">
        <v>0</v>
      </c>
      <c r="AL78" t="n">
        <v>0</v>
      </c>
      <c r="AM78" t="n">
        <v>0</v>
      </c>
      <c r="AN78" t="n">
        <v>0</v>
      </c>
      <c r="AQ78" t="n">
        <v>0.005407047817366985</v>
      </c>
      <c r="AR78" t="inlineStr">
        <is>
          <t>mencao_passagem</t>
        </is>
      </c>
      <c r="AS78" t="inlineStr">
        <is>
          <t>Locação de estruturas para eventos (tendas, palco, som, iluminação, gradis); não é manutenção de IP.</t>
        </is>
      </c>
      <c r="AT78" t="n">
        <v>0</v>
      </c>
      <c r="AU78" t="n">
        <v>0</v>
      </c>
    </row>
    <row r="79">
      <c r="A79" t="inlineStr">
        <is>
          <t>01067479000146_2025_34</t>
        </is>
      </c>
      <c r="B79" s="2" t="inlineStr">
        <is>
          <t>https://pncp.gov.br/app/editais/01067479000146/2025/34</t>
        </is>
      </c>
      <c r="C79" t="inlineStr">
        <is>
          <t>2026-09-27T03:23:14.290515+00:00</t>
        </is>
      </c>
      <c r="D79" t="inlineStr">
        <is>
          <t>GO</t>
        </is>
      </c>
      <c r="E79" t="inlineStr">
        <is>
          <t>GO</t>
        </is>
      </c>
      <c r="F79" t="inlineStr">
        <is>
          <t>Anápolis</t>
        </is>
      </c>
      <c r="G79" t="inlineStr">
        <is>
          <t>MUNICIPIO DE ANAPOLIS</t>
        </is>
      </c>
      <c r="H79" t="inlineStr">
        <is>
          <t>Municipal</t>
        </is>
      </c>
      <c r="I79" t="inlineStr">
        <is>
          <t>2025-06-24T07:51:49</t>
        </is>
      </c>
      <c r="J79" t="inlineStr">
        <is>
          <t>Pregão - Eletrônico</t>
        </is>
      </c>
      <c r="K79" t="inlineStr">
        <is>
          <t>Contratação de empresa especializada na prestação de serviços de administração, preparo, fornecimento e distribuição de alimentação, com fornecimento de todos os insumos, equipamentos, materiais e mão-de-obra necessários, incluindo serviços de limpeza de utensílios, equipamentos e área física, bem como a manutenção preventiva e corretiva predial e dos equipamentos para 01 (um) restaurante popular instalado no município de Anápolis.</t>
        </is>
      </c>
      <c r="L79" t="b">
        <v>0</v>
      </c>
      <c r="M79" t="inlineStr">
        <is>
          <t>manutencao_predial</t>
        </is>
      </c>
      <c r="N79" t="inlineStr">
        <is>
          <t>manutencao_predial</t>
        </is>
      </c>
      <c r="O79" t="n">
        <v>8735760</v>
      </c>
      <c r="P79" t="n">
        <v>4700520</v>
      </c>
      <c r="Q79" t="n">
        <v>8735760</v>
      </c>
      <c r="R79" t="n">
        <v>0.4619220308250227</v>
      </c>
      <c r="S79" t="n">
        <v>0</v>
      </c>
      <c r="T79" t="n">
        <v>1</v>
      </c>
      <c r="U79" t="n">
        <v>1</v>
      </c>
      <c r="V79" t="n">
        <v>1</v>
      </c>
      <c r="W79" t="n">
        <v>0</v>
      </c>
      <c r="X79" t="n">
        <v>0</v>
      </c>
      <c r="Y79" t="n">
        <v>0</v>
      </c>
      <c r="Z79" t="n">
        <v>0</v>
      </c>
      <c r="AA79" t="n">
        <v>0</v>
      </c>
      <c r="AB79" t="n">
        <v>0</v>
      </c>
      <c r="AC79" t="n">
        <v>0</v>
      </c>
      <c r="AD79" t="n">
        <v>0</v>
      </c>
      <c r="AE79" t="n">
        <v>1</v>
      </c>
      <c r="AF79" t="inlineStr">
        <is>
          <t>VISUAL EVENTOS E FORMATURAS LTDA:Demais</t>
        </is>
      </c>
      <c r="AH79" t="inlineStr">
        <is>
          <t>pontual</t>
        </is>
      </c>
      <c r="AI79" t="n">
        <v>12</v>
      </c>
      <c r="AJ79" t="n">
        <v>0</v>
      </c>
      <c r="AK79" t="n">
        <v>0</v>
      </c>
      <c r="AL79" t="n">
        <v>0</v>
      </c>
      <c r="AM79" t="n">
        <v>1</v>
      </c>
      <c r="AN79" t="n">
        <v>0</v>
      </c>
      <c r="AP79" t="inlineStr">
        <is>
          <t>s refeições, com fornecimento mínimo de 750 (setecentas e cinquenta) refeições diárias. 17.3.2.2. O quantitativo mínimo exigido poderá ser comprovado por meio do somatório de diferentes atestados de serviço executado de forma concomitante, pois essa situação equivale, para fins de comprovação de cap…</t>
        </is>
      </c>
      <c r="AQ79" t="n">
        <v>0</v>
      </c>
      <c r="AT79" t="n">
        <v>0</v>
      </c>
      <c r="AU79" t="n">
        <v>1</v>
      </c>
    </row>
    <row r="80">
      <c r="A80" t="inlineStr">
        <is>
          <t>01067479000146_2026_118</t>
        </is>
      </c>
      <c r="B80" s="2" t="inlineStr">
        <is>
          <t>https://pncp.gov.br/app/editais/01067479000146/2026/118</t>
        </is>
      </c>
      <c r="C80" t="inlineStr">
        <is>
          <t>2026-09-27T02:35:15.579936+00:00</t>
        </is>
      </c>
      <c r="D80" t="inlineStr">
        <is>
          <t>GO</t>
        </is>
      </c>
      <c r="E80" t="inlineStr">
        <is>
          <t>GO</t>
        </is>
      </c>
      <c r="F80" t="inlineStr">
        <is>
          <t>Anápolis</t>
        </is>
      </c>
      <c r="G80" t="inlineStr">
        <is>
          <t>MUNICIPIO DE ANAPOLIS</t>
        </is>
      </c>
      <c r="H80" t="inlineStr">
        <is>
          <t>Municipal</t>
        </is>
      </c>
      <c r="I80" t="inlineStr">
        <is>
          <t>2026-05-29T07:21:51</t>
        </is>
      </c>
      <c r="J80" t="inlineStr">
        <is>
          <t>Pregão - Eletrônico</t>
        </is>
      </c>
      <c r="K80" t="inlineStr">
        <is>
          <t>Registro de preços para futura e eventual contratação de empresa especializada para prestação dos serviços contínuos de assistência técnica em manutenção preventiva e corretiva, incluindo a implantação de plano de manutenção operacional e controle (PMOC) nos sistemas de climatização das instalações da Prefeitura Municipal de Anápolis.</t>
        </is>
      </c>
      <c r="L80" t="b">
        <v>1</v>
      </c>
      <c r="M80" t="inlineStr">
        <is>
          <t>climatizacao</t>
        </is>
      </c>
      <c r="N80" t="inlineStr">
        <is>
          <t>climatizacao</t>
        </is>
      </c>
      <c r="O80" t="n">
        <v>2466726.24</v>
      </c>
      <c r="P80" t="n">
        <v>937000</v>
      </c>
      <c r="Q80" t="n">
        <v>2466726.24</v>
      </c>
      <c r="R80" t="n">
        <v>0.6201443091633874</v>
      </c>
      <c r="S80" t="n">
        <v>0</v>
      </c>
      <c r="T80" t="n">
        <v>1</v>
      </c>
      <c r="U80" t="n">
        <v>1</v>
      </c>
      <c r="V80" t="n">
        <v>1</v>
      </c>
      <c r="W80" t="n">
        <v>0</v>
      </c>
      <c r="X80" t="n">
        <v>0</v>
      </c>
      <c r="Y80" t="n">
        <v>0</v>
      </c>
      <c r="Z80" t="n">
        <v>0</v>
      </c>
      <c r="AA80" t="n">
        <v>0</v>
      </c>
      <c r="AB80" t="n">
        <v>0</v>
      </c>
      <c r="AC80" t="n">
        <v>0</v>
      </c>
      <c r="AD80" t="n">
        <v>0</v>
      </c>
      <c r="AE80" t="n">
        <v>1</v>
      </c>
      <c r="AF80" t="inlineStr">
        <is>
          <t>SV RESPLANDE  ENGENHARIA E CONSULTORIA E SERVICOS LTDA:ME</t>
        </is>
      </c>
      <c r="AH80" t="inlineStr">
        <is>
          <t>pontual</t>
        </is>
      </c>
      <c r="AI80" t="n">
        <v>12</v>
      </c>
      <c r="AJ80" t="n">
        <v>0</v>
      </c>
      <c r="AK80" t="n">
        <v>0</v>
      </c>
      <c r="AL80" t="n">
        <v>0</v>
      </c>
      <c r="AM80" t="n">
        <v>1</v>
      </c>
      <c r="AN80" t="n">
        <v>1</v>
      </c>
      <c r="AP80" t="inlineStr">
        <is>
          <t>tividade pertinente e compatível com o objeto da licitação, por meio da apresentação de um ou mais Atestado de Capacidade Técnica e/ou Certidão de Acervo Técnico, fornecido por pessoa jurídica de direito público ou privado, ou regularmente emitido(s) pelo conselho profissional competente, quando for…</t>
        </is>
      </c>
      <c r="AQ80" t="n">
        <v>0</v>
      </c>
      <c r="AS80" t="inlineStr">
        <is>
          <t>'implantacao' se refere ao PMOC (documento de gestao de manutencao), nao a obra/construcao; e servico continuado de manutencao com PMOC.</t>
        </is>
      </c>
      <c r="AT80" t="n">
        <v>0</v>
      </c>
      <c r="AU80" t="n">
        <v>1</v>
      </c>
    </row>
    <row r="81">
      <c r="A81" t="inlineStr">
        <is>
          <t>01067925000112_2025_33</t>
        </is>
      </c>
      <c r="B81" s="2" t="inlineStr">
        <is>
          <t>https://pncp.gov.br/app/editais/01067925000112/2025/33</t>
        </is>
      </c>
      <c r="C81" t="inlineStr">
        <is>
          <t>2026-09-27T04:19:46.583318+00:00</t>
        </is>
      </c>
      <c r="D81" t="inlineStr">
        <is>
          <t>GO</t>
        </is>
      </c>
      <c r="E81" t="inlineStr">
        <is>
          <t>GO</t>
        </is>
      </c>
      <c r="F81" t="inlineStr">
        <is>
          <t>Nova Roma</t>
        </is>
      </c>
      <c r="G81" t="inlineStr">
        <is>
          <t>MUNICIPIO DE NOVA ROMA</t>
        </is>
      </c>
      <c r="H81" t="inlineStr">
        <is>
          <t>Municipal</t>
        </is>
      </c>
      <c r="I81" t="inlineStr">
        <is>
          <t>2025-06-11T10:03:44</t>
        </is>
      </c>
      <c r="J81" t="inlineStr">
        <is>
          <t>Pregão - Eletrônico</t>
        </is>
      </c>
      <c r="K81" t="inlineStr">
        <is>
          <t>Registro de Preços para a aquisição parcelada de materiais elétrico e correlatos para a manutenção preventiva e corretiva das instalações elétricas dos prédios públicos, sistemas de iluminação públi-ca e infraestrutura correlata das secretarias municipais de Nova Roma.</t>
        </is>
      </c>
      <c r="L81" t="b">
        <v>1</v>
      </c>
      <c r="M81" t="inlineStr">
        <is>
          <t>eletrica_predial</t>
        </is>
      </c>
      <c r="N81" t="inlineStr">
        <is>
          <t>eletrica_predial</t>
        </is>
      </c>
      <c r="O81" t="n">
        <v>772336.55</v>
      </c>
      <c r="P81" t="n">
        <v>140264.99</v>
      </c>
      <c r="Q81" t="n">
        <v>147404.95</v>
      </c>
      <c r="R81" t="n">
        <v>0.04843772207107017</v>
      </c>
      <c r="S81" t="n">
        <v>0</v>
      </c>
      <c r="T81" t="n">
        <v>90</v>
      </c>
      <c r="U81" t="n">
        <v>40</v>
      </c>
      <c r="V81" t="n">
        <v>90</v>
      </c>
      <c r="W81" t="n">
        <v>0</v>
      </c>
      <c r="X81" t="n">
        <v>0</v>
      </c>
      <c r="Y81" t="n">
        <v>0</v>
      </c>
      <c r="Z81" t="n">
        <v>0</v>
      </c>
      <c r="AA81" t="n">
        <v>0</v>
      </c>
      <c r="AB81" t="n">
        <v>0</v>
      </c>
      <c r="AC81" t="n">
        <v>0</v>
      </c>
      <c r="AD81" t="n">
        <v>0</v>
      </c>
      <c r="AE81" t="n">
        <v>3</v>
      </c>
      <c r="AF81" t="inlineStr">
        <is>
          <t>B.F SOLUÇÕES:ME; EREMASTER DISTRIBUIDORA DE FERRAGENS E FERRAMENTAS LTDA:ME; Bahia Lumi Iluminação e Materiais para Construção:ME</t>
        </is>
      </c>
      <c r="AH81" t="inlineStr">
        <is>
          <t>pontual</t>
        </is>
      </c>
      <c r="AJ81" t="n">
        <v>0</v>
      </c>
      <c r="AK81" t="n">
        <v>0</v>
      </c>
      <c r="AL81" t="n">
        <v>0</v>
      </c>
      <c r="AM81" t="n">
        <v>0</v>
      </c>
      <c r="AN81" t="n">
        <v>0</v>
      </c>
      <c r="AQ81" t="n">
        <v>1</v>
      </c>
      <c r="AR81" t="inlineStr">
        <is>
          <t>fornecimento_puro</t>
        </is>
      </c>
      <c r="AS81" t="inlineStr">
        <is>
          <t>Confirmada exclusao automatica (fornecimento_puro): 90 item(ns), todos classificados como material (sem servico).</t>
        </is>
      </c>
      <c r="AT81" t="n">
        <v>1</v>
      </c>
      <c r="AU81" t="n">
        <v>0</v>
      </c>
    </row>
    <row r="82">
      <c r="A82" t="inlineStr">
        <is>
          <t>01067941000105_2026_20</t>
        </is>
      </c>
      <c r="B82" s="2" t="inlineStr">
        <is>
          <t>https://pncp.gov.br/app/editais/01067941000105/2026/20</t>
        </is>
      </c>
      <c r="C82" t="inlineStr">
        <is>
          <t>2026-09-27T04:36:59.554818+00:00</t>
        </is>
      </c>
      <c r="D82" t="inlineStr">
        <is>
          <t>GO</t>
        </is>
      </c>
      <c r="E82" t="inlineStr">
        <is>
          <t>GO</t>
        </is>
      </c>
      <c r="F82" t="inlineStr">
        <is>
          <t>Pirenópolis</t>
        </is>
      </c>
      <c r="G82" t="inlineStr">
        <is>
          <t>MUNICIPIO DE PIRENOPOLIS</t>
        </is>
      </c>
      <c r="H82" t="inlineStr">
        <is>
          <t>Municipal</t>
        </is>
      </c>
      <c r="I82" t="inlineStr">
        <is>
          <t>2026-03-24T17:18:12</t>
        </is>
      </c>
      <c r="J82" t="inlineStr">
        <is>
          <t>Pregão - Eletrônico</t>
        </is>
      </c>
      <c r="K82" t="inlineStr">
        <is>
          <t>Contratação de Empresa Especializada para Locação de Equipamentos de Sonorização, Grade de Segurança Para Eventos, Iluminação, Palco, Tendas, Banheiros Químicos, Cadeiras Dentre Outros Itens</t>
        </is>
      </c>
      <c r="L82" t="b">
        <v>1</v>
      </c>
      <c r="M82" t="inlineStr">
        <is>
          <t>iluminacao_publica</t>
        </is>
      </c>
      <c r="N82" t="inlineStr">
        <is>
          <t>iluminacao_publica</t>
        </is>
      </c>
      <c r="O82" t="n">
        <v>26159014.8</v>
      </c>
      <c r="P82" t="n">
        <v>13479333.3999</v>
      </c>
      <c r="Q82" t="n">
        <v>22639324.8</v>
      </c>
      <c r="R82" t="n">
        <v>0.4046053263920661</v>
      </c>
      <c r="S82" t="n">
        <v>0</v>
      </c>
      <c r="T82" t="n">
        <v>54</v>
      </c>
      <c r="U82" t="n">
        <v>40</v>
      </c>
      <c r="V82" t="n">
        <v>46</v>
      </c>
      <c r="W82" t="n">
        <v>0</v>
      </c>
      <c r="X82" t="n">
        <v>0</v>
      </c>
      <c r="Y82" t="n">
        <v>0</v>
      </c>
      <c r="Z82" t="n">
        <v>0</v>
      </c>
      <c r="AA82" t="n">
        <v>0</v>
      </c>
      <c r="AB82" t="n">
        <v>0</v>
      </c>
      <c r="AC82" t="n">
        <v>0</v>
      </c>
      <c r="AD82" t="n">
        <v>0</v>
      </c>
      <c r="AE82" t="n">
        <v>5</v>
      </c>
      <c r="AF82" t="inlineStr">
        <is>
          <t>MOREIRA PRESTADORA DE SERVI?OS LTDA:Não se aplica; MSOUND SOM LUZ PALCO LTDA:Não se aplica; ESTRUTURA HD - PRESTADORA DE SERVICOS LTDA:Não se aplica; WF PRESTADORA DE SERVICOS PIRENOPOLIS LTDA:Não se aplica; LD-EQUIPAMENTOS PROFISSIONAIS LTDA-ME:Não se aplica</t>
        </is>
      </c>
      <c r="AH82" t="inlineStr">
        <is>
          <t>indefinido</t>
        </is>
      </c>
      <c r="AJ82" t="n">
        <v>0</v>
      </c>
      <c r="AK82" t="n">
        <v>0</v>
      </c>
      <c r="AL82" t="n">
        <v>0</v>
      </c>
      <c r="AM82" t="n">
        <v>0</v>
      </c>
      <c r="AN82" t="n">
        <v>0</v>
      </c>
      <c r="AQ82" t="n">
        <v>1</v>
      </c>
      <c r="AR82" t="inlineStr">
        <is>
          <t>mencao_passagem</t>
        </is>
      </c>
      <c r="AS82" t="inlineStr">
        <is>
          <t>Locação de equipamentos de sonorização/grade/iluminação/palco/tendas para eventos; não é manutenção de IP.</t>
        </is>
      </c>
      <c r="AT82" t="n">
        <v>0</v>
      </c>
      <c r="AU82" t="n">
        <v>0</v>
      </c>
    </row>
    <row r="83">
      <c r="A83" t="inlineStr">
        <is>
          <t>01067974000155_2026_20</t>
        </is>
      </c>
      <c r="B83" s="2" t="inlineStr">
        <is>
          <t>https://pncp.gov.br/app/editais/01067974000155/2026/20</t>
        </is>
      </c>
      <c r="C83" t="inlineStr">
        <is>
          <t>2026-09-27T05:37:41.798724+00:00</t>
        </is>
      </c>
      <c r="D83" t="inlineStr">
        <is>
          <t>TO</t>
        </is>
      </c>
      <c r="E83" t="inlineStr">
        <is>
          <t>vizinhos</t>
        </is>
      </c>
      <c r="F83" t="inlineStr">
        <is>
          <t>Ponte Alta do Tocantins</t>
        </is>
      </c>
      <c r="G83" t="inlineStr">
        <is>
          <t>MUNICIPIO DE PONTE ALTA DO TOCANTINS</t>
        </is>
      </c>
      <c r="H83" t="inlineStr">
        <is>
          <t>Municipal</t>
        </is>
      </c>
      <c r="I83" t="inlineStr">
        <is>
          <t>2026-08-19T12:03:20</t>
        </is>
      </c>
      <c r="J83" t="inlineStr">
        <is>
          <t>Pregão - Presencial</t>
        </is>
      </c>
      <c r="K83" t="inlineStr">
        <is>
          <t>AQUISIÇÃO DE MATERIAIS ELÉTRICOS DESTINADOS A ATENDER AS NECESSIDADES DA PREFEITURA MUNICIPAL DE PONTE ALTA DO TOCANTINS – TO E SEUS RESPECTIVOS FUNDOS MUNICIPAIS E SECRETARIAS, VISANDO A MANUTENÇÃO PREVENTIVA E CORRETIVA DAS INSTALAÇÕES ELÉTRICAS DOS PRÉDIOS PÚBLICOS, PRAÇAS, VIAS PÚBLICAS, SISTEMAS DE ILUMINAÇÃO E DEMAIS ESTRUTURAS SOB RESPONSABILIDADE DA ADMINISTRAÇÃO MUNICIPAL.</t>
        </is>
      </c>
      <c r="L83" t="b">
        <v>1</v>
      </c>
      <c r="M83" t="inlineStr">
        <is>
          <t>iluminacao_publica</t>
        </is>
      </c>
      <c r="N83" t="inlineStr">
        <is>
          <t>iluminacao_publica</t>
        </is>
      </c>
      <c r="O83" t="n">
        <v>717151</v>
      </c>
      <c r="P83" t="n">
        <v>716970</v>
      </c>
      <c r="Q83" t="n">
        <v>717151</v>
      </c>
      <c r="R83" t="n">
        <v>0.0002523875724917046</v>
      </c>
      <c r="S83" t="n">
        <v>0</v>
      </c>
      <c r="T83" t="n">
        <v>31</v>
      </c>
      <c r="U83" t="n">
        <v>31</v>
      </c>
      <c r="V83" t="n">
        <v>31</v>
      </c>
      <c r="W83" t="n">
        <v>0</v>
      </c>
      <c r="X83" t="n">
        <v>0</v>
      </c>
      <c r="Y83" t="n">
        <v>0</v>
      </c>
      <c r="Z83" t="n">
        <v>0</v>
      </c>
      <c r="AA83" t="n">
        <v>0</v>
      </c>
      <c r="AB83" t="n">
        <v>0</v>
      </c>
      <c r="AC83" t="n">
        <v>0</v>
      </c>
      <c r="AD83" t="n">
        <v>0</v>
      </c>
      <c r="AE83" t="n">
        <v>2</v>
      </c>
      <c r="AF83" t="inlineStr">
        <is>
          <t>A G J CONSTRUCOES LTDA:ME; LED E COMPANY LTDA:ME</t>
        </is>
      </c>
      <c r="AH83" t="inlineStr">
        <is>
          <t>pontual</t>
        </is>
      </c>
      <c r="AJ83" t="n">
        <v>0</v>
      </c>
      <c r="AK83" t="n">
        <v>0</v>
      </c>
      <c r="AL83" t="n">
        <v>0</v>
      </c>
      <c r="AM83" t="n">
        <v>0</v>
      </c>
      <c r="AN83" t="n">
        <v>0</v>
      </c>
      <c r="AQ83" t="n">
        <v>1</v>
      </c>
      <c r="AR83" t="inlineStr">
        <is>
          <t>fornecimento_puro</t>
        </is>
      </c>
      <c r="AS83" t="inlineStr">
        <is>
          <t>Registro de preços/contratação de fornecimento de materiais, sem mão de obra de manutenção contratada.</t>
        </is>
      </c>
      <c r="AT83" t="n">
        <v>1</v>
      </c>
      <c r="AU83" t="n">
        <v>0</v>
      </c>
    </row>
    <row r="84">
      <c r="A84" t="inlineStr">
        <is>
          <t>01067990000148_2026_2</t>
        </is>
      </c>
      <c r="B84" s="2" t="inlineStr">
        <is>
          <t>https://pncp.gov.br/app/editais/01067990000148/2026/2</t>
        </is>
      </c>
      <c r="C84" t="inlineStr">
        <is>
          <t>2026-09-27T02:38:49.193535+00:00</t>
        </is>
      </c>
      <c r="D84" t="inlineStr">
        <is>
          <t>GO</t>
        </is>
      </c>
      <c r="E84" t="inlineStr">
        <is>
          <t>GO</t>
        </is>
      </c>
      <c r="F84" t="inlineStr">
        <is>
          <t>Santa Rita do Araguaia</t>
        </is>
      </c>
      <c r="G84" t="inlineStr">
        <is>
          <t>MUNICIPIO DE SANTA RITA DO ARAGUAIA</t>
        </is>
      </c>
      <c r="H84" t="inlineStr">
        <is>
          <t>Municipal</t>
        </is>
      </c>
      <c r="I84" t="inlineStr">
        <is>
          <t>2026-03-06T15:28:23</t>
        </is>
      </c>
      <c r="J84" t="inlineStr">
        <is>
          <t>Pregão - Eletrônico</t>
        </is>
      </c>
      <c r="K84" t="inlineStr">
        <is>
          <t>SOLICITAÇÃO DE ABERTURA DE PROCESSO LICITATÓRIO  PARA CONTRATAÇÃO DE EMPRESA ESPECIALIZADA EM MANUTENÇÃO DE AR CONDICIONADO PARA ATENDER AS NECESSIDADES DA SECRETARIA DE  ADMINISTRAÇÃO E DEMIAS FUNDOS DO MUNICIPIO DE SANTA RITA DO ARAGUAIA-GO NO ANO DE 2026.</t>
        </is>
      </c>
      <c r="L84" t="b">
        <v>1</v>
      </c>
      <c r="M84" t="inlineStr">
        <is>
          <t>climatizacao</t>
        </is>
      </c>
      <c r="N84" t="inlineStr">
        <is>
          <t>climatizacao</t>
        </is>
      </c>
      <c r="O84" t="n">
        <v>314158.51</v>
      </c>
      <c r="P84" t="n">
        <v>114424.62</v>
      </c>
      <c r="Q84" t="n">
        <v>211213.2117</v>
      </c>
      <c r="R84" t="n">
        <v>0.4582506507096498</v>
      </c>
      <c r="S84" t="n">
        <v>0</v>
      </c>
      <c r="T84" t="n">
        <v>64</v>
      </c>
      <c r="U84" t="n">
        <v>40</v>
      </c>
      <c r="V84" t="n">
        <v>61</v>
      </c>
      <c r="W84" t="n">
        <v>0</v>
      </c>
      <c r="X84" t="n">
        <v>3</v>
      </c>
      <c r="Y84" t="n">
        <v>0</v>
      </c>
      <c r="Z84" t="n">
        <v>1</v>
      </c>
      <c r="AA84" t="n">
        <v>0</v>
      </c>
      <c r="AB84" t="n">
        <v>0</v>
      </c>
      <c r="AC84" t="n">
        <v>0</v>
      </c>
      <c r="AD84" t="n">
        <v>0</v>
      </c>
      <c r="AE84" t="n">
        <v>1</v>
      </c>
      <c r="AF84" t="inlineStr">
        <is>
          <t>VB REFRIGERACAO LTDA:ME</t>
        </is>
      </c>
      <c r="AH84" t="inlineStr">
        <is>
          <t>indefinido</t>
        </is>
      </c>
      <c r="AJ84" t="n">
        <v>0</v>
      </c>
      <c r="AK84" t="n">
        <v>0</v>
      </c>
      <c r="AL84" t="n">
        <v>0</v>
      </c>
      <c r="AM84" t="n">
        <v>0</v>
      </c>
      <c r="AN84" t="n">
        <v>0</v>
      </c>
      <c r="AQ84" t="n">
        <v>0</v>
      </c>
      <c r="AS84" t="inlineStr">
        <is>
          <t>heuristica automatica confirmada: servico real de climatizacao, sem sinais de exclusao.</t>
        </is>
      </c>
      <c r="AT84" t="n">
        <v>0</v>
      </c>
      <c r="AU84" t="n">
        <v>1</v>
      </c>
    </row>
    <row r="85">
      <c r="A85" t="inlineStr">
        <is>
          <t>01068014000100_2026_132</t>
        </is>
      </c>
      <c r="B85" s="2" t="inlineStr">
        <is>
          <t>https://pncp.gov.br/app/editais/01068014000100/2026/132</t>
        </is>
      </c>
      <c r="C85" t="inlineStr">
        <is>
          <t>2026-09-27T03:14:34.159620+00:00</t>
        </is>
      </c>
      <c r="D85" t="inlineStr">
        <is>
          <t>GO</t>
        </is>
      </c>
      <c r="E85" t="inlineStr">
        <is>
          <t>GO</t>
        </is>
      </c>
      <c r="F85" t="inlineStr">
        <is>
          <t>São Domingos</t>
        </is>
      </c>
      <c r="G85" t="inlineStr">
        <is>
          <t>MUNICIPIO DE SAO DOMINGOS</t>
        </is>
      </c>
      <c r="H85" t="inlineStr">
        <is>
          <t>Municipal</t>
        </is>
      </c>
      <c r="I85" t="inlineStr">
        <is>
          <t>2026-03-20T16:19:05</t>
        </is>
      </c>
      <c r="J85" t="inlineStr">
        <is>
          <t>Pregão - Presencial</t>
        </is>
      </c>
      <c r="K85" t="inlineStr">
        <is>
          <t>CONTRATAÇÃO DE EMPRESA PARA PRESTAÇÃO DE SERVIÇOS DE MANUTENÇÃO PREDIAL PREVENTIVA E CORRETIVA DE BAIXA COMPLEXIDADE, SEM FORNECIMENTO DE MATERIAIS, MEDIANTE DISPONIBILIZAÇÃO DE MÃO DE OBRA, COMPREENDENDO SERVIÇOS DE PEDREIRO, SERVENTE, PINTOR, SERRALHEIRO, CARPINTEIRO E VIDRACEIRO, DESTINADOS À REALIZAÇÃO DE PEQUENOS REPAROS, CONSERVAÇÃO E MANUTENÇÃO EM PRÉDIOS, INSTALAÇÕES E ESPAÇOS PÚBLICOS DO MUNICÍPIO DE SÃO DOMINGOS/GO.</t>
        </is>
      </c>
      <c r="L85" t="b">
        <v>1</v>
      </c>
      <c r="M85" t="inlineStr">
        <is>
          <t>manutencao_predial</t>
        </is>
      </c>
      <c r="N85" t="inlineStr">
        <is>
          <t>manutencao_predial</t>
        </is>
      </c>
      <c r="O85" t="n">
        <v>1472292.35</v>
      </c>
      <c r="P85" t="n">
        <v>1455620.0592</v>
      </c>
      <c r="Q85" t="n">
        <v>1472292.3474</v>
      </c>
      <c r="R85" t="n">
        <v>0.01132403375866463</v>
      </c>
      <c r="S85" t="n">
        <v>0</v>
      </c>
      <c r="T85" t="n">
        <v>6</v>
      </c>
      <c r="U85" t="n">
        <v>6</v>
      </c>
      <c r="V85" t="n">
        <v>6</v>
      </c>
      <c r="W85" t="n">
        <v>0</v>
      </c>
      <c r="X85" t="n">
        <v>0</v>
      </c>
      <c r="Y85" t="n">
        <v>0</v>
      </c>
      <c r="Z85" t="n">
        <v>0</v>
      </c>
      <c r="AA85" t="n">
        <v>0</v>
      </c>
      <c r="AB85" t="n">
        <v>0</v>
      </c>
      <c r="AC85" t="n">
        <v>0</v>
      </c>
      <c r="AD85" t="n">
        <v>0</v>
      </c>
      <c r="AE85" t="n">
        <v>1</v>
      </c>
      <c r="AF85" t="inlineStr">
        <is>
          <t>VANS SERVICOS E COMERCIO LTDA:ME</t>
        </is>
      </c>
      <c r="AH85" t="inlineStr">
        <is>
          <t>pontual</t>
        </is>
      </c>
      <c r="AI85" t="n">
        <v>3</v>
      </c>
      <c r="AJ85" t="n">
        <v>0</v>
      </c>
      <c r="AK85" t="n">
        <v>0</v>
      </c>
      <c r="AL85" t="n">
        <v>0</v>
      </c>
      <c r="AM85" t="n">
        <v>0</v>
      </c>
      <c r="AN85" t="n">
        <v>0</v>
      </c>
      <c r="AP85" t="inlineStr">
        <is>
          <t>assivo Circulante 9.1.4 - QUALIFICAÇÃO TÉCNICA: a) A licitante deverá apresentar, para fins de comprovação de qualificação técnica, Atestado(S) de Capacidade Técnica fornecido(s) por pessoa jurídica de direito público ou privado, que comprove(m) a aptidão para o desempenho de atividade pertinente e…</t>
        </is>
      </c>
      <c r="AQ85" t="n">
        <v>1</v>
      </c>
      <c r="AR85" t="inlineStr">
        <is>
          <t>fornecimento_puro</t>
        </is>
      </c>
      <c r="AS85" t="inlineStr">
        <is>
          <t>6 item(ns), todos classificados como material (sem servico).</t>
        </is>
      </c>
      <c r="AT85" t="n">
        <v>1</v>
      </c>
      <c r="AU85" t="n">
        <v>0</v>
      </c>
    </row>
    <row r="86">
      <c r="A86" t="inlineStr">
        <is>
          <t>01068030000100_2025_774</t>
        </is>
      </c>
      <c r="B86" s="2" t="inlineStr">
        <is>
          <t>https://pncp.gov.br/app/editais/01068030000100/2025/774</t>
        </is>
      </c>
      <c r="C86" t="inlineStr">
        <is>
          <t>2026-09-27T04:45:01.546689+00:00</t>
        </is>
      </c>
      <c r="D86" t="inlineStr">
        <is>
          <t>GO</t>
        </is>
      </c>
      <c r="E86" t="inlineStr">
        <is>
          <t>GO</t>
        </is>
      </c>
      <c r="F86" t="inlineStr">
        <is>
          <t>Silvânia</t>
        </is>
      </c>
      <c r="G86" t="inlineStr">
        <is>
          <t>MUNICIPIO DE SILVANIA</t>
        </is>
      </c>
      <c r="H86" t="inlineStr">
        <is>
          <t>Municipal</t>
        </is>
      </c>
      <c r="I86" t="inlineStr">
        <is>
          <t>2025-11-19T14:53:13</t>
        </is>
      </c>
      <c r="J86" t="inlineStr">
        <is>
          <t>Pregão - Eletrônico</t>
        </is>
      </c>
      <c r="K86" t="inlineStr">
        <is>
          <t>OFICIO Nº898/2025 AQUISIÇÃO DE MATERIAIS DE ILUMINAÇÃO PUBLICA</t>
        </is>
      </c>
      <c r="L86" t="b">
        <v>1</v>
      </c>
      <c r="M86" t="inlineStr">
        <is>
          <t>iluminacao_publica</t>
        </is>
      </c>
      <c r="N86" t="inlineStr">
        <is>
          <t>iluminacao_publica</t>
        </is>
      </c>
      <c r="O86" t="n">
        <v>2101300</v>
      </c>
      <c r="P86" t="n">
        <v>1083868</v>
      </c>
      <c r="Q86" t="n">
        <v>2101300</v>
      </c>
      <c r="R86" t="n">
        <v>0.4841916908580403</v>
      </c>
      <c r="S86" t="n">
        <v>0</v>
      </c>
      <c r="T86" t="n">
        <v>4</v>
      </c>
      <c r="U86" t="n">
        <v>4</v>
      </c>
      <c r="V86" t="n">
        <v>4</v>
      </c>
      <c r="W86" t="n">
        <v>0</v>
      </c>
      <c r="X86" t="n">
        <v>0</v>
      </c>
      <c r="Y86" t="n">
        <v>0</v>
      </c>
      <c r="Z86" t="n">
        <v>0</v>
      </c>
      <c r="AA86" t="n">
        <v>0</v>
      </c>
      <c r="AB86" t="n">
        <v>0</v>
      </c>
      <c r="AC86" t="n">
        <v>1</v>
      </c>
      <c r="AD86" t="n">
        <v>1</v>
      </c>
      <c r="AE86" t="n">
        <v>1</v>
      </c>
      <c r="AF86" t="inlineStr">
        <is>
          <t>B-LED ILUMINAÇÃO DO BRASIL LTDA:ME</t>
        </is>
      </c>
      <c r="AH86" t="inlineStr">
        <is>
          <t>pontual</t>
        </is>
      </c>
      <c r="AJ86" t="n">
        <v>0</v>
      </c>
      <c r="AK86" t="n">
        <v>0</v>
      </c>
      <c r="AL86" t="n">
        <v>0</v>
      </c>
      <c r="AM86" t="n">
        <v>0</v>
      </c>
      <c r="AN86" t="n">
        <v>0</v>
      </c>
      <c r="AQ86" t="n">
        <v>1</v>
      </c>
      <c r="AR86" t="inlineStr">
        <is>
          <t>fornecimento_puro</t>
        </is>
      </c>
      <c r="AS86" t="inlineStr">
        <is>
          <t>Registro de preços/contratação de fornecimento de materiais, sem mão de obra de manutenção contratada.</t>
        </is>
      </c>
      <c r="AT86" t="n">
        <v>0</v>
      </c>
      <c r="AU86" t="n">
        <v>0</v>
      </c>
    </row>
    <row r="87">
      <c r="A87" t="inlineStr">
        <is>
          <t>01068030000100_2025_830</t>
        </is>
      </c>
      <c r="B87" s="2" t="inlineStr">
        <is>
          <t>https://pncp.gov.br/app/editais/01068030000100/2025/830</t>
        </is>
      </c>
      <c r="C87" t="inlineStr">
        <is>
          <t>2026-09-27T03:57:08.792510+00:00</t>
        </is>
      </c>
      <c r="D87" t="inlineStr">
        <is>
          <t>GO</t>
        </is>
      </c>
      <c r="E87" t="inlineStr">
        <is>
          <t>GO</t>
        </is>
      </c>
      <c r="F87" t="inlineStr">
        <is>
          <t>Silvânia</t>
        </is>
      </c>
      <c r="G87" t="inlineStr">
        <is>
          <t>MUNICIPIO DE SILVANIA</t>
        </is>
      </c>
      <c r="H87" t="inlineStr">
        <is>
          <t>Municipal</t>
        </is>
      </c>
      <c r="I87" t="inlineStr">
        <is>
          <t>2025-12-23T10:10:50</t>
        </is>
      </c>
      <c r="J87" t="inlineStr">
        <is>
          <t>Pregão - Eletrônico</t>
        </is>
      </c>
      <c r="K87" t="inlineStr">
        <is>
          <t>ADESÃO À ATA DE REGISTRO DE PREÇOS PARA A AQUISIÇÃO DE MATERIAL ELÉTRICO DESTINADO A INSTALAÇÃO E MANUTENÇÃO DA ORNAMENTAÇÃO NATALINA NO MUNICIPIO DE SILVÂNIA.</t>
        </is>
      </c>
      <c r="L87" t="b">
        <v>1</v>
      </c>
      <c r="M87" t="inlineStr">
        <is>
          <t>eletrica_predial</t>
        </is>
      </c>
      <c r="N87" t="inlineStr">
        <is>
          <t>eletrica_predial</t>
        </is>
      </c>
      <c r="O87" t="n">
        <v>216959.54</v>
      </c>
      <c r="P87" t="n">
        <v>196857.5</v>
      </c>
      <c r="Q87" t="n">
        <v>216959.535</v>
      </c>
      <c r="R87" t="n">
        <v>0.09265338349844819</v>
      </c>
      <c r="S87" t="n">
        <v>0</v>
      </c>
      <c r="T87" t="n">
        <v>39</v>
      </c>
      <c r="U87" t="n">
        <v>39</v>
      </c>
      <c r="V87" t="n">
        <v>39</v>
      </c>
      <c r="W87" t="n">
        <v>0</v>
      </c>
      <c r="X87" t="n">
        <v>0</v>
      </c>
      <c r="Y87" t="n">
        <v>0</v>
      </c>
      <c r="Z87" t="n">
        <v>0</v>
      </c>
      <c r="AA87" t="n">
        <v>0</v>
      </c>
      <c r="AB87" t="n">
        <v>0</v>
      </c>
      <c r="AC87" t="n">
        <v>0</v>
      </c>
      <c r="AD87" t="n">
        <v>0</v>
      </c>
      <c r="AE87" t="n">
        <v>1</v>
      </c>
      <c r="AF87" t="inlineStr">
        <is>
          <t>OUROLUZ MATERIAIS ELETRICOS E ILUMINACAO LTDA:ME</t>
        </is>
      </c>
      <c r="AH87" t="inlineStr">
        <is>
          <t>pontual</t>
        </is>
      </c>
      <c r="AJ87" t="n">
        <v>0</v>
      </c>
      <c r="AK87" t="n">
        <v>0</v>
      </c>
      <c r="AL87" t="n">
        <v>0</v>
      </c>
      <c r="AM87" t="n">
        <v>0</v>
      </c>
      <c r="AN87" t="n">
        <v>0</v>
      </c>
      <c r="AQ87" t="n">
        <v>1</v>
      </c>
      <c r="AR87" t="inlineStr">
        <is>
          <t>fornecimento_puro</t>
        </is>
      </c>
      <c r="AS87" t="inlineStr">
        <is>
          <t>Confirmada exclusao automatica (fornecimento_puro): 39 item(ns), todos classificados como material (sem servico).</t>
        </is>
      </c>
      <c r="AT87" t="n">
        <v>1</v>
      </c>
      <c r="AU87" t="n">
        <v>0</v>
      </c>
    </row>
    <row r="88">
      <c r="A88" t="inlineStr">
        <is>
          <t>01068030000100_2026_205</t>
        </is>
      </c>
      <c r="B88" s="2" t="inlineStr">
        <is>
          <t>https://pncp.gov.br/app/editais/01068030000100/2026/205</t>
        </is>
      </c>
      <c r="C88" t="inlineStr">
        <is>
          <t>2026-09-27T04:49:13.295565+00:00</t>
        </is>
      </c>
      <c r="D88" t="inlineStr">
        <is>
          <t>GO</t>
        </is>
      </c>
      <c r="E88" t="inlineStr">
        <is>
          <t>GO</t>
        </is>
      </c>
      <c r="F88" t="inlineStr">
        <is>
          <t>Silvânia</t>
        </is>
      </c>
      <c r="G88" t="inlineStr">
        <is>
          <t>MUNICIPIO DE SILVANIA</t>
        </is>
      </c>
      <c r="H88" t="inlineStr">
        <is>
          <t>Municipal</t>
        </is>
      </c>
      <c r="I88" t="inlineStr">
        <is>
          <t>2026-05-22T14:14:17</t>
        </is>
      </c>
      <c r="J88" t="inlineStr">
        <is>
          <t>Pregão - Eletrônico</t>
        </is>
      </c>
      <c r="K88" t="inlineStr">
        <is>
          <t>OFICIO Nº331/2026 LOCAÇÃO DE CAMINHÃO EQUIPADO COM CESTO AÉREO E CAMINHÃO COMPACTADOR DE LIXO.</t>
        </is>
      </c>
      <c r="L88" t="b">
        <v>0</v>
      </c>
      <c r="M88" t="inlineStr">
        <is>
          <t>munck</t>
        </is>
      </c>
      <c r="N88" t="inlineStr">
        <is>
          <t>munck</t>
        </is>
      </c>
      <c r="O88" t="n">
        <v>644277.36</v>
      </c>
      <c r="P88" t="n">
        <v>393300</v>
      </c>
      <c r="Q88" t="n">
        <v>644277.36</v>
      </c>
      <c r="R88" t="n">
        <v>0.3895486254553474</v>
      </c>
      <c r="S88" t="n">
        <v>0</v>
      </c>
      <c r="T88" t="n">
        <v>2</v>
      </c>
      <c r="U88" t="n">
        <v>2</v>
      </c>
      <c r="V88" t="n">
        <v>2</v>
      </c>
      <c r="W88" t="n">
        <v>0</v>
      </c>
      <c r="X88" t="n">
        <v>0</v>
      </c>
      <c r="Y88" t="n">
        <v>0</v>
      </c>
      <c r="Z88" t="n">
        <v>0</v>
      </c>
      <c r="AA88" t="n">
        <v>0</v>
      </c>
      <c r="AB88" t="n">
        <v>0</v>
      </c>
      <c r="AC88" t="n">
        <v>0</v>
      </c>
      <c r="AD88" t="n">
        <v>0</v>
      </c>
      <c r="AE88" t="n">
        <v>1</v>
      </c>
      <c r="AF88" t="inlineStr">
        <is>
          <t>LOEQ LOCADORA DE EQUIPAMENTOS LTDA:ME</t>
        </is>
      </c>
      <c r="AH88" t="inlineStr">
        <is>
          <t>continuado</t>
        </is>
      </c>
      <c r="AI88" t="n">
        <v>12</v>
      </c>
      <c r="AJ88" t="n">
        <v>1</v>
      </c>
      <c r="AK88" t="n">
        <v>0</v>
      </c>
      <c r="AL88" t="n">
        <v>0</v>
      </c>
      <c r="AM88" t="n">
        <v>0</v>
      </c>
      <c r="AN88" t="n">
        <v>0</v>
      </c>
      <c r="AQ88" t="n">
        <v>0</v>
      </c>
      <c r="AS88" t="inlineStr">
        <is>
          <t>Item 1 (cesto aéreo, R$20.553/mês) é relevante; item 2 (caminhão coletor de lixo) é ruído, mas os itens têm vencedores e preços próprios -- dá para disputar só o item 1.</t>
        </is>
      </c>
      <c r="AT88" t="n">
        <v>0</v>
      </c>
      <c r="AU88" t="n">
        <v>1</v>
      </c>
    </row>
    <row r="89">
      <c r="A89" t="inlineStr">
        <is>
          <t>01071408000117_2025_2</t>
        </is>
      </c>
      <c r="B89" s="2" t="inlineStr">
        <is>
          <t>https://pncp.gov.br/app/editais/01071408000117/2025/2</t>
        </is>
      </c>
      <c r="C89" t="inlineStr">
        <is>
          <t>2026-09-27T05:35:06.064565+00:00</t>
        </is>
      </c>
      <c r="D89" t="inlineStr">
        <is>
          <t>TO</t>
        </is>
      </c>
      <c r="E89" t="inlineStr">
        <is>
          <t>vizinhos</t>
        </is>
      </c>
      <c r="F89" t="inlineStr">
        <is>
          <t>Abreulândia</t>
        </is>
      </c>
      <c r="G89" t="inlineStr">
        <is>
          <t>2ª Divisão Especializada em Repressão a Narcóticos</t>
        </is>
      </c>
      <c r="H89" t="inlineStr">
        <is>
          <t>Municipal</t>
        </is>
      </c>
      <c r="I89" t="inlineStr">
        <is>
          <t>2025-09-01T07:34:00</t>
        </is>
      </c>
      <c r="J89" t="inlineStr">
        <is>
          <t>Pregão - Eletrônico</t>
        </is>
      </c>
      <c r="K89" t="inlineStr">
        <is>
          <t>Contratação de empresa especializada para prestação de serviços continuados de manutenção preventiva e corretiva de equipamentos de ar condicionados e em câmara fria/freezer 02 tampas capacidade 400 Lts, Bebedouro e geladeira</t>
        </is>
      </c>
      <c r="L89" t="b">
        <v>1</v>
      </c>
      <c r="M89" t="inlineStr">
        <is>
          <t>refrigeracao</t>
        </is>
      </c>
      <c r="N89" t="inlineStr">
        <is>
          <t>refrigeracao</t>
        </is>
      </c>
      <c r="O89" t="n">
        <v>40000.16</v>
      </c>
      <c r="P89" t="n">
        <v>34150</v>
      </c>
      <c r="Q89" t="n">
        <v>40000.16</v>
      </c>
      <c r="R89" t="n">
        <v>0.14625341498634</v>
      </c>
      <c r="S89" t="n">
        <v>0</v>
      </c>
      <c r="T89" t="n">
        <v>3</v>
      </c>
      <c r="U89" t="n">
        <v>3</v>
      </c>
      <c r="V89" t="n">
        <v>3</v>
      </c>
      <c r="W89" t="n">
        <v>0</v>
      </c>
      <c r="X89" t="n">
        <v>0</v>
      </c>
      <c r="Y89" t="n">
        <v>0</v>
      </c>
      <c r="Z89" t="n">
        <v>0</v>
      </c>
      <c r="AA89" t="n">
        <v>1</v>
      </c>
      <c r="AB89" t="n">
        <v>0</v>
      </c>
      <c r="AC89" t="n">
        <v>0</v>
      </c>
      <c r="AD89" t="n">
        <v>0</v>
      </c>
      <c r="AE89" t="n">
        <v>2</v>
      </c>
      <c r="AF89" t="inlineStr">
        <is>
          <t>EBENEZER COMERCIO DE VARIEDADES LTDA:ME; 29.524.989 ARNOU ARAUJO ROCHA:ME</t>
        </is>
      </c>
      <c r="AH89" t="inlineStr">
        <is>
          <t>continuado</t>
        </is>
      </c>
      <c r="AJ89" t="n">
        <v>0</v>
      </c>
      <c r="AK89" t="n">
        <v>0</v>
      </c>
      <c r="AL89" t="n">
        <v>0</v>
      </c>
      <c r="AM89" t="n">
        <v>0</v>
      </c>
      <c r="AN89" t="n">
        <v>0</v>
      </c>
      <c r="AQ89" t="n">
        <v>0</v>
      </c>
      <c r="AS89" t="inlineStr">
        <is>
          <t>Objeto e itens cobrem ar-condicionado (~71% do valor) e itens explicitos de refrigeracao comercial ('Manutencao de Geladeiras e Bebedouros', 'Instalacao/Manutencao - Camara Fria', ~29%) -- mantido incluido como caso misto.</t>
        </is>
      </c>
      <c r="AT89" t="n">
        <v>0</v>
      </c>
      <c r="AU89" t="n">
        <v>1</v>
      </c>
    </row>
    <row r="90">
      <c r="A90" t="inlineStr">
        <is>
          <t>01071438000123_2026_1</t>
        </is>
      </c>
      <c r="B90" s="2" t="inlineStr">
        <is>
          <t>https://pncp.gov.br/app/editais/01071438000123/2026/1</t>
        </is>
      </c>
      <c r="C90" t="inlineStr">
        <is>
          <t>2026-09-27T05:36:50.800694+00:00</t>
        </is>
      </c>
      <c r="D90" t="inlineStr">
        <is>
          <t>TO</t>
        </is>
      </c>
      <c r="E90" t="inlineStr">
        <is>
          <t>vizinhos</t>
        </is>
      </c>
      <c r="F90" t="inlineStr">
        <is>
          <t>Cristalândia</t>
        </is>
      </c>
      <c r="G90" t="inlineStr">
        <is>
          <t>ASSOCIACAO DE APOIO AO COLEGIO MILITAR DO ESTADO DO TOCANTINS OTACILIO MARQUES ROSAL</t>
        </is>
      </c>
      <c r="H90" t="inlineStr">
        <is>
          <t>Não se aplica</t>
        </is>
      </c>
      <c r="I90" t="inlineStr">
        <is>
          <t>2026-05-26T07:10:37</t>
        </is>
      </c>
      <c r="J90" t="inlineStr">
        <is>
          <t>Pregão - Eletrônico</t>
        </is>
      </c>
      <c r="K90" t="inlineStr">
        <is>
          <t>Aquisição de materiais de consumo diversos, compreendendo itens de higiene, limpeza e conservação, materiais de acondicionamento e embalagem, utensílios domésticos, materiais de apoio às atividades administrativas e operacionais, bem como insumos básicos de manutenção predial de pequeno porte, para uso no Colégio Militar do Estado do Tocantins Otacílio Marques Rosal - Cristalândia-TO</t>
        </is>
      </c>
      <c r="L90" t="b">
        <v>1</v>
      </c>
      <c r="M90" t="inlineStr">
        <is>
          <t>manutencao_predial</t>
        </is>
      </c>
      <c r="N90" t="inlineStr">
        <is>
          <t>manutencao_predial</t>
        </is>
      </c>
      <c r="O90" t="n">
        <v>90358.83</v>
      </c>
      <c r="P90" t="n">
        <v>28519.582</v>
      </c>
      <c r="Q90" t="n">
        <v>57904.13999999999</v>
      </c>
      <c r="R90" t="n">
        <v>0.5074690341657783</v>
      </c>
      <c r="S90" t="n">
        <v>0</v>
      </c>
      <c r="T90" t="n">
        <v>90</v>
      </c>
      <c r="U90" t="n">
        <v>40</v>
      </c>
      <c r="V90" t="n">
        <v>87</v>
      </c>
      <c r="W90" t="n">
        <v>0</v>
      </c>
      <c r="X90" t="n">
        <v>3</v>
      </c>
      <c r="Y90" t="n">
        <v>0</v>
      </c>
      <c r="Z90" t="n">
        <v>1</v>
      </c>
      <c r="AA90" t="n">
        <v>1</v>
      </c>
      <c r="AB90" t="n">
        <v>0</v>
      </c>
      <c r="AC90" t="n">
        <v>0</v>
      </c>
      <c r="AD90" t="n">
        <v>0</v>
      </c>
      <c r="AE90" t="n">
        <v>10</v>
      </c>
      <c r="AF90" t="inlineStr">
        <is>
          <t>COMERCIAL DE PRODUTOS ALIMENTICIOS IDEAL LTDA:ME; V M DISTRIBUIDORA LTDA:ME; LUMINATA DISTRIBUIDORA LTDA:ME; PAULISTA IND E COM LTDA:ME; H NOGUEIRA DE SOUZA:ME; JOSE DANTAS DINIZ FILHO:ME; DPEL DISTRIBUIDORA DE PAPELARIA E LIMPEZA LTDA:ME; A A ROCHA LTDA:ME; SUPER SERVE BEM LTDA:ME; PABLO LUIS MARTINS:ME</t>
        </is>
      </c>
      <c r="AH90" t="inlineStr">
        <is>
          <t>pontual</t>
        </is>
      </c>
      <c r="AJ90" t="n">
        <v>0</v>
      </c>
      <c r="AK90" t="n">
        <v>0</v>
      </c>
      <c r="AL90" t="n">
        <v>0</v>
      </c>
      <c r="AM90" t="n">
        <v>0</v>
      </c>
      <c r="AN90" t="n">
        <v>0</v>
      </c>
      <c r="AQ90" t="n">
        <v>1</v>
      </c>
      <c r="AR90" t="inlineStr">
        <is>
          <t>fornecimento_puro</t>
        </is>
      </c>
      <c r="AS90" t="inlineStr">
        <is>
          <t>90 item(ns), todos classificados como material (sem servico).</t>
        </is>
      </c>
      <c r="AT90" t="n">
        <v>1</v>
      </c>
      <c r="AU90" t="n">
        <v>0</v>
      </c>
    </row>
    <row r="91">
      <c r="A91" t="inlineStr">
        <is>
          <t>01086980000150_2026_1</t>
        </is>
      </c>
      <c r="B91" s="2" t="inlineStr">
        <is>
          <t>https://pncp.gov.br/app/editais/01086980000150/2026/1</t>
        </is>
      </c>
      <c r="C91" t="inlineStr">
        <is>
          <t>2026-09-27T05:40:26.103064+00:00</t>
        </is>
      </c>
      <c r="D91" t="inlineStr">
        <is>
          <t>TO</t>
        </is>
      </c>
      <c r="E91" t="inlineStr">
        <is>
          <t>vizinhos</t>
        </is>
      </c>
      <c r="F91" t="inlineStr">
        <is>
          <t>Axixá do Tocantins</t>
        </is>
      </c>
      <c r="G91" t="inlineStr">
        <is>
          <t>ASSOCIACAO DE APOIO ESCOLA SAO FRANCISCO DE ASSIS</t>
        </is>
      </c>
      <c r="H91" t="inlineStr">
        <is>
          <t>Não se aplica</t>
        </is>
      </c>
      <c r="I91" t="inlineStr">
        <is>
          <t>2026-05-21T07:02:37</t>
        </is>
      </c>
      <c r="J91" t="inlineStr">
        <is>
          <t>Pregão - Eletrônico</t>
        </is>
      </c>
      <c r="K91" t="inlineStr">
        <is>
          <t>Aquisição de materiais de higiene e limpeza, de expediente diversos, pedagógicos, elétricos, hidráulicos e/ou utensílios de copa/cozinha ou descartáveis e contratações de serviços gerais para a manutenção da Unidade Escolar: Escola Estadual São Francisco de Assis, do município de Axixá do Tocantins/TO.</t>
        </is>
      </c>
      <c r="L91" t="b">
        <v>1</v>
      </c>
      <c r="M91" t="inlineStr">
        <is>
          <t>eletrica_predial</t>
        </is>
      </c>
      <c r="N91" t="inlineStr">
        <is>
          <t>eletrica_predial</t>
        </is>
      </c>
      <c r="O91" t="n">
        <v>111473.89</v>
      </c>
      <c r="P91" t="n">
        <v>16235.79</v>
      </c>
      <c r="Q91" t="n">
        <v>31070.87</v>
      </c>
      <c r="R91" t="n">
        <v>0.4774594338684432</v>
      </c>
      <c r="S91" t="n">
        <v>0</v>
      </c>
      <c r="T91" t="n">
        <v>227</v>
      </c>
      <c r="U91" t="n">
        <v>40</v>
      </c>
      <c r="V91" t="n">
        <v>218</v>
      </c>
      <c r="W91" t="n">
        <v>0</v>
      </c>
      <c r="X91" t="n">
        <v>9</v>
      </c>
      <c r="Y91" t="n">
        <v>0</v>
      </c>
      <c r="Z91" t="n">
        <v>1</v>
      </c>
      <c r="AA91" t="n">
        <v>1</v>
      </c>
      <c r="AB91" t="n">
        <v>0</v>
      </c>
      <c r="AC91" t="n">
        <v>0</v>
      </c>
      <c r="AD91" t="n">
        <v>0</v>
      </c>
      <c r="AE91" t="n">
        <v>4</v>
      </c>
      <c r="AF91" t="inlineStr">
        <is>
          <t>R F DA S SILVEIRA:ME; PRAPEL COMERCIO DE PAPEL LTDA:ME; SANTANA COMERCIO DE UTILIDADES DOMESTICAS LTDA:ME; E. DOS S. BRAGA COMERCIO E REPRESENTACAO:ME</t>
        </is>
      </c>
      <c r="AH91" t="inlineStr">
        <is>
          <t>pontual</t>
        </is>
      </c>
      <c r="AJ91" t="n">
        <v>0</v>
      </c>
      <c r="AK91" t="n">
        <v>0</v>
      </c>
      <c r="AL91" t="n">
        <v>0</v>
      </c>
      <c r="AM91" t="n">
        <v>0</v>
      </c>
      <c r="AN91" t="n">
        <v>0</v>
      </c>
      <c r="AQ91" t="n">
        <v>0.7599885497850664</v>
      </c>
      <c r="AR91" t="inlineStr">
        <is>
          <t>equipamento_alto</t>
        </is>
      </c>
      <c r="AS91" t="inlineStr">
        <is>
          <t>Confirmada exclusao automatica (equipamento_alto): fracao estimada em itens de material = 76% (&gt; 40%).</t>
        </is>
      </c>
      <c r="AT91" t="n">
        <v>0</v>
      </c>
      <c r="AU91" t="n">
        <v>0</v>
      </c>
    </row>
    <row r="92">
      <c r="A92" t="inlineStr">
        <is>
          <t>01098929000168_2026_24</t>
        </is>
      </c>
      <c r="B92" s="2" t="inlineStr">
        <is>
          <t>https://pncp.gov.br/app/editais/01098929000168/2026/24</t>
        </is>
      </c>
      <c r="C92" t="inlineStr">
        <is>
          <t>2026-09-27T05:45:16.246849+00:00</t>
        </is>
      </c>
      <c r="D92" t="inlineStr">
        <is>
          <t>MG</t>
        </is>
      </c>
      <c r="E92" t="inlineStr">
        <is>
          <t>vizinhos</t>
        </is>
      </c>
      <c r="F92" t="inlineStr">
        <is>
          <t>São João del Rei</t>
        </is>
      </c>
      <c r="G92" t="inlineStr">
        <is>
          <t>CONSORCIO INTERMUNICIPAL DE SAUDE DAS VERTENTES</t>
        </is>
      </c>
      <c r="H92" t="inlineStr">
        <is>
          <t>Não se aplica</t>
        </is>
      </c>
      <c r="I92" t="inlineStr">
        <is>
          <t>2026-09-23T09:23:17</t>
        </is>
      </c>
      <c r="J92" t="inlineStr">
        <is>
          <t>Pregão - Eletrônico</t>
        </is>
      </c>
      <c r="K92" t="inlineStr">
        <is>
          <t>Adesão a Ata de Registro de Preços nº0140/2025, Processo Licitatório  nº056/2025, Pregão Eletrônico nº012/2025 cuja detentora da Ata é a PREFEITURA MUNICIPAL DE SÃO FRANCISCO - MG para futura e eventual contratação de Empresa Especializada para Prestação de Serviços de Manutenção Preventiva e Corretiva em Equipamentos Eletrodomésticos e de Refrigeração, a serem realizadas de forma parcelada, conforme especificado no Termo de Referência que é parte integrante da ATA.</t>
        </is>
      </c>
      <c r="L92" t="b">
        <v>1</v>
      </c>
      <c r="M92" t="inlineStr">
        <is>
          <t>refrigeracao</t>
        </is>
      </c>
      <c r="N92" t="inlineStr">
        <is>
          <t>refrigeracao</t>
        </is>
      </c>
      <c r="O92" t="n">
        <v>37576</v>
      </c>
      <c r="P92" t="n">
        <v>37576</v>
      </c>
      <c r="Q92" t="n">
        <v>37576</v>
      </c>
      <c r="R92" t="n">
        <v>0</v>
      </c>
      <c r="S92" t="n">
        <v>0</v>
      </c>
      <c r="T92" t="n">
        <v>2</v>
      </c>
      <c r="U92" t="n">
        <v>2</v>
      </c>
      <c r="V92" t="n">
        <v>2</v>
      </c>
      <c r="W92" t="n">
        <v>0</v>
      </c>
      <c r="X92" t="n">
        <v>0</v>
      </c>
      <c r="Y92" t="n">
        <v>0</v>
      </c>
      <c r="Z92" t="n">
        <v>0</v>
      </c>
      <c r="AA92" t="n">
        <v>0</v>
      </c>
      <c r="AB92" t="n">
        <v>0</v>
      </c>
      <c r="AC92" t="n">
        <v>0</v>
      </c>
      <c r="AD92" t="n">
        <v>0</v>
      </c>
      <c r="AE92" t="n">
        <v>1</v>
      </c>
      <c r="AF92" t="inlineStr">
        <is>
          <t>VALIDACON SOL INTEG EM INSTR DE MEDIDA LTDA:EPP</t>
        </is>
      </c>
      <c r="AH92" t="inlineStr">
        <is>
          <t>pontual</t>
        </is>
      </c>
      <c r="AJ92" t="n">
        <v>0</v>
      </c>
      <c r="AK92" t="n">
        <v>0</v>
      </c>
      <c r="AL92" t="n">
        <v>0</v>
      </c>
      <c r="AM92" t="n">
        <v>0</v>
      </c>
      <c r="AN92" t="n">
        <v>0</v>
      </c>
      <c r="AQ92" t="n">
        <v>0</v>
      </c>
      <c r="AS92" t="inlineStr">
        <is>
          <t>94% do valor em itens explicitos 'Servico de Manutencao de Camara Fria' -- nucleo claro de refrigeracao comercial (adesao a Ata de Registro de Precos de outro municipio).</t>
        </is>
      </c>
      <c r="AT92" t="n">
        <v>0</v>
      </c>
      <c r="AU92" t="n">
        <v>1</v>
      </c>
    </row>
    <row r="93">
      <c r="A93" t="inlineStr">
        <is>
          <t>01105626000125_2025_96</t>
        </is>
      </c>
      <c r="B93" s="2" t="inlineStr">
        <is>
          <t>https://pncp.gov.br/app/editais/01105626000125/2025/96</t>
        </is>
      </c>
      <c r="C93" t="inlineStr">
        <is>
          <t>2026-09-27T02:55:55.557925+00:00</t>
        </is>
      </c>
      <c r="D93" t="inlineStr">
        <is>
          <t>GO</t>
        </is>
      </c>
      <c r="E93" t="inlineStr">
        <is>
          <t>GO</t>
        </is>
      </c>
      <c r="F93" t="inlineStr">
        <is>
          <t>Nerópolis</t>
        </is>
      </c>
      <c r="G93" t="inlineStr">
        <is>
          <t>MUNICIPIO DE NEROPOLIS</t>
        </is>
      </c>
      <c r="H93" t="inlineStr">
        <is>
          <t>Municipal</t>
        </is>
      </c>
      <c r="I93" t="inlineStr">
        <is>
          <t>2025-08-20T16:59:24</t>
        </is>
      </c>
      <c r="J93" t="inlineStr">
        <is>
          <t>Pregão - Eletrônico</t>
        </is>
      </c>
      <c r="K93" t="inlineStr">
        <is>
          <t>Futura e eventual contratação de empresa especializada para aquisição de Materiais e Equipamentos Diversos, sendo Bens Permanentes como Computadores, Equipamentos de Informática, Ar Condicionados, Eletrodomésticos, Mobiliários, Utensílios e Equipamentos de Proteção Individual (EPIs), atendendo as necessidades do Município de Nerópolis, para a Manutenção do Executivo, através das Secretarias Municipais, Fundo Municipal de Saúde, Fundo Municipal de Educação, Fundo Municipal de Assistência Social, Fundo Municipal do Meio Ambiente e do IMPANER. Conforme quantidades e especificações do Termo de Referência</t>
        </is>
      </c>
      <c r="L93" t="b">
        <v>1</v>
      </c>
      <c r="M93" t="inlineStr">
        <is>
          <t>climatizacao</t>
        </is>
      </c>
      <c r="N93" t="inlineStr">
        <is>
          <t>climatizacao</t>
        </is>
      </c>
      <c r="O93" t="n">
        <v>8188244.37</v>
      </c>
      <c r="P93" t="n">
        <v>3493396.35</v>
      </c>
      <c r="Q93" t="n">
        <v>5089836.709999999</v>
      </c>
      <c r="R93" t="n">
        <v>0.313652569023182</v>
      </c>
      <c r="S93" t="n">
        <v>0</v>
      </c>
      <c r="T93" t="n">
        <v>165</v>
      </c>
      <c r="U93" t="n">
        <v>40</v>
      </c>
      <c r="V93" t="n">
        <v>141</v>
      </c>
      <c r="W93" t="n">
        <v>24</v>
      </c>
      <c r="X93" t="n">
        <v>0</v>
      </c>
      <c r="Y93" t="n">
        <v>0</v>
      </c>
      <c r="Z93" t="n">
        <v>1</v>
      </c>
      <c r="AA93" t="n">
        <v>0</v>
      </c>
      <c r="AB93" t="n">
        <v>0</v>
      </c>
      <c r="AC93" t="n">
        <v>0</v>
      </c>
      <c r="AD93" t="n">
        <v>0</v>
      </c>
      <c r="AE93" t="n">
        <v>11</v>
      </c>
      <c r="AF93" t="inlineStr">
        <is>
          <t>MULTIPLA DISTRIBUIDORA DE ELETRODOMESTICOS LTDA:ME; SARAIVA DISTRIBUIDORA EIRELI:ME; V4 COMERCIO E SERVICOS LTDA:ME; EMILIANAS COMERCIAL LTDA:ME; NS DISTRIBUIDORA LTDA:ME; FOCO CONSULTORIA GESTAO &amp; TECNOLOGIA LTDA:ME; EXPRESS PRODUTOS E SERVIÇOS EIRELI:ME; HR COMERCIO E SERVICOS EIRELI:ME; BRASILL INFORMATICA E PRODUTOS LTDA-EPP:ME; VETRE COMERCIO DE EQUIPAMENTOS E SUPRIMENTOS DE INFORMATICA LTDA:ME; LOURENCO &amp; RIBEIRO COMERCIO LTDA:ME</t>
        </is>
      </c>
      <c r="AH93" t="inlineStr">
        <is>
          <t>pontual</t>
        </is>
      </c>
      <c r="AJ93" t="n">
        <v>0</v>
      </c>
      <c r="AK93" t="n">
        <v>0</v>
      </c>
      <c r="AL93" t="n">
        <v>0</v>
      </c>
      <c r="AM93" t="n">
        <v>0</v>
      </c>
      <c r="AN93" t="n">
        <v>0</v>
      </c>
      <c r="AQ93" t="n">
        <v>1</v>
      </c>
      <c r="AR93" t="inlineStr">
        <is>
          <t>fornecimento_puro</t>
        </is>
      </c>
      <c r="AS93" t="inlineStr">
        <is>
          <t>heuristica automatica confirmada (fornecimento_puro): 165 item(ns), todos classificados como material (sem servico).</t>
        </is>
      </c>
      <c r="AT93" t="n">
        <v>1</v>
      </c>
      <c r="AU93" t="n">
        <v>0</v>
      </c>
    </row>
    <row r="94">
      <c r="A94" t="inlineStr">
        <is>
          <t>01123678000124_2026_3</t>
        </is>
      </c>
      <c r="B94" s="2" t="inlineStr">
        <is>
          <t>https://pncp.gov.br/app/editais/01123678000124/2026/3</t>
        </is>
      </c>
      <c r="C94" t="inlineStr">
        <is>
          <t>2026-09-27T03:54:41.328111+00:00</t>
        </is>
      </c>
      <c r="D94" t="inlineStr">
        <is>
          <t>GO</t>
        </is>
      </c>
      <c r="E94" t="inlineStr">
        <is>
          <t>GO</t>
        </is>
      </c>
      <c r="F94" t="inlineStr">
        <is>
          <t>Nova Veneza</t>
        </is>
      </c>
      <c r="G94" t="inlineStr">
        <is>
          <t>MUNICIPIO DE NOVA VENEZA</t>
        </is>
      </c>
      <c r="H94" t="inlineStr">
        <is>
          <t>Municipal</t>
        </is>
      </c>
      <c r="I94" t="inlineStr">
        <is>
          <t>2026-02-04T08:58:07</t>
        </is>
      </c>
      <c r="J94" t="inlineStr">
        <is>
          <t>Pregão - Presencial</t>
        </is>
      </c>
      <c r="K94" t="inlineStr">
        <is>
          <t>AQUISIÇÃO DE MATERIAIS ELÉTRICOS PARA ATENDER A DEMANDA DO MUNICÍPIO E MANUTENÇÃO DOS PRÉDIOS PÚBLICOS.</t>
        </is>
      </c>
      <c r="L94" t="b">
        <v>1</v>
      </c>
      <c r="M94" t="inlineStr">
        <is>
          <t>eletrica_predial</t>
        </is>
      </c>
      <c r="N94" t="inlineStr">
        <is>
          <t>eletrica_predial</t>
        </is>
      </c>
      <c r="O94" t="n">
        <v>528936.29</v>
      </c>
      <c r="P94" t="n">
        <v>151780.55</v>
      </c>
      <c r="Q94" t="n">
        <v>175795.54</v>
      </c>
      <c r="R94" t="n">
        <v>0.1366075043769597</v>
      </c>
      <c r="S94" t="n">
        <v>0</v>
      </c>
      <c r="T94" t="n">
        <v>101</v>
      </c>
      <c r="U94" t="n">
        <v>40</v>
      </c>
      <c r="V94" t="n">
        <v>101</v>
      </c>
      <c r="W94" t="n">
        <v>0</v>
      </c>
      <c r="X94" t="n">
        <v>0</v>
      </c>
      <c r="Y94" t="n">
        <v>0</v>
      </c>
      <c r="Z94" t="n">
        <v>0</v>
      </c>
      <c r="AA94" t="n">
        <v>0</v>
      </c>
      <c r="AB94" t="n">
        <v>0</v>
      </c>
      <c r="AC94" t="n">
        <v>0</v>
      </c>
      <c r="AD94" t="n">
        <v>0</v>
      </c>
      <c r="AE94" t="n">
        <v>3</v>
      </c>
      <c r="AF94" t="inlineStr">
        <is>
          <t>53.283.497 VICTOR HUGO SEABRA RIBEIRO:ME; CASTELLARI ILUMINACAO E DECORACAO EIRELI:ME; DEPOSITO DE MATERIAIS DE CONSTRUCAO DO BARRANCO LTDA:ME</t>
        </is>
      </c>
      <c r="AH94" t="inlineStr">
        <is>
          <t>pontual</t>
        </is>
      </c>
      <c r="AJ94" t="n">
        <v>0</v>
      </c>
      <c r="AK94" t="n">
        <v>0</v>
      </c>
      <c r="AL94" t="n">
        <v>0</v>
      </c>
      <c r="AM94" t="n">
        <v>0</v>
      </c>
      <c r="AN94" t="n">
        <v>0</v>
      </c>
      <c r="AQ94" t="n">
        <v>1</v>
      </c>
      <c r="AR94" t="inlineStr">
        <is>
          <t>fornecimento_puro</t>
        </is>
      </c>
      <c r="AS94" t="inlineStr">
        <is>
          <t>Confirmada exclusao automatica (fornecimento_puro): 101 item(ns), todos classificados como material (sem servico).</t>
        </is>
      </c>
      <c r="AT94" t="n">
        <v>1</v>
      </c>
      <c r="AU94" t="n">
        <v>0</v>
      </c>
    </row>
    <row r="95">
      <c r="A95" t="inlineStr">
        <is>
          <t>01131713000157_2025_72</t>
        </is>
      </c>
      <c r="B95" s="2" t="inlineStr">
        <is>
          <t>https://pncp.gov.br/app/editais/01131713000157/2025/72</t>
        </is>
      </c>
      <c r="C95" t="inlineStr">
        <is>
          <t>2026-09-27T03:03:22.429541+00:00</t>
        </is>
      </c>
      <c r="D95" t="inlineStr">
        <is>
          <t>GO</t>
        </is>
      </c>
      <c r="E95" t="inlineStr">
        <is>
          <t>GO</t>
        </is>
      </c>
      <c r="F95" t="inlineStr">
        <is>
          <t>Ceres</t>
        </is>
      </c>
      <c r="G95" t="inlineStr">
        <is>
          <t>MUNICIPIO DE CERES</t>
        </is>
      </c>
      <c r="H95" t="inlineStr">
        <is>
          <t>Municipal</t>
        </is>
      </c>
      <c r="I95" t="inlineStr">
        <is>
          <t>2025-04-29T16:34:27</t>
        </is>
      </c>
      <c r="J95" t="inlineStr">
        <is>
          <t>Pregão - Eletrônico</t>
        </is>
      </c>
      <c r="K95" t="inlineStr">
        <is>
          <t>PRESTAÇÃO DE SERVIÇO DE MANUTENÇÃO PREVENTIVA E CORRETIVA EM APARELHOS DE AR CONDICIONADOS, CENTRAIS DE AR E APARELHOS DE REFRIGERAÇÃO, INCLUINDO INSTALAÇÃO E DESINSTALAÇÃO, COM TROCA DE PEÇAS E FORNECIMENTO DE MATERIAIS DE CONSUMO E PEÇAS, PARA ATENDER A SECRETARIA MUNICIPAL DE EDUCAÇÃO E SUAS UNIDADES ESCOLARES, DO MUNICÍPIO DE CERES-GO.</t>
        </is>
      </c>
      <c r="L95" t="b">
        <v>1</v>
      </c>
      <c r="M95" t="inlineStr">
        <is>
          <t>climatizacao</t>
        </is>
      </c>
      <c r="N95" t="inlineStr">
        <is>
          <t>climatizacao</t>
        </is>
      </c>
      <c r="O95" t="n">
        <v>640752</v>
      </c>
      <c r="P95" t="n">
        <v>335000</v>
      </c>
      <c r="Q95" t="n">
        <v>640752</v>
      </c>
      <c r="R95" t="n">
        <v>0.4771768172397433</v>
      </c>
      <c r="S95" t="n">
        <v>0</v>
      </c>
      <c r="T95" t="n">
        <v>10</v>
      </c>
      <c r="U95" t="n">
        <v>10</v>
      </c>
      <c r="V95" t="n">
        <v>10</v>
      </c>
      <c r="W95" t="n">
        <v>0</v>
      </c>
      <c r="X95" t="n">
        <v>0</v>
      </c>
      <c r="Y95" t="n">
        <v>0</v>
      </c>
      <c r="Z95" t="n">
        <v>0</v>
      </c>
      <c r="AA95" t="n">
        <v>0</v>
      </c>
      <c r="AB95" t="n">
        <v>0</v>
      </c>
      <c r="AC95" t="n">
        <v>0</v>
      </c>
      <c r="AD95" t="n">
        <v>0</v>
      </c>
      <c r="AE95" t="n">
        <v>1</v>
      </c>
      <c r="AF95" t="inlineStr">
        <is>
          <t>MEGA CLIMA ENGENHARIA TERMICA LTDA:ME</t>
        </is>
      </c>
      <c r="AH95" t="inlineStr">
        <is>
          <t>pontual</t>
        </is>
      </c>
      <c r="AJ95" t="n">
        <v>0</v>
      </c>
      <c r="AK95" t="n">
        <v>0</v>
      </c>
      <c r="AL95" t="n">
        <v>0</v>
      </c>
      <c r="AM95" t="n">
        <v>0</v>
      </c>
      <c r="AN95" t="n">
        <v>0</v>
      </c>
      <c r="AQ95" t="n">
        <v>0</v>
      </c>
      <c r="AS95" t="inlineStr">
        <is>
          <t>heuristica automatica confirmada: servico real de climatizacao, sem sinais de exclusao.</t>
        </is>
      </c>
      <c r="AT95" t="n">
        <v>0</v>
      </c>
      <c r="AU95" t="n">
        <v>1</v>
      </c>
    </row>
    <row r="96">
      <c r="A96" t="inlineStr">
        <is>
          <t>01131713000157_2026_25</t>
        </is>
      </c>
      <c r="B96" s="2" t="inlineStr">
        <is>
          <t>https://pncp.gov.br/app/editais/01131713000157/2026/25</t>
        </is>
      </c>
      <c r="C96" t="inlineStr">
        <is>
          <t>2026-09-27T04:40:10.593361+00:00</t>
        </is>
      </c>
      <c r="D96" t="inlineStr">
        <is>
          <t>GO</t>
        </is>
      </c>
      <c r="E96" t="inlineStr">
        <is>
          <t>GO</t>
        </is>
      </c>
      <c r="F96" t="inlineStr">
        <is>
          <t>Ceres</t>
        </is>
      </c>
      <c r="G96" t="inlineStr">
        <is>
          <t>MUNICIPIO DE CERES</t>
        </is>
      </c>
      <c r="H96" t="inlineStr">
        <is>
          <t>Municipal</t>
        </is>
      </c>
      <c r="I96" t="inlineStr">
        <is>
          <t>2026-02-20T16:57:09</t>
        </is>
      </c>
      <c r="J96" t="inlineStr">
        <is>
          <t>Pregão - Eletrônico</t>
        </is>
      </c>
      <c r="K96" t="inlineStr">
        <is>
          <t>AQUISIÇÃO DE MATERIAIS ELÉTRICOS PARA MANUTENÇÃO DA ILUMINAÇÃO PÚBLICA DO MUNICÍPIO DE CERES-GO.</t>
        </is>
      </c>
      <c r="L96" t="b">
        <v>1</v>
      </c>
      <c r="M96" t="inlineStr">
        <is>
          <t>iluminacao_publica</t>
        </is>
      </c>
      <c r="N96" t="inlineStr">
        <is>
          <t>iluminacao_publica</t>
        </is>
      </c>
      <c r="O96" t="n">
        <v>1867062.56</v>
      </c>
      <c r="P96" t="n">
        <v>617401.2</v>
      </c>
      <c r="Q96" t="n">
        <v>1867062.56</v>
      </c>
      <c r="R96" t="n">
        <v>0.6693194897550728</v>
      </c>
      <c r="S96" t="n">
        <v>0</v>
      </c>
      <c r="T96" t="n">
        <v>39</v>
      </c>
      <c r="U96" t="n">
        <v>39</v>
      </c>
      <c r="V96" t="n">
        <v>39</v>
      </c>
      <c r="W96" t="n">
        <v>0</v>
      </c>
      <c r="X96" t="n">
        <v>0</v>
      </c>
      <c r="Y96" t="n">
        <v>0</v>
      </c>
      <c r="Z96" t="n">
        <v>0</v>
      </c>
      <c r="AA96" t="n">
        <v>0</v>
      </c>
      <c r="AB96" t="n">
        <v>0</v>
      </c>
      <c r="AC96" t="n">
        <v>0</v>
      </c>
      <c r="AD96" t="n">
        <v>0</v>
      </c>
      <c r="AE96" t="n">
        <v>16</v>
      </c>
      <c r="AF96" t="inlineStr">
        <is>
          <t>APEX ELEVARE COMERCIAL LTDA:Demais; CENTROLED DISTRIBUIÇÃO DE MATERIAIS ELETRICOS E ILUMINAÇÃO LTDA:Demais; TRIUNFO ILUMINAÇÃO LTDA:Demais; TW2K ELETROELETRONICA LTDA:Demais; LUCIAN LOUREDO GOMES DE ARAUJO:Demais; BRASIL ILUMINAÇÃO E CONSTRUÇÃO LTDA:Demais; LENDÁRIO COM IMPORTAÇÃO DE MATS ELÉTRICOS LTDA:Demais; MERCATTO BRASIL COMERCIO DE MATERIAIS ELETRICOS LTDA:Demais; CANTONALE SERVIÇOS E COMERCIO EIRELI:Demais; RLUX ILUMINAÇÃO LTDA:Demais; 42.855.811 PAULO VITOR DOS SANTOS FERREIRA:Demais; GLOBEXX DO BRASIL IMPORTAÇÃO &amp; EXPORTAÇÃO:Demais; SATURNO COMERCIO DE MATERIAL ELETRICO E ELETRONICO LTDA:Demais; LED E COMPANY LTDA:Demais; SINVAL JOSE DOS SANTOS &amp; CIA LTDA - ME:Demais; ILUMINA GOIAS ILUMINAÇÃO LTDA:Demais</t>
        </is>
      </c>
      <c r="AH96" t="inlineStr">
        <is>
          <t>pontual</t>
        </is>
      </c>
      <c r="AJ96" t="n">
        <v>0</v>
      </c>
      <c r="AK96" t="n">
        <v>0</v>
      </c>
      <c r="AL96" t="n">
        <v>0</v>
      </c>
      <c r="AM96" t="n">
        <v>0</v>
      </c>
      <c r="AN96" t="n">
        <v>0</v>
      </c>
      <c r="AQ96" t="n">
        <v>1</v>
      </c>
      <c r="AR96" t="inlineStr">
        <is>
          <t>fornecimento_puro</t>
        </is>
      </c>
      <c r="AS96" t="inlineStr">
        <is>
          <t>Registro de preços/contratação de fornecimento de materiais, sem mão de obra de manutenção contratada.</t>
        </is>
      </c>
      <c r="AT96" t="n">
        <v>1</v>
      </c>
      <c r="AU96" t="n">
        <v>0</v>
      </c>
    </row>
    <row r="97">
      <c r="A97" t="inlineStr">
        <is>
          <t>01137116000130_2026_33</t>
        </is>
      </c>
      <c r="B97" s="2" t="inlineStr">
        <is>
          <t>https://pncp.gov.br/app/editais/01137116000130/2026/33</t>
        </is>
      </c>
      <c r="C97" t="inlineStr">
        <is>
          <t>2026-09-27T04:22:03.266780+00:00</t>
        </is>
      </c>
      <c r="D97" t="inlineStr">
        <is>
          <t>GO</t>
        </is>
      </c>
      <c r="E97" t="inlineStr">
        <is>
          <t>GO</t>
        </is>
      </c>
      <c r="F97" t="inlineStr">
        <is>
          <t>Santa Terezinha de Goiás</t>
        </is>
      </c>
      <c r="G97" t="inlineStr">
        <is>
          <t>MUNICIPIO DE SANTA TEREZINHA DE GOIAS</t>
        </is>
      </c>
      <c r="H97" t="inlineStr">
        <is>
          <t>Municipal</t>
        </is>
      </c>
      <c r="I97" t="inlineStr">
        <is>
          <t>2026-08-11T14:04:59</t>
        </is>
      </c>
      <c r="J97" t="inlineStr">
        <is>
          <t>Pregão - Eletrônico</t>
        </is>
      </c>
      <c r="K97" t="inlineStr">
        <is>
          <t>CONTRATAÇÃO DE EMPRESA ESPECIALIZADA PARA O FORNECIMENTO DE EQUIPAMENTOS DESTINADOS À ILUMINAÇÃO DE LOGRADOUROS, PRAÇAS E DEMAIS ESPAÇOS PÚBLICOS DO MUNICÍPIO DE SANTA TEREZINHA DE GOIÁS/GO.</t>
        </is>
      </c>
      <c r="L97" t="b">
        <v>1</v>
      </c>
      <c r="M97" t="inlineStr">
        <is>
          <t>iluminacao_publica</t>
        </is>
      </c>
      <c r="N97" t="inlineStr">
        <is>
          <t>iluminacao_publica</t>
        </is>
      </c>
      <c r="O97" t="n">
        <v>377775</v>
      </c>
      <c r="P97" t="n">
        <v>188250</v>
      </c>
      <c r="Q97" t="n">
        <v>377775</v>
      </c>
      <c r="R97" t="n">
        <v>0.5016875124081794</v>
      </c>
      <c r="S97" t="n">
        <v>0</v>
      </c>
      <c r="T97" t="n">
        <v>2</v>
      </c>
      <c r="U97" t="n">
        <v>2</v>
      </c>
      <c r="V97" t="n">
        <v>2</v>
      </c>
      <c r="W97" t="n">
        <v>0</v>
      </c>
      <c r="X97" t="n">
        <v>0</v>
      </c>
      <c r="Y97" t="n">
        <v>0</v>
      </c>
      <c r="Z97" t="n">
        <v>0</v>
      </c>
      <c r="AA97" t="n">
        <v>0</v>
      </c>
      <c r="AB97" t="n">
        <v>0</v>
      </c>
      <c r="AC97" t="n">
        <v>0</v>
      </c>
      <c r="AD97" t="n">
        <v>0</v>
      </c>
      <c r="AE97" t="n">
        <v>1</v>
      </c>
      <c r="AF97" t="inlineStr">
        <is>
          <t>ENERGIA RS LTDA:ME</t>
        </is>
      </c>
      <c r="AH97" t="inlineStr">
        <is>
          <t>pontual</t>
        </is>
      </c>
      <c r="AJ97" t="n">
        <v>0</v>
      </c>
      <c r="AK97" t="n">
        <v>0</v>
      </c>
      <c r="AL97" t="n">
        <v>0</v>
      </c>
      <c r="AM97" t="n">
        <v>0</v>
      </c>
      <c r="AN97" t="n">
        <v>0</v>
      </c>
      <c r="AQ97" t="n">
        <v>1</v>
      </c>
      <c r="AR97" t="inlineStr">
        <is>
          <t>fornecimento_puro</t>
        </is>
      </c>
      <c r="AS97" t="inlineStr">
        <is>
          <t>Registro de preços/contratação de fornecimento de materiais, sem mão de obra de manutenção contratada.</t>
        </is>
      </c>
      <c r="AT97" t="n">
        <v>0</v>
      </c>
      <c r="AU97" t="n">
        <v>0</v>
      </c>
    </row>
    <row r="98">
      <c r="A98" t="inlineStr">
        <is>
          <t>01138330000100_2027_1</t>
        </is>
      </c>
      <c r="B98" s="2" t="inlineStr">
        <is>
          <t>https://pncp.gov.br/app/editais/01138330000100/2027/1</t>
        </is>
      </c>
      <c r="C98" t="inlineStr">
        <is>
          <t>2026-09-27T05:30:40.148383+00:00</t>
        </is>
      </c>
      <c r="D98" t="inlineStr">
        <is>
          <t>TO</t>
        </is>
      </c>
      <c r="E98" t="inlineStr">
        <is>
          <t>vizinhos</t>
        </is>
      </c>
      <c r="F98" t="inlineStr">
        <is>
          <t>Colméia</t>
        </is>
      </c>
      <c r="G98" t="inlineStr">
        <is>
          <t>ASSOCIACAO APOIO DO COLEGIO ESTADUAL SERRA CORDILHEIRAS</t>
        </is>
      </c>
      <c r="H98" t="inlineStr">
        <is>
          <t>Não se aplica</t>
        </is>
      </c>
      <c r="I98" t="inlineStr">
        <is>
          <t>2026-07-09T10:21:06</t>
        </is>
      </c>
      <c r="J98" t="inlineStr">
        <is>
          <t>Pregão - Eletrônico</t>
        </is>
      </c>
      <c r="K98" t="inlineStr">
        <is>
          <t>Registro de preços para contratação de empresa para prestação de serviços de manutenção preventiva e corretiva em equipamentos eletrodomésticos e eletroeletrônicos, câmeras de vigilância, bem como em sistemas de climatização do tipo central, compacto e Split, com o devido fornecimento de mão de obra qualificada, materiais, gás refrigerante e demais insumos necessários à plena execução dos serviços.</t>
        </is>
      </c>
      <c r="L98" t="b">
        <v>1</v>
      </c>
      <c r="M98" t="inlineStr">
        <is>
          <t>climatizacao</t>
        </is>
      </c>
      <c r="N98" t="inlineStr">
        <is>
          <t>climatizacao</t>
        </is>
      </c>
      <c r="O98" t="n">
        <v>66730.39</v>
      </c>
      <c r="P98" t="n">
        <v>55766.5</v>
      </c>
      <c r="Q98" t="n">
        <v>66730.39</v>
      </c>
      <c r="R98" t="n">
        <v>0.1643013025999099</v>
      </c>
      <c r="S98" t="n">
        <v>0</v>
      </c>
      <c r="T98" t="n">
        <v>18</v>
      </c>
      <c r="U98" t="n">
        <v>18</v>
      </c>
      <c r="V98" t="n">
        <v>18</v>
      </c>
      <c r="W98" t="n">
        <v>0</v>
      </c>
      <c r="X98" t="n">
        <v>0</v>
      </c>
      <c r="Y98" t="n">
        <v>0</v>
      </c>
      <c r="Z98" t="n">
        <v>0</v>
      </c>
      <c r="AA98" t="n">
        <v>1</v>
      </c>
      <c r="AB98" t="n">
        <v>0</v>
      </c>
      <c r="AC98" t="n">
        <v>0</v>
      </c>
      <c r="AD98" t="n">
        <v>0</v>
      </c>
      <c r="AE98" t="n">
        <v>3</v>
      </c>
      <c r="AF98" t="inlineStr">
        <is>
          <t>A A ROCHA LTDA:ME; E R DE OLIVEIRA SOUSA:ME; REFRIGERACAO SOUSA LTDA:ME</t>
        </is>
      </c>
      <c r="AH98" t="inlineStr">
        <is>
          <t>pontual</t>
        </is>
      </c>
      <c r="AJ98" t="n">
        <v>0</v>
      </c>
      <c r="AK98" t="n">
        <v>0</v>
      </c>
      <c r="AL98" t="n">
        <v>0</v>
      </c>
      <c r="AM98" t="n">
        <v>0</v>
      </c>
      <c r="AN98" t="n">
        <v>0</v>
      </c>
      <c r="AQ98" t="n">
        <v>0.002476832519636106</v>
      </c>
      <c r="AS98" t="inlineStr">
        <is>
          <t>Servico de manutencao preventiva/corretiva em climatizacao (central/compacto/split) com mao de obra, materiais e gas incluidos.</t>
        </is>
      </c>
      <c r="AT98" t="n">
        <v>0</v>
      </c>
      <c r="AU98" t="n">
        <v>1</v>
      </c>
    </row>
    <row r="99">
      <c r="A99" t="inlineStr">
        <is>
          <t>01138957000161_2026_37</t>
        </is>
      </c>
      <c r="B99" s="2" t="inlineStr">
        <is>
          <t>https://pncp.gov.br/app/editais/01138957000161/2026/37</t>
        </is>
      </c>
      <c r="C99" t="inlineStr">
        <is>
          <t>2026-09-27T05:39:42.280513+00:00</t>
        </is>
      </c>
      <c r="D99" t="inlineStr">
        <is>
          <t>TO</t>
        </is>
      </c>
      <c r="E99" t="inlineStr">
        <is>
          <t>vizinhos</t>
        </is>
      </c>
      <c r="F99" t="inlineStr">
        <is>
          <t>Dianópolis</t>
        </is>
      </c>
      <c r="G99" t="inlineStr">
        <is>
          <t>MUNICIPIO DE DIANOPOLIS</t>
        </is>
      </c>
      <c r="H99" t="inlineStr">
        <is>
          <t>Municipal</t>
        </is>
      </c>
      <c r="I99" t="inlineStr">
        <is>
          <t>2026-06-15T11:37:05</t>
        </is>
      </c>
      <c r="J99" t="inlineStr">
        <is>
          <t>Pregão - Presencial</t>
        </is>
      </c>
      <c r="K99" t="inlineStr">
        <is>
          <t>Registro de Preços, visando a Aquisição de materiais de construção, conforme demanda, abrangendo pisos, revestimentos, ferragens, materiais hidráulicos, elétricos, de pintura, equipamentos de proteção individual (EPI), brita, areia e demais insumos similares, destinados à manutenção, reparos e reformas em prédios públicos vinculados à Prefeitura Municipal de Dianópolis-TO, às suas secretarias e aos Fundos Municipais de Saúde, Educação e Assistência Social.</t>
        </is>
      </c>
      <c r="L99" t="b">
        <v>1</v>
      </c>
      <c r="M99" t="inlineStr">
        <is>
          <t>eletrica_predial</t>
        </is>
      </c>
      <c r="N99" t="inlineStr">
        <is>
          <t>eletrica_predial</t>
        </is>
      </c>
      <c r="O99" t="n">
        <v>4526224.43</v>
      </c>
      <c r="P99" t="n">
        <v>877096.77</v>
      </c>
      <c r="Q99" t="n">
        <v>911775.72</v>
      </c>
      <c r="R99" t="n">
        <v>0.03803451796237786</v>
      </c>
      <c r="S99" t="n">
        <v>0</v>
      </c>
      <c r="T99" t="n">
        <v>322</v>
      </c>
      <c r="U99" t="n">
        <v>40</v>
      </c>
      <c r="V99" t="n">
        <v>321</v>
      </c>
      <c r="W99" t="n">
        <v>0</v>
      </c>
      <c r="X99" t="n">
        <v>1</v>
      </c>
      <c r="Y99" t="n">
        <v>0</v>
      </c>
      <c r="Z99" t="n">
        <v>1</v>
      </c>
      <c r="AA99" t="n">
        <v>0</v>
      </c>
      <c r="AB99" t="n">
        <v>1</v>
      </c>
      <c r="AC99" t="n">
        <v>1</v>
      </c>
      <c r="AD99" t="n">
        <v>1</v>
      </c>
      <c r="AE99" t="n">
        <v>4</v>
      </c>
      <c r="AF99" t="inlineStr">
        <is>
          <t>LED E COMPANY LTDA:ME; 37.047.387 FABRICIO COSTA FERNANDES:ME; MATERCON MATERIAIS DE CONSTRUCAO LTDA:ME; FOCO LTDA:ME</t>
        </is>
      </c>
      <c r="AH99" t="inlineStr">
        <is>
          <t>pontual</t>
        </is>
      </c>
      <c r="AJ99" t="n">
        <v>0</v>
      </c>
      <c r="AK99" t="n">
        <v>0</v>
      </c>
      <c r="AL99" t="n">
        <v>0</v>
      </c>
      <c r="AM99" t="n">
        <v>0</v>
      </c>
      <c r="AN99" t="n">
        <v>0</v>
      </c>
      <c r="AQ99" t="n">
        <v>1</v>
      </c>
      <c r="AR99" t="inlineStr">
        <is>
          <t>fornecimento_puro</t>
        </is>
      </c>
      <c r="AS99" t="inlineStr">
        <is>
          <t>Confirmada exclusao automatica (fornecimento_puro): 322 item(ns), todos classificados como material (sem servico).</t>
        </is>
      </c>
      <c r="AT99" t="n">
        <v>1</v>
      </c>
      <c r="AU99" t="n">
        <v>0</v>
      </c>
    </row>
    <row r="100">
      <c r="A100" t="inlineStr">
        <is>
          <t>01146604000103_2025_131</t>
        </is>
      </c>
      <c r="B100" s="2" t="inlineStr">
        <is>
          <t>https://pncp.gov.br/app/editais/01146604000103/2025/131</t>
        </is>
      </c>
      <c r="C100" t="inlineStr">
        <is>
          <t>2026-09-27T04:10:11.868590+00:00</t>
        </is>
      </c>
      <c r="D100" t="inlineStr">
        <is>
          <t>GO</t>
        </is>
      </c>
      <c r="E100" t="inlineStr">
        <is>
          <t>GO</t>
        </is>
      </c>
      <c r="F100" t="inlineStr">
        <is>
          <t>Itapuranga</t>
        </is>
      </c>
      <c r="G100" t="inlineStr">
        <is>
          <t>MUNICIPIO DE ITAPURANGA</t>
        </is>
      </c>
      <c r="H100" t="inlineStr">
        <is>
          <t>Municipal</t>
        </is>
      </c>
      <c r="I100" t="inlineStr">
        <is>
          <t>2025-08-14T15:07:49</t>
        </is>
      </c>
      <c r="J100" t="inlineStr">
        <is>
          <t>Pregão - Eletrônico</t>
        </is>
      </c>
      <c r="K100" t="inlineStr">
        <is>
          <t>AQUISIÇÃO DOS SEGUINTES MATERIAIS E EQUIPAMENTOS: PARA CONSTRUÇÃO, FERRAMENTAS, ELÉTRICOS, JARDINAGEM, SINALIZAÇÃO, LIMPEZA AUTOMOTIVA, E EQUIPAMENTOS DE PROTEÇÃO INDIVIDUAL</t>
        </is>
      </c>
      <c r="L100" t="b">
        <v>1</v>
      </c>
      <c r="M100" t="inlineStr">
        <is>
          <t>eletrica_predial</t>
        </is>
      </c>
      <c r="N100" t="inlineStr">
        <is>
          <t>eletrica_predial</t>
        </is>
      </c>
      <c r="O100" t="n">
        <v>17732958.05</v>
      </c>
      <c r="P100" t="n">
        <v>290891.47</v>
      </c>
      <c r="Q100" t="n">
        <v>382942.0396999999</v>
      </c>
      <c r="R100" t="n">
        <v>0.2403772899212456</v>
      </c>
      <c r="S100" t="n">
        <v>0</v>
      </c>
      <c r="T100" t="n">
        <v>1039</v>
      </c>
      <c r="U100" t="n">
        <v>40</v>
      </c>
      <c r="V100" t="n">
        <v>1039</v>
      </c>
      <c r="W100" t="n">
        <v>0</v>
      </c>
      <c r="X100" t="n">
        <v>0</v>
      </c>
      <c r="Y100" t="n">
        <v>0</v>
      </c>
      <c r="Z100" t="n">
        <v>0</v>
      </c>
      <c r="AA100" t="n">
        <v>0</v>
      </c>
      <c r="AB100" t="n">
        <v>0</v>
      </c>
      <c r="AC100" t="n">
        <v>0</v>
      </c>
      <c r="AD100" t="n">
        <v>0</v>
      </c>
      <c r="AE100" t="n">
        <v>2</v>
      </c>
      <c r="AF100" t="inlineStr">
        <is>
          <t>LM - MATERIAIS DE CONSTRUÇÃO LTDA:ME; DICASA FERRAGISTA E MATERIAL DE CONSTRUCAO LTDA:ME</t>
        </is>
      </c>
      <c r="AH100" t="inlineStr">
        <is>
          <t>pontual</t>
        </is>
      </c>
      <c r="AJ100" t="n">
        <v>0</v>
      </c>
      <c r="AK100" t="n">
        <v>0</v>
      </c>
      <c r="AL100" t="n">
        <v>0</v>
      </c>
      <c r="AM100" t="n">
        <v>0</v>
      </c>
      <c r="AN100" t="n">
        <v>0</v>
      </c>
      <c r="AQ100" t="n">
        <v>1</v>
      </c>
      <c r="AR100" t="inlineStr">
        <is>
          <t>fornecimento_puro</t>
        </is>
      </c>
      <c r="AS100" t="inlineStr">
        <is>
          <t>Confirmada exclusao automatica (fornecimento_puro): 1039 item(ns), todos classificados como material (sem servico).</t>
        </is>
      </c>
      <c r="AT100" t="n">
        <v>0</v>
      </c>
      <c r="AU100" t="n">
        <v>0</v>
      </c>
    </row>
    <row r="101">
      <c r="A101" t="inlineStr">
        <is>
          <t>01146604000103_2025_166</t>
        </is>
      </c>
      <c r="B101" s="2" t="inlineStr">
        <is>
          <t>https://pncp.gov.br/app/editais/01146604000103/2025/166</t>
        </is>
      </c>
      <c r="C101" t="inlineStr">
        <is>
          <t>2026-09-27T02:46:50.303318+00:00</t>
        </is>
      </c>
      <c r="D101" t="inlineStr">
        <is>
          <t>GO</t>
        </is>
      </c>
      <c r="E101" t="inlineStr">
        <is>
          <t>GO</t>
        </is>
      </c>
      <c r="F101" t="inlineStr">
        <is>
          <t>Itapuranga</t>
        </is>
      </c>
      <c r="G101" t="inlineStr">
        <is>
          <t>MUNICIPIO DE ITAPURANGA</t>
        </is>
      </c>
      <c r="H101" t="inlineStr">
        <is>
          <t>Municipal</t>
        </is>
      </c>
      <c r="I101" t="inlineStr">
        <is>
          <t>2025-10-08T22:27:18</t>
        </is>
      </c>
      <c r="J101" t="inlineStr">
        <is>
          <t>Pregão - Eletrônico</t>
        </is>
      </c>
      <c r="K101" t="inlineStr">
        <is>
          <t xml:space="preserve">AQUISIÇÃO DE POSTES E LUMINÁRIAS SOLAR DE 300W, MESAS E BANCOS DE CONCRETO, LIXEIRAS FABRICADAS COM MATERIAL RECICLADO, LAVA BIKE, EQUIPAMENTO TIPO BIKEREPAIR “OFICINA COMPACTA PARA BICICLETA”, PARACICLOS/BICICLETÁRIOS, CARRETA PARA TRANSPORTE DE BICICLETA, COMPUTADORES, IMPRESSORAS, MESAS, CADEIRAS, ARMÁRIO, MÁQUINA E IMPRESSORA FOTOGRÁFICA, TENDA SANFONADA, EMPILHADEIRA ELÉTRICA, CLIMATIZADOR, PROJETOR MULTIMIDIA, TELA DE PROJEÇÃO, EQUIPAMENTOS E MATERIAIS DE SERRALHERIA, PARA ATENDER AS NECESSIDADES DA SECRETARIA MUNICIPAL DE CULTURA E TURISMO, E DA SECRETARIA MUNICIPAL DE GESTÃO, PLANEJAMENTO E FINANÇAS. </t>
        </is>
      </c>
      <c r="L101" t="b">
        <v>1</v>
      </c>
      <c r="M101" t="inlineStr">
        <is>
          <t>climatizacao</t>
        </is>
      </c>
      <c r="N101" t="inlineStr">
        <is>
          <t>climatizacao</t>
        </is>
      </c>
      <c r="O101" t="n">
        <v>298463.97</v>
      </c>
      <c r="P101" t="n">
        <v>233700.2</v>
      </c>
      <c r="Q101" t="n">
        <v>298463.9749</v>
      </c>
      <c r="R101" t="n">
        <v>0.2169902579421822</v>
      </c>
      <c r="S101" t="n">
        <v>0</v>
      </c>
      <c r="T101" t="n">
        <v>32</v>
      </c>
      <c r="U101" t="n">
        <v>32</v>
      </c>
      <c r="V101" t="n">
        <v>32</v>
      </c>
      <c r="W101" t="n">
        <v>0</v>
      </c>
      <c r="X101" t="n">
        <v>0</v>
      </c>
      <c r="Y101" t="n">
        <v>0</v>
      </c>
      <c r="Z101" t="n">
        <v>0</v>
      </c>
      <c r="AA101" t="n">
        <v>0</v>
      </c>
      <c r="AB101" t="n">
        <v>0</v>
      </c>
      <c r="AC101" t="n">
        <v>0</v>
      </c>
      <c r="AD101" t="n">
        <v>0</v>
      </c>
      <c r="AE101" t="n">
        <v>6</v>
      </c>
      <c r="AF101" t="inlineStr">
        <is>
          <t>SUNLED INDUSTRIA E COMERCIO DE MATERIAIS ELETRICOS LTDA - ME:ME; ALUBAN SERVICE LTDA:ME; LANCI INDÚSTRIA E COMÉRCIO DE MÓVEIS PLÁSTICOS EIRELI:ME; PUMPKIN MOBILIDADE E SOLUÇÕES PARA O CICLISMO LTDA:ME; LENZ COMERCIO E SERVIÇOS LTDA:ME; DDK LICITAÇÕES E CONTRATOS LTDA:ME</t>
        </is>
      </c>
      <c r="AH101" t="inlineStr">
        <is>
          <t>pontual</t>
        </is>
      </c>
      <c r="AJ101" t="n">
        <v>0</v>
      </c>
      <c r="AK101" t="n">
        <v>0</v>
      </c>
      <c r="AL101" t="n">
        <v>0</v>
      </c>
      <c r="AM101" t="n">
        <v>0</v>
      </c>
      <c r="AN101" t="n">
        <v>0</v>
      </c>
      <c r="AQ101" t="n">
        <v>1</v>
      </c>
      <c r="AR101" t="inlineStr">
        <is>
          <t>fornecimento_puro</t>
        </is>
      </c>
      <c r="AS101" t="inlineStr">
        <is>
          <t>heuristica automatica confirmada (fornecimento_puro): 32 item(ns), todos classificados como material (sem servico).</t>
        </is>
      </c>
      <c r="AT101" t="n">
        <v>0</v>
      </c>
      <c r="AU101" t="n">
        <v>0</v>
      </c>
    </row>
    <row r="102">
      <c r="A102" t="inlineStr">
        <is>
          <t>01146604000103_2025_86</t>
        </is>
      </c>
      <c r="B102" s="2" t="inlineStr">
        <is>
          <t>https://pncp.gov.br/app/editais/01146604000103/2025/86</t>
        </is>
      </c>
      <c r="C102" t="inlineStr">
        <is>
          <t>2026-09-27T04:20:48.972732+00:00</t>
        </is>
      </c>
      <c r="D102" t="inlineStr">
        <is>
          <t>GO</t>
        </is>
      </c>
      <c r="E102" t="inlineStr">
        <is>
          <t>GO</t>
        </is>
      </c>
      <c r="F102" t="inlineStr">
        <is>
          <t>Itapuranga</t>
        </is>
      </c>
      <c r="G102" t="inlineStr">
        <is>
          <t>MUNICIPIO DE ITAPURANGA</t>
        </is>
      </c>
      <c r="H102" t="inlineStr">
        <is>
          <t>Municipal</t>
        </is>
      </c>
      <c r="I102" t="inlineStr">
        <is>
          <t>2025-06-02T23:24:37</t>
        </is>
      </c>
      <c r="J102" t="inlineStr">
        <is>
          <t>Pregão - Eletrônico</t>
        </is>
      </c>
      <c r="K102" t="inlineStr">
        <is>
          <t>AQUISIÇÃO DE MATERIAIS ELÉTRICOS, EQUIPAMENTOS DE PROTEÇÃO INDIVIDUAL, E FERRAMENTAS, A SEREM DESTINADOS À MANUTENÇÃO DA ILUMINAÇÃO PÚBLICA DO MUNICIPAL DE ITAPURANGA.</t>
        </is>
      </c>
      <c r="L102" t="b">
        <v>1</v>
      </c>
      <c r="M102" t="inlineStr">
        <is>
          <t>eletrica_predial</t>
        </is>
      </c>
      <c r="N102" t="inlineStr">
        <is>
          <t>eletrica_predial</t>
        </is>
      </c>
      <c r="O102" t="n">
        <v>2340520.81</v>
      </c>
      <c r="P102" t="n">
        <v>191520.3</v>
      </c>
      <c r="Q102" t="n">
        <v>322030.6774999999</v>
      </c>
      <c r="R102" t="n">
        <v>0.4052731202914668</v>
      </c>
      <c r="S102" t="n">
        <v>0</v>
      </c>
      <c r="T102" t="n">
        <v>105</v>
      </c>
      <c r="U102" t="n">
        <v>40</v>
      </c>
      <c r="V102" t="n">
        <v>105</v>
      </c>
      <c r="W102" t="n">
        <v>0</v>
      </c>
      <c r="X102" t="n">
        <v>0</v>
      </c>
      <c r="Y102" t="n">
        <v>0</v>
      </c>
      <c r="Z102" t="n">
        <v>0</v>
      </c>
      <c r="AA102" t="n">
        <v>0</v>
      </c>
      <c r="AB102" t="n">
        <v>0</v>
      </c>
      <c r="AC102" t="n">
        <v>0</v>
      </c>
      <c r="AD102" t="n">
        <v>0</v>
      </c>
      <c r="AE102" t="n">
        <v>3</v>
      </c>
      <c r="AF102" t="inlineStr">
        <is>
          <t>BRASIL ILUMINACAO E CONSTRUCAO LTDA:ME; LENDÁRIO COM IMPORTAÇÃO DE MATS ELÉTRICOS LTDA:ME; SUNLED INDUSTRIA E COMERCIO DE MATERIAIS ELETRICOS LTDA:ME</t>
        </is>
      </c>
      <c r="AH102" t="inlineStr">
        <is>
          <t>pontual</t>
        </is>
      </c>
      <c r="AJ102" t="n">
        <v>0</v>
      </c>
      <c r="AK102" t="n">
        <v>0</v>
      </c>
      <c r="AL102" t="n">
        <v>0</v>
      </c>
      <c r="AM102" t="n">
        <v>0</v>
      </c>
      <c r="AN102" t="n">
        <v>0</v>
      </c>
      <c r="AQ102" t="n">
        <v>1</v>
      </c>
      <c r="AR102" t="inlineStr">
        <is>
          <t>fornecimento_puro</t>
        </is>
      </c>
      <c r="AS102" t="inlineStr">
        <is>
          <t>Confirmada exclusao automatica (fornecimento_puro): 105 item(ns), todos classificados como material (sem servico).</t>
        </is>
      </c>
      <c r="AT102" t="n">
        <v>1</v>
      </c>
      <c r="AU102" t="n">
        <v>0</v>
      </c>
    </row>
    <row r="103">
      <c r="A103" t="inlineStr">
        <is>
          <t>01146604000103_2026_90</t>
        </is>
      </c>
      <c r="B103" s="2" t="inlineStr">
        <is>
          <t>https://pncp.gov.br/app/editais/01146604000103/2026/90</t>
        </is>
      </c>
      <c r="C103" t="inlineStr">
        <is>
          <t>2026-09-27T04:27:36.110283+00:00</t>
        </is>
      </c>
      <c r="D103" t="inlineStr">
        <is>
          <t>GO</t>
        </is>
      </c>
      <c r="E103" t="inlineStr">
        <is>
          <t>GO</t>
        </is>
      </c>
      <c r="F103" t="inlineStr">
        <is>
          <t>Itapuranga</t>
        </is>
      </c>
      <c r="G103" t="inlineStr">
        <is>
          <t>MUNICIPIO DE ITAPURANGA</t>
        </is>
      </c>
      <c r="H103" t="inlineStr">
        <is>
          <t>Municipal</t>
        </is>
      </c>
      <c r="I103" t="inlineStr">
        <is>
          <t>2026-06-22T23:44:20</t>
        </is>
      </c>
      <c r="J103" t="inlineStr">
        <is>
          <t>Pregão - Eletrônico</t>
        </is>
      </c>
      <c r="K103" t="inlineStr">
        <is>
          <t>PRESTAÇÃO DE SERVIÇO PARA LOCAÇÃO DE ESTRUTURA PARA REALIZAÇÃO DA 72ª EDIÇÃO DA FESTA DO POVO DE ITAPURANGA, SENDO; PALCO, TENDA INSTITUCIONAL, GRUPO GERADOR, EQUIPAMENTOS DE SOM E ILUMINAÇÃO, BANHEIROS QUÍMICO, DISCIPLINADORES, PLACAS DE FECHAMENTO, SEGURANÇA NÃO ARMADA, BRIGADISTAS, E SERVIÇOS DE CARREGADORES.</t>
        </is>
      </c>
      <c r="L103" t="b">
        <v>0</v>
      </c>
      <c r="M103" t="inlineStr">
        <is>
          <t>iluminacao_publica</t>
        </is>
      </c>
      <c r="N103" t="inlineStr">
        <is>
          <t>iluminacao_publica</t>
        </is>
      </c>
      <c r="O103" t="n">
        <v>980132.04</v>
      </c>
      <c r="P103" t="n">
        <v>298375</v>
      </c>
      <c r="Q103" t="n">
        <v>980132.04</v>
      </c>
      <c r="R103" t="n">
        <v>0.6955767306617178</v>
      </c>
      <c r="S103" t="n">
        <v>0</v>
      </c>
      <c r="T103" t="n">
        <v>11</v>
      </c>
      <c r="U103" t="n">
        <v>11</v>
      </c>
      <c r="V103" t="n">
        <v>11</v>
      </c>
      <c r="W103" t="n">
        <v>0</v>
      </c>
      <c r="X103" t="n">
        <v>0</v>
      </c>
      <c r="Y103" t="n">
        <v>0</v>
      </c>
      <c r="Z103" t="n">
        <v>0</v>
      </c>
      <c r="AA103" t="n">
        <v>0</v>
      </c>
      <c r="AB103" t="n">
        <v>0</v>
      </c>
      <c r="AC103" t="n">
        <v>0</v>
      </c>
      <c r="AD103" t="n">
        <v>0</v>
      </c>
      <c r="AE103" t="n">
        <v>3</v>
      </c>
      <c r="AF103" t="inlineStr">
        <is>
          <t>OESTE EMPREENDIMENTOS LTDA - EPP:ME; 48.348.028 KEVEN JOSE EPIFANIO ALVES:ME; FABRICA DE SHOWS PRODUÇÕES E EVENTOS LTDA - ME:ME</t>
        </is>
      </c>
      <c r="AH103" t="inlineStr">
        <is>
          <t>pontual</t>
        </is>
      </c>
      <c r="AJ103" t="n">
        <v>0</v>
      </c>
      <c r="AK103" t="n">
        <v>0</v>
      </c>
      <c r="AL103" t="n">
        <v>0</v>
      </c>
      <c r="AM103" t="n">
        <v>1</v>
      </c>
      <c r="AN103" t="n">
        <v>1</v>
      </c>
      <c r="AP103" t="inlineStr">
        <is>
          <t>UALIFICAÇÃO TÉCNICA: 5.4.1 Deverá apresentar comprovação de aptidão por meio de no mínimo, 01(um) Atestado de capacidade técnica, que comprove que a empresa licitante tenha executado ou esteja executando contrato compatível ao objeto dessa licitação, podendo ser emitido por pessoa jurídica de direit…</t>
        </is>
      </c>
      <c r="AQ103" t="n">
        <v>1</v>
      </c>
      <c r="AR103" t="inlineStr">
        <is>
          <t>mencao_passagem</t>
        </is>
      </c>
      <c r="AS103" t="inlineStr">
        <is>
          <t>Locação de estrutura para 'Festa do Povo' (palco, tenda, gerador, som, iluminação, banheiros); evento, não manutenção de IP.</t>
        </is>
      </c>
      <c r="AT103" t="n">
        <v>1</v>
      </c>
      <c r="AU103" t="n">
        <v>0</v>
      </c>
    </row>
    <row r="104">
      <c r="A104" t="inlineStr">
        <is>
          <t>01149624000138_2025_230</t>
        </is>
      </c>
      <c r="B104" s="2" t="inlineStr">
        <is>
          <t>https://pncp.gov.br/app/editais/01149624000138/2025/230</t>
        </is>
      </c>
      <c r="C104" t="inlineStr">
        <is>
          <t>2026-09-27T04:45:47.609382+00:00</t>
        </is>
      </c>
      <c r="D104" t="inlineStr">
        <is>
          <t>GO</t>
        </is>
      </c>
      <c r="E104" t="inlineStr">
        <is>
          <t>GO</t>
        </is>
      </c>
      <c r="F104" t="inlineStr">
        <is>
          <t>Bom Jesus de Goiás</t>
        </is>
      </c>
      <c r="G104" t="inlineStr">
        <is>
          <t>MUNICIPIO DE BOM JESUS</t>
        </is>
      </c>
      <c r="H104" t="inlineStr">
        <is>
          <t>Municipal</t>
        </is>
      </c>
      <c r="I104" t="inlineStr">
        <is>
          <t>2025-11-06T16:54:34</t>
        </is>
      </c>
      <c r="J104" t="inlineStr">
        <is>
          <t>Concorrência - Eletrônica</t>
        </is>
      </c>
      <c r="K104" t="inlineStr">
        <is>
          <t>[Portal de Compras Públicas] - CONTRATAÇÃO DE EMPRESA ESPECIALIZADA PARA EXECUÇÃO DE SERVIÇOS PARA READEQUAÇÃO DA FACHADO DO HOSPITAL MUNICIPAL JOSE REZENDE COM ILUMINAÇÃO E ACESSIBILIDADE, LOCALIZADO NO MUNICÍPIO DE BOM JESUS DE GOIAS - GO</t>
        </is>
      </c>
      <c r="L104" t="b">
        <v>0</v>
      </c>
      <c r="M104" t="inlineStr">
        <is>
          <t>iluminacao_publica</t>
        </is>
      </c>
      <c r="N104" t="inlineStr">
        <is>
          <t>iluminacao_publica</t>
        </is>
      </c>
      <c r="O104" t="n">
        <v>431782.63</v>
      </c>
      <c r="P104" t="n">
        <v>350000</v>
      </c>
      <c r="Q104" t="n">
        <v>431782.63</v>
      </c>
      <c r="R104" t="n">
        <v>0.1894069476578991</v>
      </c>
      <c r="S104" t="n">
        <v>0</v>
      </c>
      <c r="T104" t="n">
        <v>1</v>
      </c>
      <c r="U104" t="n">
        <v>1</v>
      </c>
      <c r="V104" t="n">
        <v>1</v>
      </c>
      <c r="W104" t="n">
        <v>0</v>
      </c>
      <c r="X104" t="n">
        <v>0</v>
      </c>
      <c r="Y104" t="n">
        <v>0</v>
      </c>
      <c r="Z104" t="n">
        <v>0</v>
      </c>
      <c r="AA104" t="n">
        <v>0</v>
      </c>
      <c r="AB104" t="n">
        <v>0</v>
      </c>
      <c r="AC104" t="n">
        <v>0</v>
      </c>
      <c r="AD104" t="n">
        <v>0</v>
      </c>
      <c r="AE104" t="n">
        <v>1</v>
      </c>
      <c r="AF104" t="inlineStr">
        <is>
          <t>EXECUT ENGENHARIA GTBA LTDA:ME</t>
        </is>
      </c>
      <c r="AH104" t="inlineStr">
        <is>
          <t>indefinido</t>
        </is>
      </c>
      <c r="AJ104" t="n">
        <v>0</v>
      </c>
      <c r="AK104" t="n">
        <v>0</v>
      </c>
      <c r="AL104" t="n">
        <v>0</v>
      </c>
      <c r="AM104" t="n">
        <v>0</v>
      </c>
      <c r="AN104" t="n">
        <v>0</v>
      </c>
      <c r="AQ104" t="n">
        <v>0</v>
      </c>
      <c r="AR104" t="inlineStr">
        <is>
          <t>mencao_passagem</t>
        </is>
      </c>
      <c r="AS104" t="inlineStr">
        <is>
          <t>Obra de reforma de fachada de hospital com iluminação e acessibilidade; iluminação é item acessório de obra predial, não manutenção de IP de vias.</t>
        </is>
      </c>
      <c r="AT104" t="n">
        <v>0</v>
      </c>
      <c r="AU104" t="n">
        <v>0</v>
      </c>
    </row>
    <row r="105">
      <c r="A105" t="inlineStr">
        <is>
          <t>01149624000138_2026_88</t>
        </is>
      </c>
      <c r="B105" s="2" t="inlineStr">
        <is>
          <t>https://pncp.gov.br/app/editais/01149624000138/2026/88</t>
        </is>
      </c>
      <c r="C105" t="inlineStr">
        <is>
          <t>2026-09-27T04:32:50.420106+00:00</t>
        </is>
      </c>
      <c r="D105" t="inlineStr">
        <is>
          <t>GO</t>
        </is>
      </c>
      <c r="E105" t="inlineStr">
        <is>
          <t>GO</t>
        </is>
      </c>
      <c r="F105" t="inlineStr">
        <is>
          <t>Bom Jesus de Goiás</t>
        </is>
      </c>
      <c r="G105" t="inlineStr">
        <is>
          <t>MUNICIPIO DE BOM JESUS</t>
        </is>
      </c>
      <c r="H105" t="inlineStr">
        <is>
          <t>Municipal</t>
        </is>
      </c>
      <c r="I105" t="inlineStr">
        <is>
          <t>2026-04-24T07:57:41</t>
        </is>
      </c>
      <c r="J105" t="inlineStr">
        <is>
          <t>Concorrência - Eletrônica</t>
        </is>
      </c>
      <c r="K105" t="inlineStr">
        <is>
          <t>[Portal de Compras Públicas] - CONTRATAÇÃO DE EMPRESA DE ENGENHARIA PARA SERVIÇOS DE ENGENHARIA ELÉTRICA, EXTENÇÃO DE REDE BT E ILUMINAÇÃO DA PISTA DE LAÇO NO PARQUE DE EXPOSIÇÃO AGROPECUÁRIO DE BOM JESUS DE GOIÁS-GO</t>
        </is>
      </c>
      <c r="L105" t="b">
        <v>0</v>
      </c>
      <c r="M105" t="inlineStr">
        <is>
          <t>iluminacao_publica</t>
        </is>
      </c>
      <c r="N105" t="inlineStr">
        <is>
          <t>iluminacao_publica</t>
        </is>
      </c>
      <c r="O105" t="n">
        <v>132971.73</v>
      </c>
      <c r="P105" t="n">
        <v>132971.73</v>
      </c>
      <c r="Q105" t="n">
        <v>132971.73</v>
      </c>
      <c r="R105" t="n">
        <v>0.02234858492102054</v>
      </c>
      <c r="S105" t="n">
        <v>0</v>
      </c>
      <c r="T105" t="n">
        <v>1</v>
      </c>
      <c r="U105" t="n">
        <v>1</v>
      </c>
      <c r="V105" t="n">
        <v>1</v>
      </c>
      <c r="W105" t="n">
        <v>0</v>
      </c>
      <c r="X105" t="n">
        <v>0</v>
      </c>
      <c r="Y105" t="n">
        <v>0</v>
      </c>
      <c r="Z105" t="n">
        <v>0</v>
      </c>
      <c r="AA105" t="n">
        <v>0</v>
      </c>
      <c r="AB105" t="n">
        <v>0</v>
      </c>
      <c r="AC105" t="n">
        <v>0</v>
      </c>
      <c r="AD105" t="n">
        <v>0</v>
      </c>
      <c r="AE105" t="n">
        <v>1</v>
      </c>
      <c r="AF105" t="inlineStr">
        <is>
          <t>V ORTIZ SERVICOS E COMERCIO LTDA:ME</t>
        </is>
      </c>
      <c r="AH105" t="inlineStr">
        <is>
          <t>indefinido</t>
        </is>
      </c>
      <c r="AJ105" t="n">
        <v>0</v>
      </c>
      <c r="AK105" t="n">
        <v>0</v>
      </c>
      <c r="AL105" t="n">
        <v>0</v>
      </c>
      <c r="AM105" t="n">
        <v>0</v>
      </c>
      <c r="AN105" t="n">
        <v>0</v>
      </c>
      <c r="AQ105" t="n">
        <v>0</v>
      </c>
      <c r="AS105" t="inlineStr">
        <is>
          <t>Nenhum dos 4 critérios de exclusão se aplica; objeto compatível com manutenção/pequena extensão de IP.</t>
        </is>
      </c>
      <c r="AT105" t="n">
        <v>0</v>
      </c>
      <c r="AU105" t="n">
        <v>1</v>
      </c>
    </row>
    <row r="106">
      <c r="A106" t="inlineStr">
        <is>
          <t>01149624000138_2026_90</t>
        </is>
      </c>
      <c r="B106" s="2" t="inlineStr">
        <is>
          <t>https://pncp.gov.br/app/editais/01149624000138/2026/90</t>
        </is>
      </c>
      <c r="C106" t="inlineStr">
        <is>
          <t>2026-09-27T04:32:46.366358+00:00</t>
        </is>
      </c>
      <c r="D106" t="inlineStr">
        <is>
          <t>GO</t>
        </is>
      </c>
      <c r="E106" t="inlineStr">
        <is>
          <t>GO</t>
        </is>
      </c>
      <c r="F106" t="inlineStr">
        <is>
          <t>Bom Jesus de Goiás</t>
        </is>
      </c>
      <c r="G106" t="inlineStr">
        <is>
          <t>MUNICIPIO DE BOM JESUS</t>
        </is>
      </c>
      <c r="H106" t="inlineStr">
        <is>
          <t>Municipal</t>
        </is>
      </c>
      <c r="I106" t="inlineStr">
        <is>
          <t>2026-04-27T08:27:06</t>
        </is>
      </c>
      <c r="J106" t="inlineStr">
        <is>
          <t>Concorrência - Eletrônica</t>
        </is>
      </c>
      <c r="K106" t="inlineStr">
        <is>
          <t>[Portal de Compras Públicas] - Obra de reforma do Espaço Esportivo do Parque Ambiental “Sebastião Vieira Ramos”, compreendendo a reforma de quadras esportivas, banheiros e pista de skate, implantação de playground infantil, construção e adequação de estruturas esportivas, execução de arquibancada e vestiário, implantação de sistema de iluminação do campo society, adequação das instalações elétricas, execução de sistema de drenagem das quadras de futevolei e demais serviços complementares, conforme planilha orçamentária, memorial descritivo, projetos técnicos e cronograma físico-financeiro, conforme Contrato de Repasse do Ministério do Esporte, Proposta nº 046559/2025, Código do Instrumento nº 982449, vinculado ao Programa nº 5100020250027 – Apoio à Implantação e Modernização de Infraestrutura para Esporte Amador, Educacional, Recreativo e de Lazer – SNEAELIS (Emenda de Comissão – RP8)</t>
        </is>
      </c>
      <c r="L106" t="b">
        <v>0</v>
      </c>
      <c r="M106" t="inlineStr">
        <is>
          <t>eletrica_predial</t>
        </is>
      </c>
      <c r="N106" t="inlineStr">
        <is>
          <t>eletrica_predial</t>
        </is>
      </c>
      <c r="O106" t="n">
        <v>1264099.59</v>
      </c>
      <c r="P106" t="n">
        <v>1263000</v>
      </c>
      <c r="Q106" t="n">
        <v>1264099.59</v>
      </c>
      <c r="R106" t="n">
        <v>0.0008698602615637707</v>
      </c>
      <c r="S106" t="n">
        <v>0</v>
      </c>
      <c r="T106" t="n">
        <v>1</v>
      </c>
      <c r="U106" t="n">
        <v>1</v>
      </c>
      <c r="V106" t="n">
        <v>1</v>
      </c>
      <c r="W106" t="n">
        <v>0</v>
      </c>
      <c r="X106" t="n">
        <v>0</v>
      </c>
      <c r="Y106" t="n">
        <v>0</v>
      </c>
      <c r="Z106" t="n">
        <v>0</v>
      </c>
      <c r="AA106" t="n">
        <v>0</v>
      </c>
      <c r="AB106" t="n">
        <v>0</v>
      </c>
      <c r="AC106" t="n">
        <v>0</v>
      </c>
      <c r="AD106" t="n">
        <v>0</v>
      </c>
      <c r="AE106" t="n">
        <v>1</v>
      </c>
      <c r="AF106" t="inlineStr">
        <is>
          <t>VORTEX ENGENHARIA E CONSTRUCOES LTDA:ME</t>
        </is>
      </c>
      <c r="AH106" t="inlineStr">
        <is>
          <t>indefinido</t>
        </is>
      </c>
      <c r="AJ106" t="n">
        <v>0</v>
      </c>
      <c r="AK106" t="n">
        <v>0</v>
      </c>
      <c r="AL106" t="n">
        <v>0</v>
      </c>
      <c r="AM106" t="n">
        <v>0</v>
      </c>
      <c r="AN106" t="n">
        <v>0</v>
      </c>
      <c r="AQ106" t="n">
        <v>0</v>
      </c>
      <c r="AR106" t="inlineStr">
        <is>
          <t>obra_grande</t>
        </is>
      </c>
      <c r="AS106" t="inlineStr">
        <is>
          <t>Reforma de espaco esportivo (quadras, banheiros, pista de skate, playground, arquibancada, drenagem); adequacao eletrica e apenas 1 item entre dezenas de servicos civis -- obra civil geral, nao eletrica predial.</t>
        </is>
      </c>
      <c r="AT106" t="n">
        <v>1</v>
      </c>
      <c r="AU106" t="n">
        <v>0</v>
      </c>
    </row>
    <row r="107">
      <c r="A107" t="inlineStr">
        <is>
          <t>01157536000188_2025_268</t>
        </is>
      </c>
      <c r="B107" s="2" t="inlineStr">
        <is>
          <t>https://pncp.gov.br/app/editais/01157536000188/2025/268</t>
        </is>
      </c>
      <c r="C107" t="inlineStr">
        <is>
          <t>2026-09-27T04:04:44.628359+00:00</t>
        </is>
      </c>
      <c r="D107" t="inlineStr">
        <is>
          <t>GO</t>
        </is>
      </c>
      <c r="E107" t="inlineStr">
        <is>
          <t>GO</t>
        </is>
      </c>
      <c r="F107" t="inlineStr">
        <is>
          <t>Iporá</t>
        </is>
      </c>
      <c r="G107" t="inlineStr">
        <is>
          <t>MUNICIPIO DE IPORA</t>
        </is>
      </c>
      <c r="H107" t="inlineStr">
        <is>
          <t>Municipal</t>
        </is>
      </c>
      <c r="I107" t="inlineStr">
        <is>
          <t>2025-10-03T09:04:04</t>
        </is>
      </c>
      <c r="J107" t="inlineStr">
        <is>
          <t>Pregão - Eletrônico</t>
        </is>
      </c>
      <c r="K107" t="inlineStr">
        <is>
          <t>AQUISIÇÃO DE MATERIAIS ELÉTRICOS, PARA MANUTENÇÃO DAS SECRETARIAS/FUNDOS DO MUNICÍPIO DE IPORÁ</t>
        </is>
      </c>
      <c r="L107" t="b">
        <v>1</v>
      </c>
      <c r="M107" t="inlineStr">
        <is>
          <t>eletrica_predial</t>
        </is>
      </c>
      <c r="N107" t="inlineStr">
        <is>
          <t>eletrica_predial</t>
        </is>
      </c>
      <c r="O107" t="n">
        <v>605696.09</v>
      </c>
      <c r="P107" t="n">
        <v>168580.76</v>
      </c>
      <c r="Q107" t="n">
        <v>287259.38</v>
      </c>
      <c r="R107" t="n">
        <v>0.4131409738473988</v>
      </c>
      <c r="S107" t="n">
        <v>0</v>
      </c>
      <c r="T107" t="n">
        <v>137</v>
      </c>
      <c r="U107" t="n">
        <v>40</v>
      </c>
      <c r="V107" t="n">
        <v>137</v>
      </c>
      <c r="W107" t="n">
        <v>0</v>
      </c>
      <c r="X107" t="n">
        <v>0</v>
      </c>
      <c r="Y107" t="n">
        <v>0</v>
      </c>
      <c r="Z107" t="n">
        <v>0</v>
      </c>
      <c r="AA107" t="n">
        <v>0</v>
      </c>
      <c r="AB107" t="n">
        <v>0</v>
      </c>
      <c r="AC107" t="n">
        <v>0</v>
      </c>
      <c r="AD107" t="n">
        <v>0</v>
      </c>
      <c r="AE107" t="n">
        <v>5</v>
      </c>
      <c r="AF107" t="inlineStr">
        <is>
          <t>TRIUNFO ILUMINACAO LTDA:ME; ATRIUM INDUSTRIA E COMERCIO DE FERRAGENS LTDA:ME; BRASIL ILUMINACAO E CONSTRUCAO LTDA:ME; BAHIA LUMI ILUMINAÇÃO E MATERIAL PARA CONSTRUÇÃO EIRELI:ME; GST MATERIAIS ELETRICOS COMÉRCIO E SERVIÇOS LTDA:ME</t>
        </is>
      </c>
      <c r="AH107" t="inlineStr">
        <is>
          <t>pontual</t>
        </is>
      </c>
      <c r="AJ107" t="n">
        <v>0</v>
      </c>
      <c r="AK107" t="n">
        <v>0</v>
      </c>
      <c r="AL107" t="n">
        <v>0</v>
      </c>
      <c r="AM107" t="n">
        <v>0</v>
      </c>
      <c r="AN107" t="n">
        <v>0</v>
      </c>
      <c r="AQ107" t="n">
        <v>1</v>
      </c>
      <c r="AR107" t="inlineStr">
        <is>
          <t>fornecimento_puro</t>
        </is>
      </c>
      <c r="AS107" t="inlineStr">
        <is>
          <t>Confirmada exclusao automatica (fornecimento_puro): 137 item(ns), todos classificados como material (sem servico).</t>
        </is>
      </c>
      <c r="AT107" t="n">
        <v>1</v>
      </c>
      <c r="AU107" t="n">
        <v>0</v>
      </c>
    </row>
    <row r="108">
      <c r="A108" t="inlineStr">
        <is>
          <t>01164292000160_2025_13</t>
        </is>
      </c>
      <c r="B108" s="2" t="inlineStr">
        <is>
          <t>https://pncp.gov.br/app/editais/01164292000160/2025/13</t>
        </is>
      </c>
      <c r="C108" t="inlineStr">
        <is>
          <t>2026-09-27T02:57:15.271698+00:00</t>
        </is>
      </c>
      <c r="D108" t="inlineStr">
        <is>
          <t>GO</t>
        </is>
      </c>
      <c r="E108" t="inlineStr">
        <is>
          <t>GO</t>
        </is>
      </c>
      <c r="F108" t="inlineStr">
        <is>
          <t>Caçu</t>
        </is>
      </c>
      <c r="G108" t="inlineStr">
        <is>
          <t>MUNICIPIO DE CACU</t>
        </is>
      </c>
      <c r="H108" t="inlineStr">
        <is>
          <t>Municipal</t>
        </is>
      </c>
      <c r="I108" t="inlineStr">
        <is>
          <t>2025-08-14T10:58:12</t>
        </is>
      </c>
      <c r="J108" t="inlineStr">
        <is>
          <t>Pregão - Eletrônico</t>
        </is>
      </c>
      <c r="K108" t="inlineStr">
        <is>
          <t>[LICITANET] - Contratação de empresa especializada para prestação de serviços de limpeza/higienização, instalação/desinstalação, manutenção corretiva e carga de gás em aparelhos de ar condicionado e climatizadores para atender as necessidades das secretarias e fundos desta municipalidade para os próximos 12 meses.</t>
        </is>
      </c>
      <c r="L108" t="b">
        <v>1</v>
      </c>
      <c r="M108" t="inlineStr">
        <is>
          <t>climatizacao</t>
        </is>
      </c>
      <c r="N108" t="inlineStr">
        <is>
          <t>climatizacao</t>
        </is>
      </c>
      <c r="O108" t="n">
        <v>947421.64</v>
      </c>
      <c r="P108" t="n">
        <v>522410.9</v>
      </c>
      <c r="Q108" t="n">
        <v>947421.6400000002</v>
      </c>
      <c r="R108" t="n">
        <v>0.4485972475781742</v>
      </c>
      <c r="S108" t="n">
        <v>0</v>
      </c>
      <c r="T108" t="n">
        <v>33</v>
      </c>
      <c r="U108" t="n">
        <v>33</v>
      </c>
      <c r="V108" t="n">
        <v>33</v>
      </c>
      <c r="W108" t="n">
        <v>0</v>
      </c>
      <c r="X108" t="n">
        <v>0</v>
      </c>
      <c r="Y108" t="n">
        <v>0</v>
      </c>
      <c r="Z108" t="n">
        <v>0</v>
      </c>
      <c r="AA108" t="n">
        <v>0</v>
      </c>
      <c r="AB108" t="n">
        <v>0</v>
      </c>
      <c r="AC108" t="n">
        <v>0</v>
      </c>
      <c r="AD108" t="n">
        <v>1</v>
      </c>
      <c r="AE108" t="n">
        <v>3</v>
      </c>
      <c r="AF108" t="inlineStr">
        <is>
          <t>ATIVA REFRIGERACAO LTDA:ME; VAINE APARECIDO NONIS JUNIOR:ME; FRANK LAINE ALVES LIMA 76932893134:Demais</t>
        </is>
      </c>
      <c r="AH108" t="inlineStr">
        <is>
          <t>indefinido</t>
        </is>
      </c>
      <c r="AI108" t="n">
        <v>12</v>
      </c>
      <c r="AJ108" t="n">
        <v>0</v>
      </c>
      <c r="AK108" t="n">
        <v>0</v>
      </c>
      <c r="AL108" t="n">
        <v>0</v>
      </c>
      <c r="AM108" t="n">
        <v>0</v>
      </c>
      <c r="AN108" t="n">
        <v>0</v>
      </c>
      <c r="AQ108" t="n">
        <v>0</v>
      </c>
      <c r="AS108" t="inlineStr">
        <is>
          <t>heuristica automatica confirmada: servico real de climatizacao, sem sinais de exclusao.</t>
        </is>
      </c>
      <c r="AT108" t="n">
        <v>0</v>
      </c>
      <c r="AU108" t="n">
        <v>1</v>
      </c>
    </row>
    <row r="109">
      <c r="A109" t="inlineStr">
        <is>
          <t>01164292000160_2025_26</t>
        </is>
      </c>
      <c r="B109" s="2" t="inlineStr">
        <is>
          <t>https://pncp.gov.br/app/editais/01164292000160/2025/26</t>
        </is>
      </c>
      <c r="C109" t="inlineStr">
        <is>
          <t>2026-09-27T04:04:01.352189+00:00</t>
        </is>
      </c>
      <c r="D109" t="inlineStr">
        <is>
          <t>GO</t>
        </is>
      </c>
      <c r="E109" t="inlineStr">
        <is>
          <t>GO</t>
        </is>
      </c>
      <c r="F109" t="inlineStr">
        <is>
          <t>Caçu</t>
        </is>
      </c>
      <c r="G109" t="inlineStr">
        <is>
          <t>MUNICIPIO DE CACU</t>
        </is>
      </c>
      <c r="H109" t="inlineStr">
        <is>
          <t>Municipal</t>
        </is>
      </c>
      <c r="I109" t="inlineStr">
        <is>
          <t>2025-10-28T14:40:01</t>
        </is>
      </c>
      <c r="J109" t="inlineStr">
        <is>
          <t>Pregão - Eletrônico</t>
        </is>
      </c>
      <c r="K109" t="inlineStr">
        <is>
          <t>[LICITANET] - CONTRATAÇÃO DE EMPRESA PARA AQUISIÇÃO COM ENTREGA PARCELADA DE MATERIAL ELÉTRICO PARA MANUTENÇÃO DA ILUMINAÇÃO PÚBLICA E PRÉDIOS PÚBLICOS, PARA ATENDER A ADMINISTRAÇÃO PÚBLICA NOS PRÓXIMOS 12 MESES.</t>
        </is>
      </c>
      <c r="L109" t="b">
        <v>1</v>
      </c>
      <c r="M109" t="inlineStr">
        <is>
          <t>iluminacao_publica</t>
        </is>
      </c>
      <c r="N109" t="inlineStr">
        <is>
          <t>iluminacao_publica</t>
        </is>
      </c>
      <c r="O109" t="n">
        <v>9344857.109999999</v>
      </c>
      <c r="P109" t="n">
        <v>398327.57</v>
      </c>
      <c r="Q109" t="n">
        <v>706933.95</v>
      </c>
      <c r="R109" t="n">
        <v>0.4365420277240894</v>
      </c>
      <c r="S109" t="n">
        <v>0</v>
      </c>
      <c r="T109" t="n">
        <v>460</v>
      </c>
      <c r="U109" t="n">
        <v>40</v>
      </c>
      <c r="V109" t="n">
        <v>278</v>
      </c>
      <c r="W109" t="n">
        <v>0</v>
      </c>
      <c r="X109" t="n">
        <v>173</v>
      </c>
      <c r="Y109" t="n">
        <v>0</v>
      </c>
      <c r="Z109" t="n">
        <v>1</v>
      </c>
      <c r="AA109" t="n">
        <v>0</v>
      </c>
      <c r="AB109" t="n">
        <v>0</v>
      </c>
      <c r="AC109" t="n">
        <v>0</v>
      </c>
      <c r="AD109" t="n">
        <v>0</v>
      </c>
      <c r="AE109" t="n">
        <v>4</v>
      </c>
      <c r="AF109" t="inlineStr">
        <is>
          <t>ROS RIO MATERIAIS E COMERCIO LTDA:EPP; ELETRICA VARGAS LTDA:ME; MORK TELECOM PRODUTOS E SERVICOS PARA TELECOMUNICACOES LTDA:ME; TRIUNFO ILUMINACAO LTDA:EPP</t>
        </is>
      </c>
      <c r="AH109" t="inlineStr">
        <is>
          <t>pontual</t>
        </is>
      </c>
      <c r="AJ109" t="n">
        <v>0</v>
      </c>
      <c r="AK109" t="n">
        <v>0</v>
      </c>
      <c r="AL109" t="n">
        <v>0</v>
      </c>
      <c r="AM109" t="n">
        <v>0</v>
      </c>
      <c r="AN109" t="n">
        <v>0</v>
      </c>
      <c r="AQ109" t="n">
        <v>1</v>
      </c>
      <c r="AR109" t="inlineStr">
        <is>
          <t>fornecimento_puro</t>
        </is>
      </c>
      <c r="AS109" t="inlineStr">
        <is>
          <t>Registro de preços/contratação de fornecimento de materiais, sem mão de obra de manutenção contratada.</t>
        </is>
      </c>
      <c r="AT109" t="n">
        <v>1</v>
      </c>
      <c r="AU109" t="n">
        <v>0</v>
      </c>
    </row>
    <row r="110">
      <c r="A110" t="inlineStr">
        <is>
          <t>01165729000180_2025_246</t>
        </is>
      </c>
      <c r="B110" s="2" t="inlineStr">
        <is>
          <t>https://pncp.gov.br/app/editais/01165729000180/2025/246</t>
        </is>
      </c>
      <c r="C110" t="inlineStr">
        <is>
          <t>2026-09-27T02:57:52.514310+00:00</t>
        </is>
      </c>
      <c r="D110" t="inlineStr">
        <is>
          <t>GO</t>
        </is>
      </c>
      <c r="E110" t="inlineStr">
        <is>
          <t>GO</t>
        </is>
      </c>
      <c r="F110" t="inlineStr">
        <is>
          <t>Jataí</t>
        </is>
      </c>
      <c r="G110" t="inlineStr">
        <is>
          <t>MUNICIPIO DE JATAI</t>
        </is>
      </c>
      <c r="H110" t="inlineStr">
        <is>
          <t>Municipal</t>
        </is>
      </c>
      <c r="I110" t="inlineStr">
        <is>
          <t>2025-08-13T10:08:12</t>
        </is>
      </c>
      <c r="J110" t="inlineStr">
        <is>
          <t>Pregão - Eletrônico</t>
        </is>
      </c>
      <c r="K110" t="inlineStr">
        <is>
          <t>[Portal de Compras Públicas] - O objeto da presente licitação é a escolha da proposta mais vantajosa para contratação de uma empresa especializada em manutenção de ar condicionado, com o intuito de prestar serviços de manutenção preventiva e corretiva em todos os sistemas de climatização das unidades da Secretaria Municipal de Educação de Jataí, conforme condições, quantidades e exigências estabelecidas neste Edital e seus anexos.</t>
        </is>
      </c>
      <c r="L110" t="b">
        <v>0</v>
      </c>
      <c r="M110" t="inlineStr">
        <is>
          <t>climatizacao</t>
        </is>
      </c>
      <c r="N110" t="inlineStr">
        <is>
          <t>climatizacao</t>
        </is>
      </c>
      <c r="O110" t="n">
        <v>535317.75</v>
      </c>
      <c r="P110" t="n">
        <v>253820</v>
      </c>
      <c r="Q110" t="n">
        <v>535317.75</v>
      </c>
      <c r="R110" t="n">
        <v>0.5258517020965585</v>
      </c>
      <c r="S110" t="n">
        <v>0</v>
      </c>
      <c r="T110" t="n">
        <v>23</v>
      </c>
      <c r="U110" t="n">
        <v>23</v>
      </c>
      <c r="V110" t="n">
        <v>23</v>
      </c>
      <c r="W110" t="n">
        <v>0</v>
      </c>
      <c r="X110" t="n">
        <v>0</v>
      </c>
      <c r="Y110" t="n">
        <v>0</v>
      </c>
      <c r="Z110" t="n">
        <v>0</v>
      </c>
      <c r="AA110" t="n">
        <v>0</v>
      </c>
      <c r="AB110" t="n">
        <v>0</v>
      </c>
      <c r="AC110" t="n">
        <v>0</v>
      </c>
      <c r="AD110" t="n">
        <v>0</v>
      </c>
      <c r="AE110" t="n">
        <v>1</v>
      </c>
      <c r="AF110" t="inlineStr">
        <is>
          <t>27.687.501 LUCIONEI SOARES:ME</t>
        </is>
      </c>
      <c r="AH110" t="inlineStr">
        <is>
          <t>indefinido</t>
        </is>
      </c>
      <c r="AJ110" t="n">
        <v>0</v>
      </c>
      <c r="AK110" t="n">
        <v>0</v>
      </c>
      <c r="AL110" t="n">
        <v>0</v>
      </c>
      <c r="AM110" t="n">
        <v>0</v>
      </c>
      <c r="AN110" t="n">
        <v>0</v>
      </c>
      <c r="AQ110" t="n">
        <v>1</v>
      </c>
      <c r="AS110" t="inlineStr">
        <is>
          <t>contratacao de empresa para prestar servicos de manutencao preventiva/corretiva; itens mal cadastrados como Material.</t>
        </is>
      </c>
      <c r="AT110" t="n">
        <v>1</v>
      </c>
      <c r="AU110" t="n">
        <v>1</v>
      </c>
    </row>
    <row r="111">
      <c r="A111" t="inlineStr">
        <is>
          <t>01165729000180_2026_161</t>
        </is>
      </c>
      <c r="B111" s="2" t="inlineStr">
        <is>
          <t>https://pncp.gov.br/app/editais/01165729000180/2026/161</t>
        </is>
      </c>
      <c r="C111" t="inlineStr">
        <is>
          <t>2026-09-27T04:32:37.406876+00:00</t>
        </is>
      </c>
      <c r="D111" t="inlineStr">
        <is>
          <t>GO</t>
        </is>
      </c>
      <c r="E111" t="inlineStr">
        <is>
          <t>GO</t>
        </is>
      </c>
      <c r="F111" t="inlineStr">
        <is>
          <t>Jataí</t>
        </is>
      </c>
      <c r="G111" t="inlineStr">
        <is>
          <t>MUNICIPIO DE JATAI</t>
        </is>
      </c>
      <c r="H111" t="inlineStr">
        <is>
          <t>Municipal</t>
        </is>
      </c>
      <c r="I111" t="inlineStr">
        <is>
          <t>2026-04-29T14:41:41</t>
        </is>
      </c>
      <c r="J111" t="inlineStr">
        <is>
          <t>Pregão - Eletrônico</t>
        </is>
      </c>
      <c r="K111" t="inlineStr">
        <is>
          <t>[Portal de Compras Públicas] - Execução dos seguintes objetos de contratação: Grupo 1 - Locação de som, palco, led, iluminação e geradores; Grupo 2 - Locação de tenda galpão; Grupo 3 -  Locação de tendas e banheiros químicos; Grupo 4 - Locação de mesas e cadeiras plásticas; Grupo 5 - Gráficos; Grupo 6 - Lanche pronto; Grupo 7 - Decoração; e Grupo 8 - Artigos para festa.</t>
        </is>
      </c>
      <c r="L111" t="b">
        <v>1</v>
      </c>
      <c r="M111" t="inlineStr">
        <is>
          <t>iluminacao_publica</t>
        </is>
      </c>
      <c r="N111" t="inlineStr">
        <is>
          <t>iluminacao_publica</t>
        </is>
      </c>
      <c r="O111" t="n">
        <v>1189703.39</v>
      </c>
      <c r="P111" t="n">
        <v>1151486.13</v>
      </c>
      <c r="Q111" t="n">
        <v>1151486.13</v>
      </c>
      <c r="R111" t="n">
        <v>0.2454937429424356</v>
      </c>
      <c r="S111" t="n">
        <v>0</v>
      </c>
      <c r="T111" t="n">
        <v>43</v>
      </c>
      <c r="U111" t="n">
        <v>28</v>
      </c>
      <c r="V111" t="n">
        <v>28</v>
      </c>
      <c r="W111" t="n">
        <v>0</v>
      </c>
      <c r="X111" t="n">
        <v>15</v>
      </c>
      <c r="Y111" t="n">
        <v>0</v>
      </c>
      <c r="Z111" t="n">
        <v>1</v>
      </c>
      <c r="AA111" t="n">
        <v>0</v>
      </c>
      <c r="AB111" t="n">
        <v>1</v>
      </c>
      <c r="AC111" t="n">
        <v>0</v>
      </c>
      <c r="AD111" t="n">
        <v>0</v>
      </c>
      <c r="AE111" t="n">
        <v>6</v>
      </c>
      <c r="AF111" t="inlineStr">
        <is>
          <t>CENTRAL SERVICE LTDA:ME; NEUDES OLIVEIRA DE JESUS:ME; CLIMAR LOCACOES EIRELI:EPP; LONA AZUL TENDAS LTDA:ME; FELIPE MAXIMO DE ASSIS SANTOS 04283807192:ME; VERTICE EVENTOS LTDA:ME</t>
        </is>
      </c>
      <c r="AH111" t="inlineStr">
        <is>
          <t>indefinido</t>
        </is>
      </c>
      <c r="AJ111" t="n">
        <v>0</v>
      </c>
      <c r="AK111" t="n">
        <v>0</v>
      </c>
      <c r="AL111" t="n">
        <v>0</v>
      </c>
      <c r="AM111" t="n">
        <v>0</v>
      </c>
      <c r="AN111" t="n">
        <v>0</v>
      </c>
      <c r="AQ111" t="n">
        <v>0.1963322891767166</v>
      </c>
      <c r="AR111" t="inlineStr">
        <is>
          <t>equipamento_alto</t>
        </is>
      </c>
      <c r="AS111" t="inlineStr">
        <is>
          <t>Objeto envolve gerador/estrutura de evento ou fração de material &gt; 40% associada a equipamentos de grande porte.</t>
        </is>
      </c>
      <c r="AT111" t="n">
        <v>0</v>
      </c>
      <c r="AU111" t="n">
        <v>0</v>
      </c>
    </row>
    <row r="112">
      <c r="A112" t="inlineStr">
        <is>
          <t>01165729000180_2026_206</t>
        </is>
      </c>
      <c r="B112" s="2" t="inlineStr">
        <is>
          <t>https://pncp.gov.br/app/editais/01165729000180/2026/206</t>
        </is>
      </c>
      <c r="C112" t="inlineStr">
        <is>
          <t>2026-09-27T04:32:04.247042+00:00</t>
        </is>
      </c>
      <c r="D112" t="inlineStr">
        <is>
          <t>GO</t>
        </is>
      </c>
      <c r="E112" t="inlineStr">
        <is>
          <t>GO</t>
        </is>
      </c>
      <c r="F112" t="inlineStr">
        <is>
          <t>Jataí</t>
        </is>
      </c>
      <c r="G112" t="inlineStr">
        <is>
          <t>MUNICIPIO DE JATAI</t>
        </is>
      </c>
      <c r="H112" t="inlineStr">
        <is>
          <t>Municipal</t>
        </is>
      </c>
      <c r="I112" t="inlineStr">
        <is>
          <t>2026-05-15T14:22:08</t>
        </is>
      </c>
      <c r="J112" t="inlineStr">
        <is>
          <t>Pregão - Eletrônico</t>
        </is>
      </c>
      <c r="K112" t="inlineStr">
        <is>
          <t>[Portal de Compras Públicas] - Contratação de empresa especializada para o fornecimento de caminhão novo (zero quilômetro), equipado com carroceria metálica e cesto aéreo articulado isolado duplo, destinado à execução de serviços de manutenção da iluminação pública, em atendimento às demandas da Secretaria Municipal de Serviços Urbanos.</t>
        </is>
      </c>
      <c r="L112" t="b">
        <v>0</v>
      </c>
      <c r="M112" t="inlineStr">
        <is>
          <t>munck</t>
        </is>
      </c>
      <c r="N112" t="inlineStr">
        <is>
          <t>munck</t>
        </is>
      </c>
      <c r="O112" t="n">
        <v>747666.67</v>
      </c>
      <c r="P112" t="n">
        <v>504500</v>
      </c>
      <c r="Q112" t="n">
        <v>747666.67</v>
      </c>
      <c r="R112" t="n">
        <v>0.3252340645330626</v>
      </c>
      <c r="S112" t="n">
        <v>0</v>
      </c>
      <c r="T112" t="n">
        <v>1</v>
      </c>
      <c r="U112" t="n">
        <v>1</v>
      </c>
      <c r="V112" t="n">
        <v>1</v>
      </c>
      <c r="W112" t="n">
        <v>0</v>
      </c>
      <c r="X112" t="n">
        <v>0</v>
      </c>
      <c r="Y112" t="n">
        <v>0</v>
      </c>
      <c r="Z112" t="n">
        <v>0</v>
      </c>
      <c r="AA112" t="n">
        <v>0</v>
      </c>
      <c r="AB112" t="n">
        <v>0</v>
      </c>
      <c r="AC112" t="n">
        <v>0</v>
      </c>
      <c r="AD112" t="n">
        <v>0</v>
      </c>
      <c r="AE112" t="n">
        <v>1</v>
      </c>
      <c r="AF112" t="inlineStr">
        <is>
          <t>PESO CAMINHOES E IMPLEMENTOS LTDA:Demais</t>
        </is>
      </c>
      <c r="AH112" t="inlineStr">
        <is>
          <t>pontual</t>
        </is>
      </c>
      <c r="AJ112" t="n">
        <v>0</v>
      </c>
      <c r="AK112" t="n">
        <v>0</v>
      </c>
      <c r="AL112" t="n">
        <v>0</v>
      </c>
      <c r="AM112" t="n">
        <v>0</v>
      </c>
      <c r="AN112" t="n">
        <v>0</v>
      </c>
      <c r="AQ112" t="n">
        <v>1</v>
      </c>
      <c r="AR112" t="inlineStr">
        <is>
          <t>fornecimento_puro</t>
        </is>
      </c>
      <c r="AS112" t="inlineStr">
        <is>
          <t>Fornecimento de caminhão ZERO KM com cesto (aquisição de bem, não locação de serviço).</t>
        </is>
      </c>
      <c r="AT112" t="n">
        <v>1</v>
      </c>
      <c r="AU112" t="n">
        <v>0</v>
      </c>
    </row>
    <row r="113">
      <c r="A113" t="inlineStr">
        <is>
          <t>01165729000180_2026_264</t>
        </is>
      </c>
      <c r="B113" s="2" t="inlineStr">
        <is>
          <t>https://pncp.gov.br/app/editais/01165729000180/2026/264</t>
        </is>
      </c>
      <c r="C113" t="inlineStr">
        <is>
          <t>2026-09-27T14:30:39.949104+00:00</t>
        </is>
      </c>
      <c r="D113" t="inlineStr">
        <is>
          <t>GO</t>
        </is>
      </c>
      <c r="E113" t="inlineStr">
        <is>
          <t>GO</t>
        </is>
      </c>
      <c r="F113" t="inlineStr">
        <is>
          <t>Jataí</t>
        </is>
      </c>
      <c r="G113" t="inlineStr">
        <is>
          <t>MUNICIPIO DE JATAI</t>
        </is>
      </c>
      <c r="H113" t="inlineStr">
        <is>
          <t>Municipal</t>
        </is>
      </c>
      <c r="I113" t="inlineStr">
        <is>
          <t>2026-07-01T09:01:44</t>
        </is>
      </c>
      <c r="J113" t="inlineStr">
        <is>
          <t>Concorrência - Eletrônica</t>
        </is>
      </c>
      <c r="K113" t="inlineStr">
        <is>
          <t>[Portal de Compras Públicas] - O objeto da presente licitação é a contratação de empresa especializada em engenharia civil para execução da reforma e ampliação do Centro de Referência de Assistência Social — CRAS Setor Mauro Bento, no Município de Jataí/GO, compreendendo a realização de pintura geral da edificação, adequações e recomposição do piso existente, ampliação da unidade com implantação de sala de atendimento técnico especializado, sala destinada ao Cadastro Único — CadÚnico e Depósito de Material de Limpeza — DML, bem como a execução de fundações, estruturas, alvenarias, revestimentos, cobertura, instalações elétricas e hidrossanitárias, esquadrias, forros e demais serviços complementares, incluindo o fornecimento de materiais, mão de obra, equipamentos, ferramentas, encargos, mobilização/desmobilização e demais insumos necessários à completa execução do objeto, conforme condições, quantidades e exigências estabelecidas neste Edital e seus anexos.</t>
        </is>
      </c>
      <c r="L113" t="b">
        <v>0</v>
      </c>
      <c r="M113" t="inlineStr">
        <is>
          <t>eletrica_predial</t>
        </is>
      </c>
      <c r="N113" t="inlineStr">
        <is>
          <t>eletrica_predial</t>
        </is>
      </c>
      <c r="O113" t="n">
        <v>215767.92</v>
      </c>
      <c r="P113" t="n">
        <v>190000</v>
      </c>
      <c r="Q113" t="n">
        <v>215767.92</v>
      </c>
      <c r="R113" t="n">
        <v>0.1194242406378113</v>
      </c>
      <c r="S113" t="n">
        <v>0</v>
      </c>
      <c r="T113" t="n">
        <v>1</v>
      </c>
      <c r="U113" t="n">
        <v>1</v>
      </c>
      <c r="V113" t="n">
        <v>1</v>
      </c>
      <c r="W113" t="n">
        <v>0</v>
      </c>
      <c r="X113" t="n">
        <v>0</v>
      </c>
      <c r="Y113" t="n">
        <v>0</v>
      </c>
      <c r="Z113" t="n">
        <v>0</v>
      </c>
      <c r="AA113" t="n">
        <v>0</v>
      </c>
      <c r="AB113" t="n">
        <v>0</v>
      </c>
      <c r="AC113" t="n">
        <v>0</v>
      </c>
      <c r="AD113" t="n">
        <v>0</v>
      </c>
      <c r="AE113" t="n">
        <v>1</v>
      </c>
      <c r="AF113" t="inlineStr">
        <is>
          <t>GFR CONSTRUTORA LTDA:EPP</t>
        </is>
      </c>
      <c r="AH113" t="inlineStr">
        <is>
          <t>pontual</t>
        </is>
      </c>
      <c r="AI113" t="n">
        <v>12</v>
      </c>
      <c r="AJ113" t="n">
        <v>0</v>
      </c>
      <c r="AK113" t="n">
        <v>0</v>
      </c>
      <c r="AL113" t="n">
        <v>0</v>
      </c>
      <c r="AM113" t="n">
        <v>1</v>
      </c>
      <c r="AN113" t="n">
        <v>1</v>
      </c>
      <c r="AQ113" t="n">
        <v>0</v>
      </c>
      <c r="AR113" t="inlineStr">
        <is>
          <t>fora_de_escopo</t>
        </is>
      </c>
      <c r="AS113" t="inlineStr">
        <is>
          <t>Reforma/ampliacao de CRAS (fundacoes, estruturas, alvenarias, cobertura, ampliacao de sala) -- obra civil geral, eletrica e so um item entre dezenas de servicos de engenharia civil.</t>
        </is>
      </c>
      <c r="AT113" t="n">
        <v>0</v>
      </c>
      <c r="AU113" t="n">
        <v>0</v>
      </c>
    </row>
    <row r="114">
      <c r="A114" t="inlineStr">
        <is>
          <t>01165729000180_2026_282</t>
        </is>
      </c>
      <c r="B114" s="2" t="inlineStr">
        <is>
          <t>https://pncp.gov.br/app/editais/01165729000180/2026/282</t>
        </is>
      </c>
      <c r="C114" t="inlineStr">
        <is>
          <t>2026-09-27T04:25:55.340038+00:00</t>
        </is>
      </c>
      <c r="D114" t="inlineStr">
        <is>
          <t>GO</t>
        </is>
      </c>
      <c r="E114" t="inlineStr">
        <is>
          <t>GO</t>
        </is>
      </c>
      <c r="F114" t="inlineStr">
        <is>
          <t>Jataí</t>
        </is>
      </c>
      <c r="G114" t="inlineStr">
        <is>
          <t>MUNICIPIO DE JATAI</t>
        </is>
      </c>
      <c r="H114" t="inlineStr">
        <is>
          <t>Municipal</t>
        </is>
      </c>
      <c r="I114" t="inlineStr">
        <is>
          <t>2026-07-07T09:06:09</t>
        </is>
      </c>
      <c r="J114" t="inlineStr">
        <is>
          <t>Pregão - Eletrônico</t>
        </is>
      </c>
      <c r="K114" t="inlineStr">
        <is>
          <t>[Portal de Compras Públicas] - O objeto da presente licitação é a escolha da proposta mais vantajosa para aquisição de postes de concreto 10/300 destinados à instalação de redes de proteção e do sistema de iluminação do Polo Esportivo Vila Brasília, atendendo às necessidades da Secretaria Municipal responsável pela manutenção e melhoria dos espaços esportivos públicos, conforme condições, quantidades e exigências estabelecidas neste Edital e seus anexos.</t>
        </is>
      </c>
      <c r="L114" t="b">
        <v>0</v>
      </c>
      <c r="M114" t="inlineStr">
        <is>
          <t>iluminacao_publica</t>
        </is>
      </c>
      <c r="N114" t="inlineStr">
        <is>
          <t>iluminacao_publica</t>
        </is>
      </c>
      <c r="O114" t="n">
        <v>19474.95</v>
      </c>
      <c r="P114" t="n">
        <v>19320</v>
      </c>
      <c r="Q114" t="n">
        <v>19474.95</v>
      </c>
      <c r="R114" t="n">
        <v>0.007956374727534521</v>
      </c>
      <c r="S114" t="n">
        <v>0</v>
      </c>
      <c r="T114" t="n">
        <v>1</v>
      </c>
      <c r="U114" t="n">
        <v>1</v>
      </c>
      <c r="V114" t="n">
        <v>1</v>
      </c>
      <c r="W114" t="n">
        <v>0</v>
      </c>
      <c r="X114" t="n">
        <v>0</v>
      </c>
      <c r="Y114" t="n">
        <v>0</v>
      </c>
      <c r="Z114" t="n">
        <v>0</v>
      </c>
      <c r="AA114" t="n">
        <v>1</v>
      </c>
      <c r="AB114" t="n">
        <v>0</v>
      </c>
      <c r="AC114" t="n">
        <v>0</v>
      </c>
      <c r="AD114" t="n">
        <v>0</v>
      </c>
      <c r="AE114" t="n">
        <v>1</v>
      </c>
      <c r="AF114" t="inlineStr">
        <is>
          <t>MASTERFER COMERCIO DE FERRAGENS LTDA:ME</t>
        </is>
      </c>
      <c r="AH114" t="inlineStr">
        <is>
          <t>pontual</t>
        </is>
      </c>
      <c r="AI114" t="n">
        <v>12</v>
      </c>
      <c r="AJ114" t="n">
        <v>0</v>
      </c>
      <c r="AK114" t="n">
        <v>0</v>
      </c>
      <c r="AL114" t="n">
        <v>0</v>
      </c>
      <c r="AM114" t="n">
        <v>1</v>
      </c>
      <c r="AN114" t="n">
        <v>0</v>
      </c>
      <c r="AQ114" t="n">
        <v>0</v>
      </c>
      <c r="AR114" t="inlineStr">
        <is>
          <t>fornecimento_puro</t>
        </is>
      </c>
      <c r="AS114" t="inlineStr">
        <is>
          <t>Aquisição pontual de postes de concreto para polo esportivo (item único de material), sem contratação de mão de obra de manutenção.</t>
        </is>
      </c>
      <c r="AT114" t="n">
        <v>0</v>
      </c>
      <c r="AU114" t="n">
        <v>0</v>
      </c>
    </row>
    <row r="115">
      <c r="A115" t="inlineStr">
        <is>
          <t>01165729000180_2026_290</t>
        </is>
      </c>
      <c r="B115" s="2" t="inlineStr">
        <is>
          <t>https://pncp.gov.br/app/editais/01165729000180/2026/290</t>
        </is>
      </c>
      <c r="C115" t="inlineStr">
        <is>
          <t>2026-09-27T04:24:17.737574+00:00</t>
        </is>
      </c>
      <c r="D115" t="inlineStr">
        <is>
          <t>GO</t>
        </is>
      </c>
      <c r="E115" t="inlineStr">
        <is>
          <t>GO</t>
        </is>
      </c>
      <c r="F115" t="inlineStr">
        <is>
          <t>Jataí</t>
        </is>
      </c>
      <c r="G115" t="inlineStr">
        <is>
          <t>MUNICIPIO DE JATAI</t>
        </is>
      </c>
      <c r="H115" t="inlineStr">
        <is>
          <t>Municipal</t>
        </is>
      </c>
      <c r="I115" t="inlineStr">
        <is>
          <t>2026-07-16T15:06:36</t>
        </is>
      </c>
      <c r="J115" t="inlineStr">
        <is>
          <t>Concorrência - Eletrônica</t>
        </is>
      </c>
      <c r="K115" t="inlineStr">
        <is>
          <t>[Portal de Compras Públicas] - Contratação de serviços comuns de engenharia para a eficientização do parque de iluminação pública do Município de Jataí-GO, incluindo a substituição das luminárias antigas por luminárias com tecnologia LED, a substituição de braços danificados, a identificação/emplaquetamento dos pontos de iluminação para fins de cadastro georreferenciado e a entrega do sistema modernizado em pleno funcionamento, conforme condições, quantidades e exigências estabelecidas em Edital.</t>
        </is>
      </c>
      <c r="L115" t="b">
        <v>0</v>
      </c>
      <c r="M115" t="inlineStr">
        <is>
          <t>iluminacao_publica</t>
        </is>
      </c>
      <c r="N115" t="inlineStr">
        <is>
          <t>iluminacao_publica</t>
        </is>
      </c>
      <c r="O115" t="n">
        <v>16182617.47</v>
      </c>
      <c r="P115" t="n">
        <v>8832998.99</v>
      </c>
      <c r="Q115" t="n">
        <v>16182617.47</v>
      </c>
      <c r="R115" t="n">
        <v>0.4541674728223061</v>
      </c>
      <c r="S115" t="n">
        <v>0</v>
      </c>
      <c r="T115" t="n">
        <v>1</v>
      </c>
      <c r="U115" t="n">
        <v>1</v>
      </c>
      <c r="V115" t="n">
        <v>1</v>
      </c>
      <c r="W115" t="n">
        <v>0</v>
      </c>
      <c r="X115" t="n">
        <v>0</v>
      </c>
      <c r="Y115" t="n">
        <v>0</v>
      </c>
      <c r="Z115" t="n">
        <v>0</v>
      </c>
      <c r="AA115" t="n">
        <v>0</v>
      </c>
      <c r="AB115" t="n">
        <v>0</v>
      </c>
      <c r="AC115" t="n">
        <v>0</v>
      </c>
      <c r="AD115" t="n">
        <v>0</v>
      </c>
      <c r="AE115" t="n">
        <v>1</v>
      </c>
      <c r="AF115" t="inlineStr">
        <is>
          <t>TRADETEK SOLUCOES EM ILUMINACAO PUBLICA E INFRAESTRUTURA LTDA:Demais</t>
        </is>
      </c>
      <c r="AH115" t="inlineStr">
        <is>
          <t>indefinido</t>
        </is>
      </c>
      <c r="AJ115" t="n">
        <v>0</v>
      </c>
      <c r="AK115" t="n">
        <v>0</v>
      </c>
      <c r="AL115" t="n">
        <v>0</v>
      </c>
      <c r="AM115" t="n">
        <v>0</v>
      </c>
      <c r="AN115" t="n">
        <v>0</v>
      </c>
      <c r="AQ115" t="n">
        <v>0</v>
      </c>
      <c r="AR115" t="inlineStr">
        <is>
          <t>equipamento_alto</t>
        </is>
      </c>
      <c r="AS115" t="inlineStr">
        <is>
          <t>Eficientização do parque de IP com substituição maciça de luminárias por LED (empreitada, R$16,2 mi estimado); modernização, fora do escopo de manutenção corretiva/preventiva da empresa.</t>
        </is>
      </c>
      <c r="AT115" t="n">
        <v>0</v>
      </c>
      <c r="AU115" t="n">
        <v>0</v>
      </c>
    </row>
    <row r="116">
      <c r="A116" t="inlineStr">
        <is>
          <t>01165729000180_2026_304</t>
        </is>
      </c>
      <c r="B116" s="2" t="inlineStr">
        <is>
          <t>https://pncp.gov.br/app/editais/01165729000180/2026/304</t>
        </is>
      </c>
      <c r="C116" t="inlineStr">
        <is>
          <t>2026-09-27T04:23:30.267205+00:00</t>
        </is>
      </c>
      <c r="D116" t="inlineStr">
        <is>
          <t>GO</t>
        </is>
      </c>
      <c r="E116" t="inlineStr">
        <is>
          <t>GO</t>
        </is>
      </c>
      <c r="F116" t="inlineStr">
        <is>
          <t>Jataí</t>
        </is>
      </c>
      <c r="G116" t="inlineStr">
        <is>
          <t>MUNICIPIO DE JATAI</t>
        </is>
      </c>
      <c r="H116" t="inlineStr">
        <is>
          <t>Municipal</t>
        </is>
      </c>
      <c r="I116" t="inlineStr">
        <is>
          <t>2026-07-29T09:17:38</t>
        </is>
      </c>
      <c r="J116" t="inlineStr">
        <is>
          <t>Pregão - Eletrônico</t>
        </is>
      </c>
      <c r="K116" t="inlineStr">
        <is>
          <t>[Portal de Compras Públicas] - Contratação de empresas do ramo, pelo SISTEMA DE REGISTRO DE PREÇOS - SRP visando à eventual e futura locação, montagem, operação e desmontagem de decoração ambiental, sistemas de som e iluminação, serviços gráficos, serviço de buffet, fornecimento de uniformes, bem como são itens necessários para realização de eventos.</t>
        </is>
      </c>
      <c r="L116" t="b">
        <v>1</v>
      </c>
      <c r="M116" t="inlineStr">
        <is>
          <t>iluminacao_publica</t>
        </is>
      </c>
      <c r="N116" t="inlineStr">
        <is>
          <t>iluminacao_publica</t>
        </is>
      </c>
      <c r="O116" t="n">
        <v>65839.8</v>
      </c>
      <c r="P116" t="n">
        <v>17504.8</v>
      </c>
      <c r="Q116" t="n">
        <v>17504.8</v>
      </c>
      <c r="R116" t="n">
        <v>0</v>
      </c>
      <c r="S116" t="n">
        <v>0</v>
      </c>
      <c r="T116" t="n">
        <v>5</v>
      </c>
      <c r="U116" t="n">
        <v>3</v>
      </c>
      <c r="V116" t="n">
        <v>3</v>
      </c>
      <c r="W116" t="n">
        <v>2</v>
      </c>
      <c r="X116" t="n">
        <v>0</v>
      </c>
      <c r="Y116" t="n">
        <v>0</v>
      </c>
      <c r="Z116" t="n">
        <v>1</v>
      </c>
      <c r="AA116" t="n">
        <v>1</v>
      </c>
      <c r="AB116" t="n">
        <v>0</v>
      </c>
      <c r="AC116" t="n">
        <v>0</v>
      </c>
      <c r="AD116" t="n">
        <v>0</v>
      </c>
      <c r="AE116" t="n">
        <v>1</v>
      </c>
      <c r="AF116" t="inlineStr">
        <is>
          <t>JOSE L VIEIRA ALVES LTDA:ME</t>
        </is>
      </c>
      <c r="AH116" t="inlineStr">
        <is>
          <t>pontual</t>
        </is>
      </c>
      <c r="AI116" t="n">
        <v>12</v>
      </c>
      <c r="AJ116" t="n">
        <v>0</v>
      </c>
      <c r="AK116" t="n">
        <v>0</v>
      </c>
      <c r="AL116" t="n">
        <v>0</v>
      </c>
      <c r="AM116" t="n">
        <v>1</v>
      </c>
      <c r="AN116" t="n">
        <v>0</v>
      </c>
      <c r="AQ116" t="n">
        <v>1</v>
      </c>
      <c r="AR116" t="inlineStr">
        <is>
          <t>mencao_passagem</t>
        </is>
      </c>
      <c r="AS116" t="inlineStr">
        <is>
          <t>Locação de decoração ambiental, som/iluminação, buffet, uniformes para eventos; não é manutenção de IP.</t>
        </is>
      </c>
      <c r="AT116" t="n">
        <v>1</v>
      </c>
      <c r="AU116" t="n">
        <v>0</v>
      </c>
    </row>
    <row r="117">
      <c r="A117" t="inlineStr">
        <is>
          <t>01165729000180_2026_92</t>
        </is>
      </c>
      <c r="B117" s="2" t="inlineStr">
        <is>
          <t>https://pncp.gov.br/app/editais/01165729000180/2026/92</t>
        </is>
      </c>
      <c r="C117" t="inlineStr">
        <is>
          <t>2026-09-27T04:38:38.588094+00:00</t>
        </is>
      </c>
      <c r="D117" t="inlineStr">
        <is>
          <t>GO</t>
        </is>
      </c>
      <c r="E117" t="inlineStr">
        <is>
          <t>GO</t>
        </is>
      </c>
      <c r="F117" t="inlineStr">
        <is>
          <t>Jataí</t>
        </is>
      </c>
      <c r="G117" t="inlineStr">
        <is>
          <t>MUNICIPIO DE JATAI</t>
        </is>
      </c>
      <c r="H117" t="inlineStr">
        <is>
          <t>Municipal</t>
        </is>
      </c>
      <c r="I117" t="inlineStr">
        <is>
          <t>2026-03-13T08:26:45</t>
        </is>
      </c>
      <c r="J117" t="inlineStr">
        <is>
          <t>Pregão - Eletrônico</t>
        </is>
      </c>
      <c r="K117" t="inlineStr">
        <is>
          <t>[Portal de Compras Públicas] - Contratação de empresas do ramo, pelo SISTEMA DE REGISTRO DE PREÇOS - SRP visando à eventual e futura locação, montagem, operação e desmontagem de decoração ambiental, sistemas de som e iluminação, serviços gráficos, serviço de buffet, fornecimento de uniformes, bem como são itens necessários para realização de eventos.</t>
        </is>
      </c>
      <c r="L117" t="b">
        <v>1</v>
      </c>
      <c r="M117" t="inlineStr">
        <is>
          <t>iluminacao_publica</t>
        </is>
      </c>
      <c r="N117" t="inlineStr">
        <is>
          <t>iluminacao_publica</t>
        </is>
      </c>
      <c r="O117" t="n">
        <v>1498954.39</v>
      </c>
      <c r="P117" t="n">
        <v>910395</v>
      </c>
      <c r="Q117" t="n">
        <v>1116493.14</v>
      </c>
      <c r="R117" t="n">
        <v>0.1845941838926121</v>
      </c>
      <c r="S117" t="n">
        <v>0</v>
      </c>
      <c r="T117" t="n">
        <v>59</v>
      </c>
      <c r="U117" t="n">
        <v>40</v>
      </c>
      <c r="V117" t="n">
        <v>54</v>
      </c>
      <c r="W117" t="n">
        <v>0</v>
      </c>
      <c r="X117" t="n">
        <v>5</v>
      </c>
      <c r="Y117" t="n">
        <v>0</v>
      </c>
      <c r="Z117" t="n">
        <v>1</v>
      </c>
      <c r="AA117" t="n">
        <v>0</v>
      </c>
      <c r="AB117" t="n">
        <v>1</v>
      </c>
      <c r="AC117" t="n">
        <v>0</v>
      </c>
      <c r="AD117" t="n">
        <v>0</v>
      </c>
      <c r="AE117" t="n">
        <v>7</v>
      </c>
      <c r="AF117" t="inlineStr">
        <is>
          <t>NEUDES OLIVEIRA DE JESUS:ME; RIOLLI&amp;LIMA UNIFORMES LTDA:ME; SANTOS EVENTOS LTDA:EPP; ELIT KIDS PRESTACAO DE SERVICOS LTDA:ME; J.D.GOMES GRAFICA LTDA:ME; VERTICE EVENTOS LTDA:ME; FELIPE MAXIMO DE ASSIS SANTOS 04283807192:ME</t>
        </is>
      </c>
      <c r="AH117" t="inlineStr">
        <is>
          <t>pontual</t>
        </is>
      </c>
      <c r="AJ117" t="n">
        <v>0</v>
      </c>
      <c r="AK117" t="n">
        <v>0</v>
      </c>
      <c r="AL117" t="n">
        <v>0</v>
      </c>
      <c r="AM117" t="n">
        <v>0</v>
      </c>
      <c r="AN117" t="n">
        <v>0</v>
      </c>
      <c r="AQ117" t="n">
        <v>1</v>
      </c>
      <c r="AR117" t="inlineStr">
        <is>
          <t>mencao_passagem</t>
        </is>
      </c>
      <c r="AS117" t="inlineStr">
        <is>
          <t>Locação de decoração ambiental, som/iluminação, buffet, uniformes para eventos (mesma natureza do caso 304); não é manutenção de IP.</t>
        </is>
      </c>
      <c r="AT117" t="n">
        <v>1</v>
      </c>
      <c r="AU117" t="n">
        <v>0</v>
      </c>
    </row>
    <row r="118">
      <c r="A118" t="inlineStr">
        <is>
          <t>01170331000132_2025_110</t>
        </is>
      </c>
      <c r="B118" s="2" t="inlineStr">
        <is>
          <t>https://pncp.gov.br/app/editais/01170331000132/2025/110</t>
        </is>
      </c>
      <c r="C118" t="inlineStr">
        <is>
          <t>2026-09-27T03:20:44.991681+00:00</t>
        </is>
      </c>
      <c r="D118" t="inlineStr">
        <is>
          <t>GO</t>
        </is>
      </c>
      <c r="E118" t="inlineStr">
        <is>
          <t>GO</t>
        </is>
      </c>
      <c r="F118" t="inlineStr">
        <is>
          <t>Padre Bernardo</t>
        </is>
      </c>
      <c r="G118" t="inlineStr">
        <is>
          <t>MUNICIPIO DE PADRE BERNARDO</t>
        </is>
      </c>
      <c r="H118" t="inlineStr">
        <is>
          <t>Municipal</t>
        </is>
      </c>
      <c r="I118" t="inlineStr">
        <is>
          <t>2025-09-01T14:36:03</t>
        </is>
      </c>
      <c r="J118" t="inlineStr">
        <is>
          <t>Pregão - Eletrônico</t>
        </is>
      </c>
      <c r="K118" t="inlineStr">
        <is>
          <t>Contratação de pessoa jurídica para fornecimento de Materiais Elétricos em Geral, destinados à execução de atividades de manutenção preventiva e corretiva no sistema de iluminação pública e predial do Município de Padre Bernardo – GO.</t>
        </is>
      </c>
      <c r="L118" t="b">
        <v>1</v>
      </c>
      <c r="M118" t="inlineStr">
        <is>
          <t>iluminacao_publica</t>
        </is>
      </c>
      <c r="N118" t="inlineStr">
        <is>
          <t>iluminacao_publica</t>
        </is>
      </c>
      <c r="O118" t="n">
        <v>7074361.35</v>
      </c>
      <c r="P118" t="n">
        <v>799513.8999999999</v>
      </c>
      <c r="Q118" t="n">
        <v>1823854.765</v>
      </c>
      <c r="R118" t="n">
        <v>0.5616351064005911</v>
      </c>
      <c r="S118" t="n">
        <v>0</v>
      </c>
      <c r="T118" t="n">
        <v>119</v>
      </c>
      <c r="U118" t="n">
        <v>40</v>
      </c>
      <c r="V118" t="n">
        <v>119</v>
      </c>
      <c r="W118" t="n">
        <v>0</v>
      </c>
      <c r="X118" t="n">
        <v>0</v>
      </c>
      <c r="Y118" t="n">
        <v>0</v>
      </c>
      <c r="Z118" t="n">
        <v>0</v>
      </c>
      <c r="AA118" t="n">
        <v>0</v>
      </c>
      <c r="AB118" t="n">
        <v>0</v>
      </c>
      <c r="AC118" t="n">
        <v>0</v>
      </c>
      <c r="AD118" t="n">
        <v>0</v>
      </c>
      <c r="AE118" t="n">
        <v>5</v>
      </c>
      <c r="AF118" t="inlineStr">
        <is>
          <t>CENTRO OESTE DISTRIBUDORA E CONSTRUTORA LTDA:ME; TRIUNFO ILUMINAÇÃO LTDA:ME; BRASIL ILUMINAÇÃO E CONSTRUÇÃO EIRELI:ME; COMERCIAL MARTINS - MATERIAIS ELETRICOS LTDA:ME; MINAS BRAZIL DISTRIBUIDORA EIRELI:ME</t>
        </is>
      </c>
      <c r="AH118" t="inlineStr">
        <is>
          <t>pontual</t>
        </is>
      </c>
      <c r="AI118" t="n">
        <v>12</v>
      </c>
      <c r="AJ118" t="n">
        <v>0</v>
      </c>
      <c r="AK118" t="n">
        <v>0</v>
      </c>
      <c r="AL118" t="n">
        <v>0</v>
      </c>
      <c r="AM118" t="n">
        <v>0</v>
      </c>
      <c r="AN118" t="n">
        <v>0</v>
      </c>
      <c r="AQ118" t="n">
        <v>1</v>
      </c>
      <c r="AR118" t="inlineStr">
        <is>
          <t>fornecimento_puro</t>
        </is>
      </c>
      <c r="AS118" t="inlineStr">
        <is>
          <t>Registro de preços/contratação de fornecimento de materiais, sem mão de obra de manutenção contratada.</t>
        </is>
      </c>
      <c r="AT118" t="n">
        <v>1</v>
      </c>
      <c r="AU118" t="n">
        <v>0</v>
      </c>
    </row>
    <row r="119">
      <c r="A119" t="inlineStr">
        <is>
          <t>01170331000132_2026_66</t>
        </is>
      </c>
      <c r="B119" s="2" t="inlineStr">
        <is>
          <t>https://pncp.gov.br/app/editais/01170331000132/2026/66</t>
        </is>
      </c>
      <c r="C119" t="inlineStr">
        <is>
          <t>2026-09-27T03:36:44.243553+00:00</t>
        </is>
      </c>
      <c r="D119" t="inlineStr">
        <is>
          <t>GO</t>
        </is>
      </c>
      <c r="E119" t="inlineStr">
        <is>
          <t>GO</t>
        </is>
      </c>
      <c r="F119" t="inlineStr">
        <is>
          <t>Padre Bernardo</t>
        </is>
      </c>
      <c r="G119" t="inlineStr">
        <is>
          <t>MUNICIPIO DE PADRE BERNARDO</t>
        </is>
      </c>
      <c r="H119" t="inlineStr">
        <is>
          <t>Municipal</t>
        </is>
      </c>
      <c r="I119" t="inlineStr">
        <is>
          <t>2026-07-01T10:39:09</t>
        </is>
      </c>
      <c r="J119" t="inlineStr">
        <is>
          <t>Pregão - Eletrônico</t>
        </is>
      </c>
      <c r="K119" t="inlineStr">
        <is>
          <t>Solicitação de Adesão à Ata de Registro de Preços (ARP) – CIMINAS, para eventual e futura aquisição de acessórios e equipamentos, visando à manutenção da iluminação pública e ao fornecimento de suprimentos elétricos diversos.</t>
        </is>
      </c>
      <c r="L119" t="b">
        <v>1</v>
      </c>
      <c r="M119" t="inlineStr">
        <is>
          <t>iluminacao_publica</t>
        </is>
      </c>
      <c r="N119" t="inlineStr">
        <is>
          <t>iluminacao_publica</t>
        </is>
      </c>
      <c r="O119" t="n">
        <v>1118276.3</v>
      </c>
      <c r="P119" t="n">
        <v>1118048.58</v>
      </c>
      <c r="Q119" t="n">
        <v>1118276.296</v>
      </c>
      <c r="R119" t="n">
        <v>0.0002036312500001701</v>
      </c>
      <c r="S119" t="n">
        <v>0</v>
      </c>
      <c r="T119" t="n">
        <v>15</v>
      </c>
      <c r="U119" t="n">
        <v>15</v>
      </c>
      <c r="V119" t="n">
        <v>15</v>
      </c>
      <c r="W119" t="n">
        <v>0</v>
      </c>
      <c r="X119" t="n">
        <v>0</v>
      </c>
      <c r="Y119" t="n">
        <v>0</v>
      </c>
      <c r="Z119" t="n">
        <v>0</v>
      </c>
      <c r="AA119" t="n">
        <v>0</v>
      </c>
      <c r="AB119" t="n">
        <v>0</v>
      </c>
      <c r="AC119" t="n">
        <v>0</v>
      </c>
      <c r="AD119" t="n">
        <v>0</v>
      </c>
      <c r="AE119" t="n">
        <v>1</v>
      </c>
      <c r="AF119" t="inlineStr">
        <is>
          <t>BRASIL ILUMINAÇÃO E CONSTRUÇÃO EIRELI:Demais</t>
        </is>
      </c>
      <c r="AH119" t="inlineStr">
        <is>
          <t>pontual</t>
        </is>
      </c>
      <c r="AJ119" t="n">
        <v>0</v>
      </c>
      <c r="AK119" t="n">
        <v>0</v>
      </c>
      <c r="AL119" t="n">
        <v>0</v>
      </c>
      <c r="AM119" t="n">
        <v>0</v>
      </c>
      <c r="AN119" t="n">
        <v>0</v>
      </c>
      <c r="AQ119" t="n">
        <v>1</v>
      </c>
      <c r="AR119" t="inlineStr">
        <is>
          <t>fornecimento_puro</t>
        </is>
      </c>
      <c r="AS119" t="inlineStr">
        <is>
          <t>Registro de preços/contratação de fornecimento de materiais, sem mão de obra de manutenção contratada.</t>
        </is>
      </c>
      <c r="AT119" t="n">
        <v>1</v>
      </c>
      <c r="AU119" t="n">
        <v>0</v>
      </c>
    </row>
    <row r="120">
      <c r="A120" t="inlineStr">
        <is>
          <t>01174580000104_2026_49</t>
        </is>
      </c>
      <c r="B120" s="2" t="inlineStr">
        <is>
          <t>https://pncp.gov.br/app/editais/01174580000104/2026/49</t>
        </is>
      </c>
      <c r="C120" t="inlineStr">
        <is>
          <t>2026-09-27T03:43:30.339619+00:00</t>
        </is>
      </c>
      <c r="D120" t="inlineStr">
        <is>
          <t>GO</t>
        </is>
      </c>
      <c r="E120" t="inlineStr">
        <is>
          <t>GO</t>
        </is>
      </c>
      <c r="F120" t="inlineStr">
        <is>
          <t>Marzagão</t>
        </is>
      </c>
      <c r="G120" t="inlineStr">
        <is>
          <t>MUNICIPIO DE MARZAGAO</t>
        </is>
      </c>
      <c r="H120" t="inlineStr">
        <is>
          <t>Municipal</t>
        </is>
      </c>
      <c r="I120" t="inlineStr">
        <is>
          <t>2026-05-07T10:15:57</t>
        </is>
      </c>
      <c r="J120" t="inlineStr">
        <is>
          <t>Pregão - Eletrônico</t>
        </is>
      </c>
      <c r="K120" t="inlineStr">
        <is>
          <t>CONTRATAÇÃO DE EMPRESA ESPECIALIZADA PARA O FORNECIMENTO, INSTALAÇÃO, MONTAGEM, COMISSIONAMENTO E ENTRADA EM OPERAÇÃO DE USINA DE GERAÇÃO DE ENERGIA ELÉTRICA POR MEIO DE SISTEMA FOTOVOLTAICO CONECTADO À REDE, A SER IMPLANTADA NO MUNICÍPIO DE MARZAGÃO/GO.</t>
        </is>
      </c>
      <c r="L120" t="b">
        <v>1</v>
      </c>
      <c r="M120" t="inlineStr">
        <is>
          <t>eletrica_predial</t>
        </is>
      </c>
      <c r="N120" t="inlineStr">
        <is>
          <t>eletrica_predial</t>
        </is>
      </c>
      <c r="O120" t="n">
        <v>3010563.6</v>
      </c>
      <c r="P120" t="n">
        <v>2714712.55</v>
      </c>
      <c r="Q120" t="n">
        <v>3010563.6</v>
      </c>
      <c r="R120" t="n">
        <v>0.09827098487472585</v>
      </c>
      <c r="S120" t="n">
        <v>0</v>
      </c>
      <c r="T120" t="n">
        <v>1</v>
      </c>
      <c r="U120" t="n">
        <v>1</v>
      </c>
      <c r="V120" t="n">
        <v>1</v>
      </c>
      <c r="W120" t="n">
        <v>0</v>
      </c>
      <c r="X120" t="n">
        <v>0</v>
      </c>
      <c r="Y120" t="n">
        <v>0</v>
      </c>
      <c r="Z120" t="n">
        <v>0</v>
      </c>
      <c r="AA120" t="n">
        <v>0</v>
      </c>
      <c r="AB120" t="n">
        <v>0</v>
      </c>
      <c r="AC120" t="n">
        <v>0</v>
      </c>
      <c r="AD120" t="n">
        <v>0</v>
      </c>
      <c r="AE120" t="n">
        <v>1</v>
      </c>
      <c r="AF120" t="inlineStr">
        <is>
          <t>IPS CONLESTE LTDA:Demais</t>
        </is>
      </c>
      <c r="AH120" t="inlineStr">
        <is>
          <t>pontual</t>
        </is>
      </c>
      <c r="AJ120" t="n">
        <v>0</v>
      </c>
      <c r="AK120" t="n">
        <v>0</v>
      </c>
      <c r="AL120" t="n">
        <v>0</v>
      </c>
      <c r="AM120" t="n">
        <v>0</v>
      </c>
      <c r="AN120" t="n">
        <v>0</v>
      </c>
      <c r="AQ120" t="n">
        <v>0</v>
      </c>
      <c r="AR120" t="inlineStr">
        <is>
          <t>equipamento_alto</t>
        </is>
      </c>
      <c r="AS120" t="inlineStr">
        <is>
          <t>Usina de geracao solar fotovoltaica nova (implantacao on-grid), com laudos estruturais e aprovacao junto a concessionaria -- equipamento_alto (usina solar), a heuristica automatica nao capturou esta ocorrencia especifica.</t>
        </is>
      </c>
      <c r="AT120" t="n">
        <v>0</v>
      </c>
      <c r="AU120" t="n">
        <v>0</v>
      </c>
    </row>
    <row r="121">
      <c r="A121" t="inlineStr">
        <is>
          <t>01179647000195_2026_156</t>
        </is>
      </c>
      <c r="B121" s="2" t="inlineStr">
        <is>
          <t>https://pncp.gov.br/app/editais/01179647000195/2026/156</t>
        </is>
      </c>
      <c r="C121" t="inlineStr">
        <is>
          <t>2026-09-27T03:45:48.486119+00:00</t>
        </is>
      </c>
      <c r="D121" t="inlineStr">
        <is>
          <t>GO</t>
        </is>
      </c>
      <c r="E121" t="inlineStr">
        <is>
          <t>GO</t>
        </is>
      </c>
      <c r="F121" t="inlineStr">
        <is>
          <t>Piracanjuba</t>
        </is>
      </c>
      <c r="G121" t="inlineStr">
        <is>
          <t>MUNICIPIO DE PIRACANJUBA</t>
        </is>
      </c>
      <c r="H121" t="inlineStr">
        <is>
          <t>Municipal</t>
        </is>
      </c>
      <c r="I121" t="inlineStr">
        <is>
          <t>2026-04-29T10:10:29</t>
        </is>
      </c>
      <c r="J121" t="inlineStr">
        <is>
          <t>Pregão - Eletrônico</t>
        </is>
      </c>
      <c r="K121" t="inlineStr">
        <is>
          <t>PRESTAÇÃO DE SERVIÇOS MECÂNICOS, FUNILARIA, ELÉTRICA E ELETRÔNICA.</t>
        </is>
      </c>
      <c r="L121" t="b">
        <v>1</v>
      </c>
      <c r="M121" t="inlineStr">
        <is>
          <t>eletrica_predial</t>
        </is>
      </c>
      <c r="N121" t="inlineStr">
        <is>
          <t>eletrica_predial</t>
        </is>
      </c>
      <c r="O121" t="n">
        <v>4770920</v>
      </c>
      <c r="P121" t="n">
        <v>4697200</v>
      </c>
      <c r="Q121" t="n">
        <v>4770920</v>
      </c>
      <c r="R121" t="n">
        <v>0.01545194637512261</v>
      </c>
      <c r="S121" t="n">
        <v>0</v>
      </c>
      <c r="T121" t="n">
        <v>4</v>
      </c>
      <c r="U121" t="n">
        <v>4</v>
      </c>
      <c r="V121" t="n">
        <v>4</v>
      </c>
      <c r="W121" t="n">
        <v>0</v>
      </c>
      <c r="X121" t="n">
        <v>0</v>
      </c>
      <c r="Y121" t="n">
        <v>0</v>
      </c>
      <c r="Z121" t="n">
        <v>0</v>
      </c>
      <c r="AA121" t="n">
        <v>0</v>
      </c>
      <c r="AB121" t="n">
        <v>0</v>
      </c>
      <c r="AC121" t="n">
        <v>0</v>
      </c>
      <c r="AD121" t="n">
        <v>0</v>
      </c>
      <c r="AE121" t="n">
        <v>2</v>
      </c>
      <c r="AF121" t="inlineStr">
        <is>
          <t>AC EMPREENDIMENTOS LTDA:ME; JL PECAS E SERVICOS LTDA:ME</t>
        </is>
      </c>
      <c r="AH121" t="inlineStr">
        <is>
          <t>pontual</t>
        </is>
      </c>
      <c r="AI121" t="n">
        <v>6</v>
      </c>
      <c r="AJ121" t="n">
        <v>0</v>
      </c>
      <c r="AK121" t="n">
        <v>0</v>
      </c>
      <c r="AL121" t="n">
        <v>0</v>
      </c>
      <c r="AM121" t="n">
        <v>1</v>
      </c>
      <c r="AN121" t="n">
        <v>0</v>
      </c>
      <c r="AP121" t="inlineStr">
        <is>
          <t>ituída há menos de 02 (dois) anos. IV. QUALIFICAÇÃO TÉCNICA a) A Proponente deverá apresentar Atestado de Capacidade Técnica Operacional emitido por pessoa jurídica de direito público ou privado, que comprove Página 19 de 107 PREFEITURA MUNICIPAL DE PIRACANJUBA Praça Wilson Eloy Pimenta, R. P</t>
        </is>
      </c>
      <c r="AQ121" t="n">
        <v>1</v>
      </c>
      <c r="AR121" t="inlineStr">
        <is>
          <t>fornecimento_puro</t>
        </is>
      </c>
      <c r="AS121" t="inlineStr">
        <is>
          <t>Confirmada exclusao automatica (fornecimento_puro): 4 item(ns), todos classificados como material (sem servico).</t>
        </is>
      </c>
      <c r="AT121" t="n">
        <v>1</v>
      </c>
      <c r="AU121" t="n">
        <v>0</v>
      </c>
    </row>
    <row r="122">
      <c r="A122" t="inlineStr">
        <is>
          <t>01181169000158_2026_1</t>
        </is>
      </c>
      <c r="B122" s="2" t="inlineStr">
        <is>
          <t>https://pncp.gov.br/app/editais/01181169000158/2026/1</t>
        </is>
      </c>
      <c r="C122" t="inlineStr">
        <is>
          <t>2026-09-27T05:32:14.230484+00:00</t>
        </is>
      </c>
      <c r="D122" t="inlineStr">
        <is>
          <t>TO</t>
        </is>
      </c>
      <c r="E122" t="inlineStr">
        <is>
          <t>vizinhos</t>
        </is>
      </c>
      <c r="F122" t="inlineStr">
        <is>
          <t>Paraíso do Tocantins</t>
        </is>
      </c>
      <c r="G122" t="inlineStr">
        <is>
          <t>ASSOCIACAO DE APOIO DO CEM JOSE ALVES DE ASSIS</t>
        </is>
      </c>
      <c r="H122" t="inlineStr">
        <is>
          <t>Não se aplica</t>
        </is>
      </c>
      <c r="I122" t="inlineStr">
        <is>
          <t>2026-05-07T07:08:07</t>
        </is>
      </c>
      <c r="J122" t="inlineStr">
        <is>
          <t>Pregão - Eletrônico</t>
        </is>
      </c>
      <c r="K122" t="inlineStr">
        <is>
          <t>Prestação de serviços de manutenção preventiva e corretiva predial de bens móveis e imóveis, manutenção preventiva e corretiva elétrica, hidráulica, pintura, serralheria, tapeçaria, vidraçaria, refrigeração, serviços gráficos, manutenção e câmeras de segurança, marcenaria, telhados, forros e calhas, incluindo, ferramentas, locação de equipamentos e máquinas, EPIs, uniformes e todos os insumos, materiais de consumo, para a realização do serviço, bem como, outros.</t>
        </is>
      </c>
      <c r="L122" t="b">
        <v>1</v>
      </c>
      <c r="M122" t="inlineStr">
        <is>
          <t>eletrica_predial</t>
        </is>
      </c>
      <c r="N122" t="inlineStr">
        <is>
          <t>eletrica_predial</t>
        </is>
      </c>
      <c r="O122" t="n">
        <v>737998.88</v>
      </c>
      <c r="P122" t="n">
        <v>608581.8</v>
      </c>
      <c r="Q122" t="n">
        <v>737998.8799999999</v>
      </c>
      <c r="R122" t="n">
        <v>0.2322728186254159</v>
      </c>
      <c r="S122" t="n">
        <v>0</v>
      </c>
      <c r="T122" t="n">
        <v>19</v>
      </c>
      <c r="U122" t="n">
        <v>18</v>
      </c>
      <c r="V122" t="n">
        <v>18</v>
      </c>
      <c r="W122" t="n">
        <v>0</v>
      </c>
      <c r="X122" t="n">
        <v>0</v>
      </c>
      <c r="Y122" t="n">
        <v>1</v>
      </c>
      <c r="Z122" t="n">
        <v>0</v>
      </c>
      <c r="AA122" t="n">
        <v>0</v>
      </c>
      <c r="AB122" t="n">
        <v>1</v>
      </c>
      <c r="AC122" t="n">
        <v>0</v>
      </c>
      <c r="AD122" t="n">
        <v>0</v>
      </c>
      <c r="AE122" t="n">
        <v>8</v>
      </c>
      <c r="AF122" t="inlineStr">
        <is>
          <t>A A ROCHA LTDA:ME; ALFA COMERCIO E SERVICOS LTDA:ME; M C R COMERCIO REPRESENTACOES E SERVICOS LTDA:ME; 58.538.301 SAMUEL COSTA SILVA:ME; HG COMERCIO E SERVICOS LTDA:ME; VRINFO SOLUCOES EM TI SERVICO LTDA:ME; MORIA DEDETIZADORA E ENGENHARIA LTDA:ME; S M LOPES:ME</t>
        </is>
      </c>
      <c r="AH122" t="inlineStr">
        <is>
          <t>continuado</t>
        </is>
      </c>
      <c r="AJ122" t="n">
        <v>0</v>
      </c>
      <c r="AK122" t="n">
        <v>0</v>
      </c>
      <c r="AL122" t="n">
        <v>0</v>
      </c>
      <c r="AM122" t="n">
        <v>0</v>
      </c>
      <c r="AN122" t="n">
        <v>0</v>
      </c>
      <c r="AQ122" t="n">
        <v>0</v>
      </c>
      <c r="AS122" t="inlineStr">
        <is>
          <t>Servico CONTINUADO de manutencao predial multi-oficio (eletrica, hidraulica, pintura, serralheria, tapecaria, vidracaria, refrigeracao, telhados) para orgao publico em TO, 19 itens, R$737,9 mil estimado. Contrato "guarda-chuva" alem do nucleo eletrico -- empresa tem eletricistas e tecnicos de refrigeracao, mas precisaria cobrir/subcontratar pintura, serralheria, tapecaria, vidracaria e marcenaria; avaliar caso a caso antes de disputar sozinha.</t>
        </is>
      </c>
      <c r="AT122" t="n">
        <v>0</v>
      </c>
      <c r="AU122" t="n">
        <v>1</v>
      </c>
    </row>
    <row r="123">
      <c r="A123" t="inlineStr">
        <is>
          <t>01181239000178_2026_4</t>
        </is>
      </c>
      <c r="B123" s="2" t="inlineStr">
        <is>
          <t>https://pncp.gov.br/app/editais/01181239000178/2026/4</t>
        </is>
      </c>
      <c r="C123" t="inlineStr">
        <is>
          <t>2026-09-27T03:44:14.633892+00:00</t>
        </is>
      </c>
      <c r="D123" t="inlineStr">
        <is>
          <t>GO</t>
        </is>
      </c>
      <c r="E123" t="inlineStr">
        <is>
          <t>GO</t>
        </is>
      </c>
      <c r="F123" t="inlineStr">
        <is>
          <t>Palmelo</t>
        </is>
      </c>
      <c r="G123" t="inlineStr">
        <is>
          <t>MUNICIPIO DE PALMELO</t>
        </is>
      </c>
      <c r="H123" t="inlineStr">
        <is>
          <t>Municipal</t>
        </is>
      </c>
      <c r="I123" t="inlineStr">
        <is>
          <t>2026-05-05T13:32:04</t>
        </is>
      </c>
      <c r="J123" t="inlineStr">
        <is>
          <t>Pregão - Presencial</t>
        </is>
      </c>
      <c r="K123" t="inlineStr">
        <is>
          <t>REGISTRO DE PREÇOS PARA EVENTUAL E FUTURA AQUISIÇÃO PARCELADA DE MATERIAIS DE CONSTRUÇÃO E MATERIAIS ELÉTRICOS, DESTINADOS À MANUTENÇÃO, CONSERVAÇÃO E EXECUÇÃO DE SERVIÇOS PÚBLICOS DO MUNICÍPIO DE PALMELO/GO</t>
        </is>
      </c>
      <c r="L123" t="b">
        <v>1</v>
      </c>
      <c r="M123" t="inlineStr">
        <is>
          <t>eletrica_predial</t>
        </is>
      </c>
      <c r="N123" t="inlineStr">
        <is>
          <t>eletrica_predial</t>
        </is>
      </c>
      <c r="O123" t="n">
        <v>9969416.220000001</v>
      </c>
      <c r="P123" t="n">
        <v>1396041.1</v>
      </c>
      <c r="Q123" t="n">
        <v>1971797.465</v>
      </c>
      <c r="R123" t="n">
        <v>0.09877478212499882</v>
      </c>
      <c r="S123" t="n">
        <v>0</v>
      </c>
      <c r="T123" t="n">
        <v>411</v>
      </c>
      <c r="U123" t="n">
        <v>40</v>
      </c>
      <c r="V123" t="n">
        <v>397</v>
      </c>
      <c r="W123" t="n">
        <v>0</v>
      </c>
      <c r="X123" t="n">
        <v>11</v>
      </c>
      <c r="Y123" t="n">
        <v>0</v>
      </c>
      <c r="Z123" t="n">
        <v>1</v>
      </c>
      <c r="AA123" t="n">
        <v>0</v>
      </c>
      <c r="AB123" t="n">
        <v>0</v>
      </c>
      <c r="AC123" t="n">
        <v>1</v>
      </c>
      <c r="AD123" t="n">
        <v>0</v>
      </c>
      <c r="AE123" t="n">
        <v>5</v>
      </c>
      <c r="AF123" t="inlineStr">
        <is>
          <t>JM SAUD CONSTRUTORA LTDA:ME; CONSTRURIO MATERIAIS DE CONSTRUÇÃO LTDA:ME; GECASA MATERIAL DE CONSTRUÇAO E ENGENHARIA LTDA:ME; LRS SOLUCOES E SERVICOS LTDA:ME; LED BOM COMERCIO E SERVICOS LTDA:ME</t>
        </is>
      </c>
      <c r="AH123" t="inlineStr">
        <is>
          <t>pontual</t>
        </is>
      </c>
      <c r="AI123" t="n">
        <v>12</v>
      </c>
      <c r="AJ123" t="n">
        <v>0</v>
      </c>
      <c r="AK123" t="n">
        <v>0</v>
      </c>
      <c r="AL123" t="n">
        <v>0</v>
      </c>
      <c r="AM123" t="n">
        <v>0</v>
      </c>
      <c r="AN123" t="n">
        <v>0</v>
      </c>
      <c r="AQ123" t="n">
        <v>1</v>
      </c>
      <c r="AR123" t="inlineStr">
        <is>
          <t>fornecimento_puro</t>
        </is>
      </c>
      <c r="AS123" t="inlineStr">
        <is>
          <t>Confirmada exclusao automatica (fornecimento_puro): 411 item(ns), todos classificados como material (sem servico).</t>
        </is>
      </c>
      <c r="AT123" t="n">
        <v>1</v>
      </c>
      <c r="AU123" t="n">
        <v>0</v>
      </c>
    </row>
    <row r="124">
      <c r="A124" t="inlineStr">
        <is>
          <t>01181585000156_2026_59</t>
        </is>
      </c>
      <c r="B124" s="2" t="inlineStr">
        <is>
          <t>https://pncp.gov.br/app/editais/01181585000156/2026/59</t>
        </is>
      </c>
      <c r="C124" t="inlineStr">
        <is>
          <t>2026-09-27T03:48:46.386529+00:00</t>
        </is>
      </c>
      <c r="D124" t="inlineStr">
        <is>
          <t>GO</t>
        </is>
      </c>
      <c r="E124" t="inlineStr">
        <is>
          <t>GO</t>
        </is>
      </c>
      <c r="F124" t="inlineStr">
        <is>
          <t>Pires do Rio</t>
        </is>
      </c>
      <c r="G124" t="inlineStr">
        <is>
          <t>MUNICIPIO DE PIRES DO RIO</t>
        </is>
      </c>
      <c r="H124" t="inlineStr">
        <is>
          <t>Municipal</t>
        </is>
      </c>
      <c r="I124" t="inlineStr">
        <is>
          <t>2026-04-17T15:44:02</t>
        </is>
      </c>
      <c r="J124" t="inlineStr">
        <is>
          <t>Pregão - Eletrônico</t>
        </is>
      </c>
      <c r="K124" t="inlineStr">
        <is>
          <t>REGISTRO DE PREÇOS PARA FUTURA E EVENTUAL AQUISIÇÃO DE MATERIAIS ELÉTRICOS EM GERAL, MATERIAIS PARA ILUMINAÇÃO PÚBLICA E ARTIGOS DE DECORAÇÃO NATALINA ILUMINADA, DESTINADOS À MANUTENÇÃO DAS INSTALAÇÕES ELÉTRICAS DE PRÉDIOS PÚBLICOS, VIAS E ESPAÇOS PÚBLICOS, BEM COMO À ORNAMENTAÇÃO NATALINA DO MUNICÍPIO, VISANDO ATENDER ÀS NECESSIDADES DA ADMINISTRAÇÃO MUNICIPAL.</t>
        </is>
      </c>
      <c r="L124" t="b">
        <v>1</v>
      </c>
      <c r="M124" t="inlineStr">
        <is>
          <t>iluminacao_publica</t>
        </is>
      </c>
      <c r="N124" t="inlineStr">
        <is>
          <t>iluminacao_publica</t>
        </is>
      </c>
      <c r="O124" t="n">
        <v>3122373.59</v>
      </c>
      <c r="P124" t="n">
        <v>236421.5</v>
      </c>
      <c r="Q124" t="n">
        <v>767272.96</v>
      </c>
      <c r="R124" t="n">
        <v>0.6918678067320396</v>
      </c>
      <c r="S124" t="n">
        <v>0</v>
      </c>
      <c r="T124" t="n">
        <v>87</v>
      </c>
      <c r="U124" t="n">
        <v>40</v>
      </c>
      <c r="V124" t="n">
        <v>87</v>
      </c>
      <c r="W124" t="n">
        <v>0</v>
      </c>
      <c r="X124" t="n">
        <v>0</v>
      </c>
      <c r="Y124" t="n">
        <v>0</v>
      </c>
      <c r="Z124" t="n">
        <v>0</v>
      </c>
      <c r="AA124" t="n">
        <v>0</v>
      </c>
      <c r="AB124" t="n">
        <v>1</v>
      </c>
      <c r="AC124" t="n">
        <v>0</v>
      </c>
      <c r="AD124" t="n">
        <v>0</v>
      </c>
      <c r="AE124" t="n">
        <v>3</v>
      </c>
      <c r="AF124" t="inlineStr">
        <is>
          <t>OUROLUZ MATERIAIS ELETRICOS E ILUMINAÇÃO LTDA:ME; ILUMINA GOIAS ILUMINAÇÃO LTDA:ME; O C OBRAS E ENGENHARIA LTDA:ME</t>
        </is>
      </c>
      <c r="AH124" t="inlineStr">
        <is>
          <t>pontual</t>
        </is>
      </c>
      <c r="AJ124" t="n">
        <v>0</v>
      </c>
      <c r="AK124" t="n">
        <v>0</v>
      </c>
      <c r="AL124" t="n">
        <v>0</v>
      </c>
      <c r="AM124" t="n">
        <v>0</v>
      </c>
      <c r="AN124" t="n">
        <v>0</v>
      </c>
      <c r="AQ124" t="n">
        <v>1</v>
      </c>
      <c r="AR124" t="inlineStr">
        <is>
          <t>fornecimento_puro</t>
        </is>
      </c>
      <c r="AS124" t="inlineStr">
        <is>
          <t>Registro de preços/contratação de fornecimento de materiais, sem mão de obra de manutenção contratada.</t>
        </is>
      </c>
      <c r="AT124" t="n">
        <v>1</v>
      </c>
      <c r="AU124" t="n">
        <v>0</v>
      </c>
    </row>
    <row r="125">
      <c r="A125" t="inlineStr">
        <is>
          <t>01184383000168_2026_2</t>
        </is>
      </c>
      <c r="B125" s="2" t="inlineStr">
        <is>
          <t>https://pncp.gov.br/app/editais/01184383000168/2026/2</t>
        </is>
      </c>
      <c r="C125" t="inlineStr">
        <is>
          <t>2026-09-27T05:38:58.158076+00:00</t>
        </is>
      </c>
      <c r="D125" t="inlineStr">
        <is>
          <t>TO</t>
        </is>
      </c>
      <c r="E125" t="inlineStr">
        <is>
          <t>vizinhos</t>
        </is>
      </c>
      <c r="F125" t="inlineStr">
        <is>
          <t>Divinópolis do Tocantins</t>
        </is>
      </c>
      <c r="G125" t="inlineStr">
        <is>
          <t>ASSOCIACAO DE APOIO DO COLEGIO ESTADUAL JOAO DIAS SOBRINHO</t>
        </is>
      </c>
      <c r="H125" t="inlineStr">
        <is>
          <t>Não se aplica</t>
        </is>
      </c>
      <c r="I125" t="inlineStr">
        <is>
          <t>2026-06-19T07:07:49</t>
        </is>
      </c>
      <c r="J125" t="inlineStr">
        <is>
          <t>Pregão - Eletrônico</t>
        </is>
      </c>
      <c r="K125" t="inlineStr">
        <is>
          <t>A presente contratação tem como finalidade atender à necessidade de aquisição de materiais de consumo e manutenção,  compreendendo materiais de limpeza, higiene, proteção individual, descartáveis, utensílios de copa e cozinha e materiais  elétricos, destinado ao atendimento das necessidades do Colégio Estadual João Dias Sobrinho.</t>
        </is>
      </c>
      <c r="L125" t="b">
        <v>1</v>
      </c>
      <c r="M125" t="inlineStr">
        <is>
          <t>eletrica_predial</t>
        </is>
      </c>
      <c r="N125" t="inlineStr">
        <is>
          <t>eletrica_predial</t>
        </is>
      </c>
      <c r="O125" t="n">
        <v>42029.15</v>
      </c>
      <c r="P125" t="n">
        <v>21997.74</v>
      </c>
      <c r="Q125" t="n">
        <v>42029.14999999999</v>
      </c>
      <c r="R125" t="n">
        <v>0.4766076428551566</v>
      </c>
      <c r="S125" t="n">
        <v>0</v>
      </c>
      <c r="T125" t="n">
        <v>30</v>
      </c>
      <c r="U125" t="n">
        <v>30</v>
      </c>
      <c r="V125" t="n">
        <v>30</v>
      </c>
      <c r="W125" t="n">
        <v>0</v>
      </c>
      <c r="X125" t="n">
        <v>0</v>
      </c>
      <c r="Y125" t="n">
        <v>0</v>
      </c>
      <c r="Z125" t="n">
        <v>0</v>
      </c>
      <c r="AA125" t="n">
        <v>1</v>
      </c>
      <c r="AB125" t="n">
        <v>0</v>
      </c>
      <c r="AC125" t="n">
        <v>0</v>
      </c>
      <c r="AD125" t="n">
        <v>0</v>
      </c>
      <c r="AE125" t="n">
        <v>6</v>
      </c>
      <c r="AF125" t="inlineStr">
        <is>
          <t>LUMINATA DISTRIBUIDORA LTDA:ME; DPEL DISTRIBUIDORA DE PAPELARIA E LIMPEZA LTDA:ME; O IMPERIO MATERIAIS DE CONSTRUCAO LTDA:ME; RI SOLUCOES CORPORATIVAS LTDA:ME; SOUZA E COSTA COMERCIO DE MAT PARA CONSTRUCAO LTDA:ME; A A ROCHA LTDA:ME</t>
        </is>
      </c>
      <c r="AH125" t="inlineStr">
        <is>
          <t>pontual</t>
        </is>
      </c>
      <c r="AJ125" t="n">
        <v>0</v>
      </c>
      <c r="AK125" t="n">
        <v>0</v>
      </c>
      <c r="AL125" t="n">
        <v>0</v>
      </c>
      <c r="AM125" t="n">
        <v>0</v>
      </c>
      <c r="AN125" t="n">
        <v>0</v>
      </c>
      <c r="AQ125" t="n">
        <v>1</v>
      </c>
      <c r="AR125" t="inlineStr">
        <is>
          <t>fornecimento_puro</t>
        </is>
      </c>
      <c r="AS125" t="inlineStr">
        <is>
          <t>Confirmada exclusao automatica (fornecimento_puro): 30 item(ns), todos classificados como material (sem servico).</t>
        </is>
      </c>
      <c r="AT125" t="n">
        <v>1</v>
      </c>
      <c r="AU125" t="n">
        <v>0</v>
      </c>
    </row>
    <row r="126">
      <c r="A126" t="inlineStr">
        <is>
          <t>01184383000168_2026_3</t>
        </is>
      </c>
      <c r="B126" s="2" t="inlineStr">
        <is>
          <t>https://pncp.gov.br/app/editais/01184383000168/2026/3</t>
        </is>
      </c>
      <c r="C126" t="inlineStr">
        <is>
          <t>2026-09-27T05:30:47.087379+00:00</t>
        </is>
      </c>
      <c r="D126" t="inlineStr">
        <is>
          <t>TO</t>
        </is>
      </c>
      <c r="E126" t="inlineStr">
        <is>
          <t>vizinhos</t>
        </is>
      </c>
      <c r="F126" t="inlineStr">
        <is>
          <t>Divinópolis do Tocantins</t>
        </is>
      </c>
      <c r="G126" t="inlineStr">
        <is>
          <t>ASSOCIACAO DE APOIO DO COLEGIO ESTADUAL JOAO DIAS SOBRINHO</t>
        </is>
      </c>
      <c r="H126" t="inlineStr">
        <is>
          <t>Não se aplica</t>
        </is>
      </c>
      <c r="I126" t="inlineStr">
        <is>
          <t>2026-06-29T07:06:45</t>
        </is>
      </c>
      <c r="J126" t="inlineStr">
        <is>
          <t>Pregão - Eletrônico</t>
        </is>
      </c>
      <c r="K126" t="inlineStr">
        <is>
          <t>Registro de preços para a contratação de empresa especializada para a  prestação de serviços de manutenção preventiva e corretiva em equipamentos  eletrodomésticos, câmeras de vigilância e aparelhos de ar-condicionado tipo  Split pertencentes ao Colégio Estadual João Dias Sobrinho, com fornecimento  de mão de obra qualificada, materiais, peças de reposição, gás refrigerante e  demais insumos necessários à execução dos serviços.</t>
        </is>
      </c>
      <c r="L126" t="b">
        <v>1</v>
      </c>
      <c r="M126" t="inlineStr">
        <is>
          <t>climatizacao</t>
        </is>
      </c>
      <c r="N126" t="inlineStr">
        <is>
          <t>climatizacao</t>
        </is>
      </c>
      <c r="O126" t="n">
        <v>25800</v>
      </c>
      <c r="P126" t="n">
        <v>13826.9</v>
      </c>
      <c r="Q126" t="n">
        <v>25800</v>
      </c>
      <c r="R126" t="n">
        <v>0.4640736434108527</v>
      </c>
      <c r="S126" t="n">
        <v>0</v>
      </c>
      <c r="T126" t="n">
        <v>4</v>
      </c>
      <c r="U126" t="n">
        <v>4</v>
      </c>
      <c r="V126" t="n">
        <v>4</v>
      </c>
      <c r="W126" t="n">
        <v>0</v>
      </c>
      <c r="X126" t="n">
        <v>0</v>
      </c>
      <c r="Y126" t="n">
        <v>0</v>
      </c>
      <c r="Z126" t="n">
        <v>0</v>
      </c>
      <c r="AA126" t="n">
        <v>1</v>
      </c>
      <c r="AB126" t="n">
        <v>0</v>
      </c>
      <c r="AC126" t="n">
        <v>0</v>
      </c>
      <c r="AD126" t="n">
        <v>0</v>
      </c>
      <c r="AE126" t="n">
        <v>2</v>
      </c>
      <c r="AF126" t="inlineStr">
        <is>
          <t>RI SOLUCOES CORPORATIVAS LTDA:ME; 42.085.751 GEOVANNE LIMA SANTOS:ME</t>
        </is>
      </c>
      <c r="AH126" t="inlineStr">
        <is>
          <t>pontual</t>
        </is>
      </c>
      <c r="AJ126" t="n">
        <v>0</v>
      </c>
      <c r="AK126" t="n">
        <v>0</v>
      </c>
      <c r="AL126" t="n">
        <v>0</v>
      </c>
      <c r="AM126" t="n">
        <v>0</v>
      </c>
      <c r="AN126" t="n">
        <v>0</v>
      </c>
      <c r="AQ126" t="n">
        <v>0</v>
      </c>
      <c r="AS126" t="inlineStr">
        <is>
          <t>Servico de manutencao preventiva/corretiva com fornecimento de mao de obra, pecas e gas refrigerante em AC split (e outros eletrodomesticos).</t>
        </is>
      </c>
      <c r="AT126" t="n">
        <v>0</v>
      </c>
      <c r="AU126" t="n">
        <v>1</v>
      </c>
    </row>
    <row r="127">
      <c r="A127" t="inlineStr">
        <is>
          <t>01210830000106_2025_136</t>
        </is>
      </c>
      <c r="B127" s="2" t="inlineStr">
        <is>
          <t>https://pncp.gov.br/app/editais/01210830000106/2025/136</t>
        </is>
      </c>
      <c r="C127" t="inlineStr">
        <is>
          <t>2026-09-27T05:35:00.076392+00:00</t>
        </is>
      </c>
      <c r="D127" t="inlineStr">
        <is>
          <t>TO</t>
        </is>
      </c>
      <c r="E127" t="inlineStr">
        <is>
          <t>vizinhos</t>
        </is>
      </c>
      <c r="F127" t="inlineStr">
        <is>
          <t>Gurupi</t>
        </is>
      </c>
      <c r="G127" t="inlineStr">
        <is>
          <t>FUNDACAO UNIRG</t>
        </is>
      </c>
      <c r="H127" t="inlineStr">
        <is>
          <t>Municipal</t>
        </is>
      </c>
      <c r="I127" t="inlineStr">
        <is>
          <t>2025-11-05T16:04:30</t>
        </is>
      </c>
      <c r="J127" t="inlineStr">
        <is>
          <t>Pregão - Eletrônico</t>
        </is>
      </c>
      <c r="K127" t="inlineStr">
        <is>
          <t>[Portal de Compras Públicas] - O Registro de preços para futura, eventual e parcelada AQUISIÇÃO DE MATERIAL DE MANUTENÇÃO E INSTALAÇÃO DE EQUIPAMENTO DE REFRIGERAÇÃO/CLIMATIZAÇÃO, a fim de atender as demandas da Fundação/Universidade de Gurupi – UnirG (Campus de Gurupi, Paraíso do Tocantins e futuras novas instalações).</t>
        </is>
      </c>
      <c r="L127" t="b">
        <v>1</v>
      </c>
      <c r="M127" t="inlineStr">
        <is>
          <t>refrigeracao</t>
        </is>
      </c>
      <c r="N127" t="inlineStr">
        <is>
          <t>refrigeracao</t>
        </is>
      </c>
      <c r="O127" t="n">
        <v>1676985.05</v>
      </c>
      <c r="P127" t="n">
        <v>1146476</v>
      </c>
      <c r="Q127" t="n">
        <v>1384859</v>
      </c>
      <c r="R127" t="n">
        <v>0.1721352137654447</v>
      </c>
      <c r="S127" t="n">
        <v>0</v>
      </c>
      <c r="T127" t="n">
        <v>60</v>
      </c>
      <c r="U127" t="n">
        <v>40</v>
      </c>
      <c r="V127" t="n">
        <v>60</v>
      </c>
      <c r="W127" t="n">
        <v>0</v>
      </c>
      <c r="X127" t="n">
        <v>0</v>
      </c>
      <c r="Y127" t="n">
        <v>0</v>
      </c>
      <c r="Z127" t="n">
        <v>0</v>
      </c>
      <c r="AA127" t="n">
        <v>0</v>
      </c>
      <c r="AB127" t="n">
        <v>1</v>
      </c>
      <c r="AC127" t="n">
        <v>0</v>
      </c>
      <c r="AD127" t="n">
        <v>0</v>
      </c>
      <c r="AE127" t="n">
        <v>2</v>
      </c>
      <c r="AF127" t="inlineStr">
        <is>
          <t>Distribuidora Multimarca EIRELI:Demais; JPC COMÉRCIO DE PEÇAS E PRESTAÇÃO DE SERVIÇOS LTDA:EPP</t>
        </is>
      </c>
      <c r="AH127" t="inlineStr">
        <is>
          <t>pontual</t>
        </is>
      </c>
      <c r="AJ127" t="n">
        <v>0</v>
      </c>
      <c r="AK127" t="n">
        <v>0</v>
      </c>
      <c r="AL127" t="n">
        <v>0</v>
      </c>
      <c r="AM127" t="n">
        <v>0</v>
      </c>
      <c r="AN127" t="n">
        <v>0</v>
      </c>
      <c r="AQ127" t="n">
        <v>1</v>
      </c>
      <c r="AR127" t="inlineStr">
        <is>
          <t>fornecimento_puro</t>
        </is>
      </c>
      <c r="AS127" t="inlineStr">
        <is>
          <t>60 itens dominados por botijas de gas (R-22, R-32, R-410A) e componentes eletronicos -- aquisicao pura de material para uso por terceiros, sem servico da empresa contratada.</t>
        </is>
      </c>
      <c r="AT127" t="n">
        <v>1</v>
      </c>
      <c r="AU127" t="n">
        <v>0</v>
      </c>
    </row>
    <row r="128">
      <c r="A128" t="inlineStr">
        <is>
          <t>01215474000113_2026_19</t>
        </is>
      </c>
      <c r="B128" s="2" t="inlineStr">
        <is>
          <t>https://pncp.gov.br/app/editais/01215474000113/2026/19</t>
        </is>
      </c>
      <c r="C128" t="inlineStr">
        <is>
          <t>2026-09-27T02:40:45.066442+00:00</t>
        </is>
      </c>
      <c r="D128" t="inlineStr">
        <is>
          <t>GO</t>
        </is>
      </c>
      <c r="E128" t="inlineStr">
        <is>
          <t>GO</t>
        </is>
      </c>
      <c r="F128" t="inlineStr">
        <is>
          <t>Aragoiânia</t>
        </is>
      </c>
      <c r="G128" t="inlineStr">
        <is>
          <t>MUNICIPIO DE ARAGOIANIA</t>
        </is>
      </c>
      <c r="H128" t="inlineStr">
        <is>
          <t>Municipal</t>
        </is>
      </c>
      <c r="I128" t="inlineStr">
        <is>
          <t>2026-01-27T15:43:19</t>
        </is>
      </c>
      <c r="J128" t="inlineStr">
        <is>
          <t>Pregão - Eletrônico</t>
        </is>
      </c>
      <c r="K128" t="inlineStr">
        <is>
          <t>Contratação de empresa especializada, para Aquisição de Ar Condicionado de 24000 e 30000 BTUS, para atender as necessidades da Secretaria Municipal de Educação de Aragoiânia.</t>
        </is>
      </c>
      <c r="L128" t="b">
        <v>1</v>
      </c>
      <c r="M128" t="inlineStr">
        <is>
          <t>climatizacao</t>
        </is>
      </c>
      <c r="N128" t="inlineStr">
        <is>
          <t>climatizacao</t>
        </is>
      </c>
      <c r="O128" t="n">
        <v>211443</v>
      </c>
      <c r="P128" t="n">
        <v>148980</v>
      </c>
      <c r="Q128" t="n">
        <v>211443</v>
      </c>
      <c r="R128" t="n">
        <v>0.2954129481704289</v>
      </c>
      <c r="S128" t="n">
        <v>0</v>
      </c>
      <c r="T128" t="n">
        <v>2</v>
      </c>
      <c r="U128" t="n">
        <v>2</v>
      </c>
      <c r="V128" t="n">
        <v>2</v>
      </c>
      <c r="W128" t="n">
        <v>0</v>
      </c>
      <c r="X128" t="n">
        <v>0</v>
      </c>
      <c r="Y128" t="n">
        <v>0</v>
      </c>
      <c r="Z128" t="n">
        <v>0</v>
      </c>
      <c r="AA128" t="n">
        <v>0</v>
      </c>
      <c r="AB128" t="n">
        <v>0</v>
      </c>
      <c r="AC128" t="n">
        <v>0</v>
      </c>
      <c r="AD128" t="n">
        <v>0</v>
      </c>
      <c r="AE128" t="n">
        <v>2</v>
      </c>
      <c r="AF128" t="inlineStr">
        <is>
          <t>GENESIS COMERCIO E MANUTENCOES LTDA:ME; GESNER COMERCIAL LTDA:ME</t>
        </is>
      </c>
      <c r="AH128" t="inlineStr">
        <is>
          <t>pontual</t>
        </is>
      </c>
      <c r="AI128" t="n">
        <v>12</v>
      </c>
      <c r="AJ128" t="n">
        <v>0</v>
      </c>
      <c r="AK128" t="n">
        <v>0</v>
      </c>
      <c r="AL128" t="n">
        <v>0</v>
      </c>
      <c r="AM128" t="n">
        <v>0</v>
      </c>
      <c r="AN128" t="n">
        <v>0</v>
      </c>
      <c r="AP128" t="inlineStr">
        <is>
          <t>do Artigo 7º da Constituição Federal (ANEXO II) e Demais Anexos. D. QUALIFICAÇÃO TÉCNICA: 1. Atestado de Capacidade Técnica, fornecido por pessoa jurídica de direito público ou privado em nome da empresa Proponente, que comprove ter o licitante executado/fornecido de maneira satisfatória objeto comp…</t>
        </is>
      </c>
      <c r="AQ128" t="n">
        <v>1</v>
      </c>
      <c r="AR128" t="inlineStr">
        <is>
          <t>fornecimento_puro</t>
        </is>
      </c>
      <c r="AS128" t="inlineStr">
        <is>
          <t>heuristica automatica confirmada (fornecimento_puro): 2 item(ns), todos classificados como material (sem servico).</t>
        </is>
      </c>
      <c r="AT128" t="n">
        <v>0</v>
      </c>
      <c r="AU128" t="n">
        <v>0</v>
      </c>
    </row>
    <row r="129">
      <c r="A129" t="inlineStr">
        <is>
          <t>01217538000115_2025_197</t>
        </is>
      </c>
      <c r="B129" s="2" t="inlineStr">
        <is>
          <t>https://pncp.gov.br/app/editais/01217538000115/2025/197</t>
        </is>
      </c>
      <c r="C129" t="inlineStr">
        <is>
          <t>2026-09-27T04:46:25.553980+00:00</t>
        </is>
      </c>
      <c r="D129" t="inlineStr">
        <is>
          <t>GO</t>
        </is>
      </c>
      <c r="E129" t="inlineStr">
        <is>
          <t>GO</t>
        </is>
      </c>
      <c r="F129" t="inlineStr">
        <is>
          <t>Trindade</t>
        </is>
      </c>
      <c r="G129" t="inlineStr">
        <is>
          <t>MUNICIPIO DE TRINDADE</t>
        </is>
      </c>
      <c r="H129" t="inlineStr">
        <is>
          <t>Municipal</t>
        </is>
      </c>
      <c r="I129" t="inlineStr">
        <is>
          <t>2025-10-17T16:41:10</t>
        </is>
      </c>
      <c r="J129" t="inlineStr">
        <is>
          <t>Pregão - Eletrônico</t>
        </is>
      </c>
      <c r="K129" t="inlineStr">
        <is>
          <t>[Portal de Compras Públicas] - REGISTRO DE PREÇOS PARA FUTURA CONTRATAÇÃO DE EMPRESA PARA A DISPONIBILIZAÇÃO E IMPLANTAÇÃO DE ESTRUTURAS DESTINADAS À REALIZAÇÃO DA VILA NATALINA 2025, INCLUINDO PALCO, GRADIS DE PROTEÇÃO, BANHEIROS CONTAINERS, ILUMINAÇÃO, SONORIZAÇÃO, CENOGRAFIA TEMÁTICA E DEMAIS ITENS NECESSÁRIOS AO ADEQUADO FUNCIONAMENTO DO EVENTO, A FIM DE ATENDER ÀS NECESSIDADES DA PREFEITURA MUNICIPAL DE TRINDADE-GO.</t>
        </is>
      </c>
      <c r="L129" t="b">
        <v>0</v>
      </c>
      <c r="M129" t="inlineStr">
        <is>
          <t>iluminacao_publica</t>
        </is>
      </c>
      <c r="N129" t="inlineStr">
        <is>
          <t>iluminacao_publica</t>
        </is>
      </c>
      <c r="O129" t="n">
        <v>2281708.18</v>
      </c>
      <c r="P129" t="n">
        <v>1223491.4</v>
      </c>
      <c r="Q129" t="n">
        <v>2281708.18</v>
      </c>
      <c r="R129" t="n">
        <v>0.4637826998542821</v>
      </c>
      <c r="S129" t="n">
        <v>0</v>
      </c>
      <c r="T129" t="n">
        <v>16</v>
      </c>
      <c r="U129" t="n">
        <v>16</v>
      </c>
      <c r="V129" t="n">
        <v>16</v>
      </c>
      <c r="W129" t="n">
        <v>0</v>
      </c>
      <c r="X129" t="n">
        <v>0</v>
      </c>
      <c r="Y129" t="n">
        <v>0</v>
      </c>
      <c r="Z129" t="n">
        <v>0</v>
      </c>
      <c r="AA129" t="n">
        <v>0</v>
      </c>
      <c r="AB129" t="n">
        <v>0</v>
      </c>
      <c r="AC129" t="n">
        <v>0</v>
      </c>
      <c r="AD129" t="n">
        <v>0</v>
      </c>
      <c r="AE129" t="n">
        <v>3</v>
      </c>
      <c r="AF129" t="inlineStr">
        <is>
          <t>ALTERNATIVA SERVICOS E PRODUCOES DE EVENTOS EIRELI:ME; ART SOM EVENTOS EIRELI:ME; WILLIAM BERCHO RIBEIRO:ME</t>
        </is>
      </c>
      <c r="AH129" t="inlineStr">
        <is>
          <t>indefinido</t>
        </is>
      </c>
      <c r="AJ129" t="n">
        <v>0</v>
      </c>
      <c r="AK129" t="n">
        <v>0</v>
      </c>
      <c r="AL129" t="n">
        <v>0</v>
      </c>
      <c r="AM129" t="n">
        <v>0</v>
      </c>
      <c r="AN129" t="n">
        <v>0</v>
      </c>
      <c r="AQ129" t="n">
        <v>1</v>
      </c>
      <c r="AR129" t="inlineStr">
        <is>
          <t>mencao_passagem</t>
        </is>
      </c>
      <c r="AS129" t="inlineStr">
        <is>
          <t>Estruturas da 'Vila Natalina 2025' (palco, iluminação, sonorização, cenografia); decoração natalina temporária, não manutenção de IP.</t>
        </is>
      </c>
      <c r="AT129" t="n">
        <v>0</v>
      </c>
      <c r="AU129" t="n">
        <v>0</v>
      </c>
    </row>
    <row r="130">
      <c r="A130" t="inlineStr">
        <is>
          <t>01219807000182_2025_187</t>
        </is>
      </c>
      <c r="B130" s="2" t="inlineStr">
        <is>
          <t>https://pncp.gov.br/app/editais/01219807000182/2025/187</t>
        </is>
      </c>
      <c r="C130" t="inlineStr">
        <is>
          <t>2026-09-27T02:49:06.315939+00:00</t>
        </is>
      </c>
      <c r="D130" t="inlineStr">
        <is>
          <t>GO</t>
        </is>
      </c>
      <c r="E130" t="inlineStr">
        <is>
          <t>GO</t>
        </is>
      </c>
      <c r="F130" t="inlineStr">
        <is>
          <t>Uruaçu</t>
        </is>
      </c>
      <c r="G130" t="inlineStr">
        <is>
          <t>MUNICIPIO DE URUACU</t>
        </is>
      </c>
      <c r="H130" t="inlineStr">
        <is>
          <t>Municipal</t>
        </is>
      </c>
      <c r="I130" t="inlineStr">
        <is>
          <t>2025-09-23T10:28:07</t>
        </is>
      </c>
      <c r="J130" t="inlineStr">
        <is>
          <t>Pregão - Eletrônico</t>
        </is>
      </c>
      <c r="K130" t="inlineStr">
        <is>
          <t>CONTRATAÇÃO DE EMPRESA ESPECIALIZADA NA PRESTAÇÃO DE SERVIÇOS DE INSTALAÇÃO, DESINSTALAÇÃO E MANUTENÇÃO DE AR CONDICIONADO PARA ATENDER DEMANDAS DA SECRETARIA MUNICIPAL DE ADMINISTRAÇÃO E SEUS DEPARTAMENTOS E A SECRETARIA MUNICIPAL DE EDUCAÇÃO. ADESÃO A ATA DE REGISTRO DE PREÇOS Nº. 094/2024,ORIUNDA AO PREGÃO ELETRÔNICO N.º 018/2024, PROCESSO ADMINISTRATIVO. 5875/2024, REALIZADA PELO ORGÃOGERENCIADOR DO MUNICÍPIO DE BELA VISTA DE GOIÁS, ESTADO DE GOIÁS.</t>
        </is>
      </c>
      <c r="L130" t="b">
        <v>1</v>
      </c>
      <c r="M130" t="inlineStr">
        <is>
          <t>climatizacao</t>
        </is>
      </c>
      <c r="N130" t="inlineStr">
        <is>
          <t>climatizacao</t>
        </is>
      </c>
      <c r="O130" t="n">
        <v>147939.6</v>
      </c>
      <c r="P130" t="n">
        <v>104446.9</v>
      </c>
      <c r="Q130" t="n">
        <v>104446.9</v>
      </c>
      <c r="R130" t="n">
        <v>0</v>
      </c>
      <c r="S130" t="n">
        <v>0</v>
      </c>
      <c r="T130" t="n">
        <v>49</v>
      </c>
      <c r="U130" t="n">
        <v>40</v>
      </c>
      <c r="V130" t="n">
        <v>49</v>
      </c>
      <c r="W130" t="n">
        <v>0</v>
      </c>
      <c r="X130" t="n">
        <v>0</v>
      </c>
      <c r="Y130" t="n">
        <v>0</v>
      </c>
      <c r="Z130" t="n">
        <v>0</v>
      </c>
      <c r="AA130" t="n">
        <v>0</v>
      </c>
      <c r="AB130" t="n">
        <v>0</v>
      </c>
      <c r="AC130" t="n">
        <v>0</v>
      </c>
      <c r="AD130" t="n">
        <v>0</v>
      </c>
      <c r="AE130" t="n">
        <v>1</v>
      </c>
      <c r="AF130" t="inlineStr">
        <is>
          <t>MERX SERVICOS E COMERCIO LTDA:Demais</t>
        </is>
      </c>
      <c r="AH130" t="inlineStr">
        <is>
          <t>indefinido</t>
        </is>
      </c>
      <c r="AJ130" t="n">
        <v>0</v>
      </c>
      <c r="AK130" t="n">
        <v>0</v>
      </c>
      <c r="AL130" t="n">
        <v>0</v>
      </c>
      <c r="AM130" t="n">
        <v>0</v>
      </c>
      <c r="AN130" t="n">
        <v>0</v>
      </c>
      <c r="AQ130" t="n">
        <v>0</v>
      </c>
      <c r="AS130" t="inlineStr">
        <is>
          <t>heuristica automatica confirmada: servico real de climatizacao, sem sinais de exclusao.</t>
        </is>
      </c>
      <c r="AT130" t="n">
        <v>0</v>
      </c>
      <c r="AU130" t="n">
        <v>1</v>
      </c>
    </row>
    <row r="131">
      <c r="A131" t="inlineStr">
        <is>
          <t>01219807000182_2025_236</t>
        </is>
      </c>
      <c r="B131" s="2" t="inlineStr">
        <is>
          <t>https://pncp.gov.br/app/editais/01219807000182/2025/236</t>
        </is>
      </c>
      <c r="C131" t="inlineStr">
        <is>
          <t>2026-09-27T02:41:28.330008+00:00</t>
        </is>
      </c>
      <c r="D131" t="inlineStr">
        <is>
          <t>GO</t>
        </is>
      </c>
      <c r="E131" t="inlineStr">
        <is>
          <t>GO</t>
        </is>
      </c>
      <c r="F131" t="inlineStr">
        <is>
          <t>Uruaçu</t>
        </is>
      </c>
      <c r="G131" t="inlineStr">
        <is>
          <t>MUNICIPIO DE URUACU</t>
        </is>
      </c>
      <c r="H131" t="inlineStr">
        <is>
          <t>Municipal</t>
        </is>
      </c>
      <c r="I131" t="inlineStr">
        <is>
          <t>2025-12-16T09:30:41</t>
        </is>
      </c>
      <c r="J131" t="inlineStr">
        <is>
          <t>Pregão - Eletrônico</t>
        </is>
      </c>
      <c r="K131" t="inlineStr">
        <is>
          <t>Aquisição eventual e futura de aparelhos de ar condicionado do tipo split, tecnologia inverter; com capacidade de 24.000 btus, com controle remoto sem fio, mínimo de três velocidades de insuflamento (alta, média e baixa), movimento e controle automático do direcionamento do ar (swing), para atender as necessidades da Secretaria Municipal Administração e seus departamentos, a Unidade de Pronto Atendimento (UPA) e o Bolsa Família do Município de Uruaçu-GO. Adesão à Ata de Registro de Preços nº. 001.1/2025 SME - REMANESCENTES, oriunda ao Pregão Eletrônico nº. 004/2024, Processo Administrativo 2024003674, realizado pelo órgão gerenciador município de Porto Nacional-TO que tem como objeto REGISTRO DE PREÇOS, PARA EVENTUAL E FUTURA AQUISIÇÃO E INSTALAÇÃO DE AR CONDICIONADO E CLIMATIZADORES A FIM DE ATENDER A NECESSIDADE DAS ESCOLAS DE ENSINO INFANTIL E FUNDAMENTAL E DA SECRETARIA MUNICIPAL DE EDUCAÇÃO DESTE MUNICÍPIO</t>
        </is>
      </c>
      <c r="L131" t="b">
        <v>1</v>
      </c>
      <c r="M131" t="inlineStr">
        <is>
          <t>climatizacao</t>
        </is>
      </c>
      <c r="N131" t="inlineStr">
        <is>
          <t>climatizacao</t>
        </is>
      </c>
      <c r="O131" t="n">
        <v>96960.2</v>
      </c>
      <c r="P131" t="n">
        <v>96960.2</v>
      </c>
      <c r="Q131" t="n">
        <v>96960.2</v>
      </c>
      <c r="R131" t="n">
        <v>0</v>
      </c>
      <c r="S131" t="n">
        <v>0</v>
      </c>
      <c r="T131" t="n">
        <v>1</v>
      </c>
      <c r="U131" t="n">
        <v>1</v>
      </c>
      <c r="V131" t="n">
        <v>1</v>
      </c>
      <c r="W131" t="n">
        <v>0</v>
      </c>
      <c r="X131" t="n">
        <v>0</v>
      </c>
      <c r="Y131" t="n">
        <v>0</v>
      </c>
      <c r="Z131" t="n">
        <v>0</v>
      </c>
      <c r="AA131" t="n">
        <v>0</v>
      </c>
      <c r="AB131" t="n">
        <v>0</v>
      </c>
      <c r="AC131" t="n">
        <v>0</v>
      </c>
      <c r="AD131" t="n">
        <v>0</v>
      </c>
      <c r="AE131" t="n">
        <v>1</v>
      </c>
      <c r="AF131" t="inlineStr">
        <is>
          <t>D&amp;G DISTRIBUIDORA LTDA:Demais</t>
        </is>
      </c>
      <c r="AH131" t="inlineStr">
        <is>
          <t>pontual</t>
        </is>
      </c>
      <c r="AJ131" t="n">
        <v>0</v>
      </c>
      <c r="AK131" t="n">
        <v>0</v>
      </c>
      <c r="AL131" t="n">
        <v>0</v>
      </c>
      <c r="AM131" t="n">
        <v>0</v>
      </c>
      <c r="AN131" t="n">
        <v>0</v>
      </c>
      <c r="AQ131" t="n">
        <v>1</v>
      </c>
      <c r="AR131" t="inlineStr">
        <is>
          <t>fornecimento_puro</t>
        </is>
      </c>
      <c r="AS131" t="inlineStr">
        <is>
          <t>heuristica automatica confirmada (fornecimento_puro): 1 item(ns), todos classificados como material (sem servico).</t>
        </is>
      </c>
      <c r="AT131" t="n">
        <v>0</v>
      </c>
      <c r="AU131" t="n">
        <v>0</v>
      </c>
    </row>
    <row r="132">
      <c r="A132" t="inlineStr">
        <is>
          <t>01219807000182_2026_154</t>
        </is>
      </c>
      <c r="B132" s="2" t="inlineStr">
        <is>
          <t>https://pncp.gov.br/app/editais/01219807000182/2026/154</t>
        </is>
      </c>
      <c r="C132" t="inlineStr">
        <is>
          <t>2026-09-27T04:26:38.705204+00:00</t>
        </is>
      </c>
      <c r="D132" t="inlineStr">
        <is>
          <t>GO</t>
        </is>
      </c>
      <c r="E132" t="inlineStr">
        <is>
          <t>GO</t>
        </is>
      </c>
      <c r="F132" t="inlineStr">
        <is>
          <t>Uruaçu</t>
        </is>
      </c>
      <c r="G132" t="inlineStr">
        <is>
          <t>MUNICIPIO DE URUACU</t>
        </is>
      </c>
      <c r="H132" t="inlineStr">
        <is>
          <t>Municipal</t>
        </is>
      </c>
      <c r="I132" t="inlineStr">
        <is>
          <t>2026-07-01T14:12:20</t>
        </is>
      </c>
      <c r="J132" t="inlineStr">
        <is>
          <t>Pregão - Eletrônico</t>
        </is>
      </c>
      <c r="K132" t="inlineStr">
        <is>
          <t>Contratação eventual e futura de empresa especializada na prestação de serviços por empreitada global para Modernização de Iluminação Pública (fornecimentos de materiais – mão de obra – encargos – logísticas, etc.) em ruas, avenidas, praças, pontes, estádios e demais locais no município de Uruaçu, Estado de Goiás. Adesão à Ata de Registro de Preços nº. 001/2025, oriunda ao Pregão Eletrônico nº. 042/2024, Processo de Licitação nº. 053/2024, 1º Termo Aditivo a Ata de Registro de Preços CIMAG de nº 001/2025, realizado pelo órgão gerenciador Consórcio Público Intermunicipal Multifinalitário da AMAG-CIMAG, município de Caxambu, Estado de Minas Gerais.</t>
        </is>
      </c>
      <c r="L132" t="b">
        <v>1</v>
      </c>
      <c r="M132" t="inlineStr">
        <is>
          <t>iluminacao_publica</t>
        </is>
      </c>
      <c r="N132" t="inlineStr">
        <is>
          <t>iluminacao_publica</t>
        </is>
      </c>
      <c r="O132" t="n">
        <v>12000047.18</v>
      </c>
      <c r="P132" t="n">
        <v>9612361.120000001</v>
      </c>
      <c r="Q132" t="n">
        <v>9612361.120000001</v>
      </c>
      <c r="R132" t="n">
        <v>0</v>
      </c>
      <c r="S132" t="n">
        <v>0</v>
      </c>
      <c r="T132" t="n">
        <v>112</v>
      </c>
      <c r="U132" t="n">
        <v>40</v>
      </c>
      <c r="V132" t="n">
        <v>112</v>
      </c>
      <c r="W132" t="n">
        <v>0</v>
      </c>
      <c r="X132" t="n">
        <v>0</v>
      </c>
      <c r="Y132" t="n">
        <v>0</v>
      </c>
      <c r="Z132" t="n">
        <v>0</v>
      </c>
      <c r="AA132" t="n">
        <v>0</v>
      </c>
      <c r="AB132" t="n">
        <v>0</v>
      </c>
      <c r="AC132" t="n">
        <v>0</v>
      </c>
      <c r="AD132" t="n">
        <v>0</v>
      </c>
      <c r="AE132" t="n">
        <v>1</v>
      </c>
      <c r="AF132" t="inlineStr">
        <is>
          <t>SAO BENTO LIGHTING SOLUTIONS LTDA:Demais</t>
        </is>
      </c>
      <c r="AH132" t="inlineStr">
        <is>
          <t>continuado</t>
        </is>
      </c>
      <c r="AJ132" t="n">
        <v>0</v>
      </c>
      <c r="AK132" t="n">
        <v>0</v>
      </c>
      <c r="AL132" t="n">
        <v>0</v>
      </c>
      <c r="AM132" t="n">
        <v>0</v>
      </c>
      <c r="AN132" t="n">
        <v>0</v>
      </c>
      <c r="AQ132" t="n">
        <v>1</v>
      </c>
      <c r="AR132" t="inlineStr">
        <is>
          <t>equipamento_alto</t>
        </is>
      </c>
      <c r="AS132" t="inlineStr">
        <is>
          <t>Empreitada global de modernização de IP (Uruaçu), objeto fala expressamente em mão de obra/encargos/logística, R$12,0 mi estimado; modernização de grande porte, não manutenção corretiva (itens vieram 100% material por miscodificação do órgão, mas a natureza é de modernização).</t>
        </is>
      </c>
      <c r="AT132" t="n">
        <v>1</v>
      </c>
      <c r="AU132" t="n">
        <v>0</v>
      </c>
    </row>
    <row r="133">
      <c r="A133" t="inlineStr">
        <is>
          <t>01224716000135_2026_109</t>
        </is>
      </c>
      <c r="B133" s="2" t="inlineStr">
        <is>
          <t>https://pncp.gov.br/app/editais/01224716000135/2026/109</t>
        </is>
      </c>
      <c r="C133" t="inlineStr">
        <is>
          <t>2026-09-27T05:41:48.015031+00:00</t>
        </is>
      </c>
      <c r="D133" t="inlineStr">
        <is>
          <t>TO</t>
        </is>
      </c>
      <c r="E133" t="inlineStr">
        <is>
          <t>vizinhos</t>
        </is>
      </c>
      <c r="F133" t="inlineStr">
        <is>
          <t>Tocantinópolis</t>
        </is>
      </c>
      <c r="G133" t="inlineStr">
        <is>
          <t>MUNICIPIO DE TOCANTINOPOLIS</t>
        </is>
      </c>
      <c r="H133" t="inlineStr">
        <is>
          <t>Municipal</t>
        </is>
      </c>
      <c r="I133" t="inlineStr">
        <is>
          <t>2026-07-22T10:16:37</t>
        </is>
      </c>
      <c r="J133" t="inlineStr">
        <is>
          <t>Pregão - Eletrônico</t>
        </is>
      </c>
      <c r="K133" t="inlineStr">
        <is>
          <t>Contratação de empresa especializada no ramo para a aquisição de padrões de energia completos monofásicos, nos tamanhos de 5 (cinco) metros e 7 (sete) metros, destinados à instalação, manutenção, expansão e uso contínuo do sistema de iluminação pública e infraestrutura urbana do Município de Tocantinópolis – TO, destinados a atender às necessidades da Prefeitura Municipal de Tocantinópolis – TO, mediante o Sistema de Registro de Preços – SRP, com formalização por Ata de Registro de Preços, nos termos dos Arts. 28, 29 e 82 da Lei Federal nº 14.133/2021.</t>
        </is>
      </c>
      <c r="L133" t="b">
        <v>1</v>
      </c>
      <c r="M133" t="inlineStr">
        <is>
          <t>iluminacao_publica</t>
        </is>
      </c>
      <c r="N133" t="inlineStr">
        <is>
          <t>iluminacao_publica</t>
        </is>
      </c>
      <c r="O133" t="n">
        <v>151425</v>
      </c>
      <c r="P133" t="n">
        <v>124020</v>
      </c>
      <c r="Q133" t="n">
        <v>151425</v>
      </c>
      <c r="R133" t="n">
        <v>0.1809806835066865</v>
      </c>
      <c r="S133" t="n">
        <v>0</v>
      </c>
      <c r="T133" t="n">
        <v>2</v>
      </c>
      <c r="U133" t="n">
        <v>2</v>
      </c>
      <c r="V133" t="n">
        <v>2</v>
      </c>
      <c r="W133" t="n">
        <v>0</v>
      </c>
      <c r="X133" t="n">
        <v>0</v>
      </c>
      <c r="Y133" t="n">
        <v>0</v>
      </c>
      <c r="Z133" t="n">
        <v>0</v>
      </c>
      <c r="AA133" t="n">
        <v>0</v>
      </c>
      <c r="AB133" t="n">
        <v>0</v>
      </c>
      <c r="AC133" t="n">
        <v>0</v>
      </c>
      <c r="AD133" t="n">
        <v>0</v>
      </c>
      <c r="AE133" t="n">
        <v>1</v>
      </c>
      <c r="AF133" t="inlineStr">
        <is>
          <t>32.050.702 VAGNO FERREIRA CONCEICAO:Demais</t>
        </is>
      </c>
      <c r="AH133" t="inlineStr">
        <is>
          <t>pontual</t>
        </is>
      </c>
      <c r="AJ133" t="n">
        <v>0</v>
      </c>
      <c r="AK133" t="n">
        <v>0</v>
      </c>
      <c r="AL133" t="n">
        <v>0</v>
      </c>
      <c r="AM133" t="n">
        <v>0</v>
      </c>
      <c r="AN133" t="n">
        <v>0</v>
      </c>
      <c r="AQ133" t="n">
        <v>1</v>
      </c>
      <c r="AR133" t="inlineStr">
        <is>
          <t>fornecimento_puro</t>
        </is>
      </c>
      <c r="AS133" t="inlineStr">
        <is>
          <t>Registro de preços/contratação de fornecimento de materiais, sem mão de obra de manutenção contratada.</t>
        </is>
      </c>
      <c r="AT133" t="n">
        <v>1</v>
      </c>
      <c r="AU133" t="n">
        <v>0</v>
      </c>
    </row>
    <row r="134">
      <c r="A134" t="inlineStr">
        <is>
          <t>01224716000135_2026_110</t>
        </is>
      </c>
      <c r="B134" s="2" t="inlineStr">
        <is>
          <t>https://pncp.gov.br/app/editais/01224716000135/2026/110</t>
        </is>
      </c>
      <c r="C134" t="inlineStr">
        <is>
          <t>2026-09-27T05:41:42.423591+00:00</t>
        </is>
      </c>
      <c r="D134" t="inlineStr">
        <is>
          <t>TO</t>
        </is>
      </c>
      <c r="E134" t="inlineStr">
        <is>
          <t>vizinhos</t>
        </is>
      </c>
      <c r="F134" t="inlineStr">
        <is>
          <t>Tocantinópolis</t>
        </is>
      </c>
      <c r="G134" t="inlineStr">
        <is>
          <t>MUNICIPIO DE TOCANTINOPOLIS</t>
        </is>
      </c>
      <c r="H134" t="inlineStr">
        <is>
          <t>Municipal</t>
        </is>
      </c>
      <c r="I134" t="inlineStr">
        <is>
          <t>2026-07-22T10:50:29</t>
        </is>
      </c>
      <c r="J134" t="inlineStr">
        <is>
          <t>Pregão - Eletrônico</t>
        </is>
      </c>
      <c r="K134" t="inlineStr">
        <is>
          <t>[LICITANET] - Aquisição de padrões de energia completos monofásicos, nos tamanhos de 5 (cinco) metros e 7 (sete) metros, destinados à propriedade, manutenção e uso contínuo do sistema de iluminação pública do Município de Tocantinópolis – TO, destinados a atender às necessidades da Prefeitura Municipal de Tocantinópolis – TO.</t>
        </is>
      </c>
      <c r="L134" t="b">
        <v>1</v>
      </c>
      <c r="M134" t="inlineStr">
        <is>
          <t>iluminacao_publica</t>
        </is>
      </c>
      <c r="N134" t="inlineStr">
        <is>
          <t>iluminacao_publica</t>
        </is>
      </c>
      <c r="O134" t="n">
        <v>151425</v>
      </c>
      <c r="P134" t="n">
        <v>124020</v>
      </c>
      <c r="Q134" t="n">
        <v>151425</v>
      </c>
      <c r="R134" t="n">
        <v>0.1809806835066865</v>
      </c>
      <c r="S134" t="n">
        <v>0</v>
      </c>
      <c r="T134" t="n">
        <v>2</v>
      </c>
      <c r="U134" t="n">
        <v>2</v>
      </c>
      <c r="V134" t="n">
        <v>2</v>
      </c>
      <c r="W134" t="n">
        <v>0</v>
      </c>
      <c r="X134" t="n">
        <v>0</v>
      </c>
      <c r="Y134" t="n">
        <v>0</v>
      </c>
      <c r="Z134" t="n">
        <v>0</v>
      </c>
      <c r="AA134" t="n">
        <v>0</v>
      </c>
      <c r="AB134" t="n">
        <v>0</v>
      </c>
      <c r="AC134" t="n">
        <v>0</v>
      </c>
      <c r="AD134" t="n">
        <v>0</v>
      </c>
      <c r="AE134" t="n">
        <v>1</v>
      </c>
      <c r="AF134" t="inlineStr">
        <is>
          <t>32.050.702 VAGNO FERREIRA CONCEICAO:ME</t>
        </is>
      </c>
      <c r="AH134" t="inlineStr">
        <is>
          <t>pontual</t>
        </is>
      </c>
      <c r="AJ134" t="n">
        <v>0</v>
      </c>
      <c r="AK134" t="n">
        <v>0</v>
      </c>
      <c r="AL134" t="n">
        <v>0</v>
      </c>
      <c r="AM134" t="n">
        <v>0</v>
      </c>
      <c r="AN134" t="n">
        <v>0</v>
      </c>
      <c r="AQ134" t="n">
        <v>1</v>
      </c>
      <c r="AR134" t="inlineStr">
        <is>
          <t>fornecimento_puro</t>
        </is>
      </c>
      <c r="AS134" t="inlineStr">
        <is>
          <t>Registro de preços/contratação de fornecimento de materiais, sem mão de obra de manutenção contratada.</t>
        </is>
      </c>
      <c r="AT134" t="n">
        <v>1</v>
      </c>
      <c r="AU134" t="n">
        <v>0</v>
      </c>
    </row>
    <row r="135">
      <c r="A135" t="inlineStr">
        <is>
          <t>01233716000100_2026_9</t>
        </is>
      </c>
      <c r="B135" s="2" t="inlineStr">
        <is>
          <t>https://pncp.gov.br/app/editais/01233716000100/2026/9</t>
        </is>
      </c>
      <c r="C135" t="inlineStr">
        <is>
          <t>2026-09-27T05:35:20.112283+00:00</t>
        </is>
      </c>
      <c r="D135" t="inlineStr">
        <is>
          <t>TO</t>
        </is>
      </c>
      <c r="E135" t="inlineStr">
        <is>
          <t>vizinhos</t>
        </is>
      </c>
      <c r="F135" t="inlineStr">
        <is>
          <t>Paraíso do Tocantins</t>
        </is>
      </c>
      <c r="G135" t="inlineStr">
        <is>
          <t>ASSOCIACAO DE APOIO A ESCOLA EST PROF JOSE NEZIO RAMOS</t>
        </is>
      </c>
      <c r="H135" t="inlineStr">
        <is>
          <t>Não se aplica</t>
        </is>
      </c>
      <c r="I135" t="inlineStr">
        <is>
          <t>2026-06-23T07:17:49</t>
        </is>
      </c>
      <c r="J135" t="inlineStr">
        <is>
          <t>Pregão - Eletrônico</t>
        </is>
      </c>
      <c r="K135" t="inlineStr">
        <is>
          <t>Contratação de empresa especializada para a prestação de serviços continuados de manutenção preventiva e corretiva predial, incluindo o fornecimento de materiais, equipamentos, ferramentas, insumos e mão de obra necessários à execução dos serviços, destinados à conservação, recuperação e adequação das instalações físicas do Colégio Estadual Professor José Nézio Ramos.</t>
        </is>
      </c>
      <c r="L135" t="b">
        <v>1</v>
      </c>
      <c r="M135" t="inlineStr">
        <is>
          <t>manutencao_predial</t>
        </is>
      </c>
      <c r="N135" t="inlineStr">
        <is>
          <t>manutencao_predial</t>
        </is>
      </c>
      <c r="O135" t="n">
        <v>303689.28</v>
      </c>
      <c r="P135" t="n">
        <v>135081.44</v>
      </c>
      <c r="Q135" t="n">
        <v>303689.28</v>
      </c>
      <c r="R135" t="n">
        <v>0.5551985239650209</v>
      </c>
      <c r="S135" t="n">
        <v>0</v>
      </c>
      <c r="T135" t="n">
        <v>11</v>
      </c>
      <c r="U135" t="n">
        <v>11</v>
      </c>
      <c r="V135" t="n">
        <v>11</v>
      </c>
      <c r="W135" t="n">
        <v>0</v>
      </c>
      <c r="X135" t="n">
        <v>0</v>
      </c>
      <c r="Y135" t="n">
        <v>0</v>
      </c>
      <c r="Z135" t="n">
        <v>0</v>
      </c>
      <c r="AA135" t="n">
        <v>0</v>
      </c>
      <c r="AB135" t="n">
        <v>1</v>
      </c>
      <c r="AC135" t="n">
        <v>0</v>
      </c>
      <c r="AD135" t="n">
        <v>0</v>
      </c>
      <c r="AE135" t="n">
        <v>3</v>
      </c>
      <c r="AF135" t="inlineStr">
        <is>
          <t>13.655.282 OSVALDO PEREIRA DOS SANTOS:ME; R I VAREJISTA E DISTRIBUIDORA LTDA:ME; 58.538.301 SAMUEL COSTA SILVA:ME</t>
        </is>
      </c>
      <c r="AH135" t="inlineStr">
        <is>
          <t>continuado</t>
        </is>
      </c>
      <c r="AJ135" t="n">
        <v>0</v>
      </c>
      <c r="AK135" t="n">
        <v>0</v>
      </c>
      <c r="AL135" t="n">
        <v>0</v>
      </c>
      <c r="AM135" t="n">
        <v>0</v>
      </c>
      <c r="AN135" t="n">
        <v>0</v>
      </c>
      <c r="AQ135" t="n">
        <v>0</v>
      </c>
      <c r="AT135" t="n">
        <v>0</v>
      </c>
      <c r="AU135" t="n">
        <v>1</v>
      </c>
    </row>
    <row r="136">
      <c r="A136" t="inlineStr">
        <is>
          <t>01237403000111_2026_17</t>
        </is>
      </c>
      <c r="B136" s="2" t="inlineStr">
        <is>
          <t>https://pncp.gov.br/app/editais/01237403000111/2026/17</t>
        </is>
      </c>
      <c r="C136" t="inlineStr">
        <is>
          <t>2026-09-27T05:41:59.233887+00:00</t>
        </is>
      </c>
      <c r="D136" t="inlineStr">
        <is>
          <t>TO</t>
        </is>
      </c>
      <c r="E136" t="inlineStr">
        <is>
          <t>vizinhos</t>
        </is>
      </c>
      <c r="F136" t="inlineStr">
        <is>
          <t>Araguatins</t>
        </is>
      </c>
      <c r="G136" t="inlineStr">
        <is>
          <t>MUNICIPIO DE ARAGUATINS</t>
        </is>
      </c>
      <c r="H136" t="inlineStr">
        <is>
          <t>Municipal</t>
        </is>
      </c>
      <c r="I136" t="inlineStr">
        <is>
          <t>2026-06-16T08:42:59</t>
        </is>
      </c>
      <c r="J136" t="inlineStr">
        <is>
          <t>Concorrência - Eletrônica</t>
        </is>
      </c>
      <c r="K136" t="inlineStr">
        <is>
          <t>Contratação de empresa especializada em engenharia para execução da obra de construção de Praça Pública no Povoado Macaúba, Distrito de Araguatins/TO, compreendendo a execução de serviços de infraestrutura, urbanização, paisagismo, pavimentação, instalação de mobiliário urbano, iluminação, acessibilidade e demais serviços necessários à completa execução do empreendimento, conforme projetos, memorial descritivo, planilhas orçamentárias, cronograma físico-financeiro e demais documentos técnicos qu</t>
        </is>
      </c>
      <c r="L136" t="b">
        <v>0</v>
      </c>
      <c r="M136" t="inlineStr">
        <is>
          <t>iluminacao_publica</t>
        </is>
      </c>
      <c r="N136" t="inlineStr">
        <is>
          <t>iluminacao_publica</t>
        </is>
      </c>
      <c r="O136" t="n">
        <v>0</v>
      </c>
      <c r="P136" t="n">
        <v>455326.53</v>
      </c>
      <c r="Q136" t="n">
        <v>0</v>
      </c>
      <c r="S136" t="n">
        <v>0</v>
      </c>
      <c r="T136" t="n">
        <v>1</v>
      </c>
      <c r="U136" t="n">
        <v>1</v>
      </c>
      <c r="V136" t="n">
        <v>1</v>
      </c>
      <c r="W136" t="n">
        <v>0</v>
      </c>
      <c r="X136" t="n">
        <v>0</v>
      </c>
      <c r="Y136" t="n">
        <v>0</v>
      </c>
      <c r="Z136" t="n">
        <v>0</v>
      </c>
      <c r="AA136" t="n">
        <v>0</v>
      </c>
      <c r="AB136" t="n">
        <v>0</v>
      </c>
      <c r="AC136" t="n">
        <v>0</v>
      </c>
      <c r="AD136" t="n">
        <v>0</v>
      </c>
      <c r="AE136" t="n">
        <v>1</v>
      </c>
      <c r="AF136" t="inlineStr">
        <is>
          <t>CHAVES CONSTRUTORA E LOCADORA DE MAQUINAS LTDA:EPP</t>
        </is>
      </c>
      <c r="AH136" t="inlineStr">
        <is>
          <t>indefinido</t>
        </is>
      </c>
      <c r="AJ136" t="n">
        <v>0</v>
      </c>
      <c r="AK136" t="n">
        <v>0</v>
      </c>
      <c r="AL136" t="n">
        <v>0</v>
      </c>
      <c r="AM136" t="n">
        <v>0</v>
      </c>
      <c r="AN136" t="n">
        <v>0</v>
      </c>
      <c r="AR136" t="inlineStr">
        <is>
          <t>mencao_passagem</t>
        </is>
      </c>
      <c r="AS136" t="inlineStr">
        <is>
          <t>Obra de construção de Praça Pública (urbanização geral); IP é item lateral, não o núcleo do objeto.</t>
        </is>
      </c>
      <c r="AT136" t="n">
        <v>1</v>
      </c>
      <c r="AU136" t="n">
        <v>0</v>
      </c>
    </row>
    <row r="137">
      <c r="A137" t="inlineStr">
        <is>
          <t>01259530000111_2026_14</t>
        </is>
      </c>
      <c r="B137" s="2" t="inlineStr">
        <is>
          <t>https://pncp.gov.br/app/editais/01259530000111/2026/14</t>
        </is>
      </c>
      <c r="C137" t="inlineStr">
        <is>
          <t>2026-09-27T02:29:30.124914+00:00</t>
        </is>
      </c>
      <c r="D137" t="inlineStr">
        <is>
          <t>GO</t>
        </is>
      </c>
      <c r="E137" t="inlineStr">
        <is>
          <t>GO</t>
        </is>
      </c>
      <c r="F137" t="inlineStr">
        <is>
          <t>Goiânia</t>
        </is>
      </c>
      <c r="G137" t="inlineStr">
        <is>
          <t>CONSELHO REG DOS REPRESENTANTES COMERCIAIS NO EST DE GO</t>
        </is>
      </c>
      <c r="H137" t="inlineStr">
        <is>
          <t>Federal</t>
        </is>
      </c>
      <c r="I137" t="inlineStr">
        <is>
          <t>2026-08-11T10:11:16</t>
        </is>
      </c>
      <c r="J137" t="inlineStr">
        <is>
          <t>Pregão - Eletrônico</t>
        </is>
      </c>
      <c r="K137" t="inlineStr">
        <is>
          <t>Aquisição de Aparelhos de Ar-condicionado, tipo split, modelos high-wall (Parede), Cassete e piso/teto, todos com tecnologia inverter, com ENTREGA ÚNICA e Aquisição dos acessórios necessários para a instalação e funcionamento dos equipamentos, com ENTREGA ÚNICA, conforme especificações no Termo de Referência.</t>
        </is>
      </c>
      <c r="L137" t="b">
        <v>0</v>
      </c>
      <c r="M137" t="inlineStr">
        <is>
          <t>climatizacao</t>
        </is>
      </c>
      <c r="N137" t="inlineStr">
        <is>
          <t>climatizacao</t>
        </is>
      </c>
      <c r="O137" t="n">
        <v>89564.25999999999</v>
      </c>
      <c r="P137" t="n">
        <v>78794.70000000003</v>
      </c>
      <c r="Q137" t="n">
        <v>89564.26000000001</v>
      </c>
      <c r="R137" t="n">
        <v>0.1202439455202332</v>
      </c>
      <c r="S137" t="n">
        <v>0</v>
      </c>
      <c r="T137" t="n">
        <v>26</v>
      </c>
      <c r="U137" t="n">
        <v>26</v>
      </c>
      <c r="V137" t="n">
        <v>26</v>
      </c>
      <c r="W137" t="n">
        <v>0</v>
      </c>
      <c r="X137" t="n">
        <v>0</v>
      </c>
      <c r="Y137" t="n">
        <v>0</v>
      </c>
      <c r="Z137" t="n">
        <v>0</v>
      </c>
      <c r="AA137" t="n">
        <v>1</v>
      </c>
      <c r="AB137" t="n">
        <v>0</v>
      </c>
      <c r="AC137" t="n">
        <v>0</v>
      </c>
      <c r="AD137" t="n">
        <v>0</v>
      </c>
      <c r="AE137" t="n">
        <v>5</v>
      </c>
      <c r="AF137" t="inlineStr">
        <is>
          <t>JHP AR CONDICIONADO LTDA:ME; GLOBALI DISTRIBUICAO E COMERCIO LTDA:ME; NEXUS EQUIPAMENTOS LTDA:ME; ING - DISTRIBUICAO LTDA:ME; CAPTAR COMERCIO E SERVICOS LTDA:ME</t>
        </is>
      </c>
      <c r="AH137" t="inlineStr">
        <is>
          <t>pontual</t>
        </is>
      </c>
      <c r="AI137" t="n">
        <v>12</v>
      </c>
      <c r="AJ137" t="n">
        <v>0</v>
      </c>
      <c r="AK137" t="n">
        <v>0</v>
      </c>
      <c r="AL137" t="n">
        <v>0</v>
      </c>
      <c r="AM137" t="n">
        <v>0</v>
      </c>
      <c r="AN137" t="n">
        <v>0</v>
      </c>
      <c r="AP137" t="inlineStr">
        <is>
          <t>ficação econômico-financeira. 8.8. Qualificação Técnica 8.8.1. A não exigência de apresentação de atestado de capacidade técnica justifica- se em razão da baixa quantidade de aparelhos de ar-condicionado a serem adquiridos, a qual não representa complexidade operacional ou risco significativo para a…</t>
        </is>
      </c>
      <c r="AQ137" t="n">
        <v>1</v>
      </c>
      <c r="AR137" t="inlineStr">
        <is>
          <t>fornecimento_puro</t>
        </is>
      </c>
      <c r="AS137" t="inlineStr">
        <is>
          <t>heuristica automatica confirmada (fornecimento_puro): 26 item(ns), todos classificados como material (sem servico).</t>
        </is>
      </c>
      <c r="AT137" t="n">
        <v>0</v>
      </c>
      <c r="AU137" t="n">
        <v>0</v>
      </c>
    </row>
    <row r="138">
      <c r="A138" t="inlineStr">
        <is>
          <t>01296363000189_2026_5</t>
        </is>
      </c>
      <c r="B138" s="2" t="inlineStr">
        <is>
          <t>https://pncp.gov.br/app/editais/01296363000189/2026/5</t>
        </is>
      </c>
      <c r="C138" t="inlineStr">
        <is>
          <t>2026-09-27T05:31:43.094845+00:00</t>
        </is>
      </c>
      <c r="D138" t="inlineStr">
        <is>
          <t>TO</t>
        </is>
      </c>
      <c r="E138" t="inlineStr">
        <is>
          <t>vizinhos</t>
        </is>
      </c>
      <c r="F138" t="inlineStr">
        <is>
          <t>Divinópolis do Tocantins</t>
        </is>
      </c>
      <c r="G138" t="inlineStr">
        <is>
          <t>ASSOCIACAO DE APOIO A ESCOLA ESTADUAL DONA CANDIDA DE FREITAS</t>
        </is>
      </c>
      <c r="H138" t="inlineStr">
        <is>
          <t>Não se aplica</t>
        </is>
      </c>
      <c r="I138" t="inlineStr">
        <is>
          <t>2026-06-12T07:07:03</t>
        </is>
      </c>
      <c r="J138" t="inlineStr">
        <is>
          <t>Pregão - Eletrônico</t>
        </is>
      </c>
      <c r="K138" t="inlineStr">
        <is>
          <t>Registro de preços para contratação de empresa especializada para prestação de serviços de manutenção preventiva e corretiva, instalação,  desmontagem, remoção e higienização de aparelhos de ar-condicionado tipo split, com fornecimento de mão de obra, peças, gás refrigerante e demais insumos necessários à execução dos serviços.</t>
        </is>
      </c>
      <c r="L138" t="b">
        <v>1</v>
      </c>
      <c r="M138" t="inlineStr">
        <is>
          <t>climatizacao</t>
        </is>
      </c>
      <c r="N138" t="inlineStr">
        <is>
          <t>climatizacao</t>
        </is>
      </c>
      <c r="O138" t="n">
        <v>35925.24</v>
      </c>
      <c r="P138" t="n">
        <v>22328</v>
      </c>
      <c r="Q138" t="n">
        <v>35925.24</v>
      </c>
      <c r="R138" t="n">
        <v>0.3784871026609704</v>
      </c>
      <c r="S138" t="n">
        <v>0</v>
      </c>
      <c r="T138" t="n">
        <v>10</v>
      </c>
      <c r="U138" t="n">
        <v>10</v>
      </c>
      <c r="V138" t="n">
        <v>10</v>
      </c>
      <c r="W138" t="n">
        <v>0</v>
      </c>
      <c r="X138" t="n">
        <v>0</v>
      </c>
      <c r="Y138" t="n">
        <v>0</v>
      </c>
      <c r="Z138" t="n">
        <v>0</v>
      </c>
      <c r="AA138" t="n">
        <v>1</v>
      </c>
      <c r="AB138" t="n">
        <v>0</v>
      </c>
      <c r="AC138" t="n">
        <v>0</v>
      </c>
      <c r="AD138" t="n">
        <v>0</v>
      </c>
      <c r="AE138" t="n">
        <v>1</v>
      </c>
      <c r="AF138" t="inlineStr">
        <is>
          <t>EBENEZER COMERCIO DE VARIEDADES LTDA:ME</t>
        </is>
      </c>
      <c r="AH138" t="inlineStr">
        <is>
          <t>pontual</t>
        </is>
      </c>
      <c r="AJ138" t="n">
        <v>0</v>
      </c>
      <c r="AK138" t="n">
        <v>0</v>
      </c>
      <c r="AL138" t="n">
        <v>0</v>
      </c>
      <c r="AM138" t="n">
        <v>0</v>
      </c>
      <c r="AN138" t="n">
        <v>0</v>
      </c>
      <c r="AQ138" t="n">
        <v>0</v>
      </c>
      <c r="AS138" t="inlineStr">
        <is>
          <t>Servico de manutencao/instalacao/remocao/higienizacao de AC split com fornecimento de mao de obra, pecas e gas.</t>
        </is>
      </c>
      <c r="AT138" t="n">
        <v>0</v>
      </c>
      <c r="AU138" t="n">
        <v>1</v>
      </c>
    </row>
    <row r="139">
      <c r="A139" t="inlineStr">
        <is>
          <t>01298975000100_2026_61</t>
        </is>
      </c>
      <c r="B139" s="2" t="inlineStr">
        <is>
          <t>https://pncp.gov.br/app/editais/01298975000100/2026/61</t>
        </is>
      </c>
      <c r="C139" t="inlineStr">
        <is>
          <t>2026-09-27T02:37:45.438548+00:00</t>
        </is>
      </c>
      <c r="D139" t="inlineStr">
        <is>
          <t>GO</t>
        </is>
      </c>
      <c r="E139" t="inlineStr">
        <is>
          <t>GO</t>
        </is>
      </c>
      <c r="F139" t="inlineStr">
        <is>
          <t>Alexânia</t>
        </is>
      </c>
      <c r="G139" t="inlineStr">
        <is>
          <t>MUNICIPIO DE ALEXANIA</t>
        </is>
      </c>
      <c r="H139" t="inlineStr">
        <is>
          <t>Municipal</t>
        </is>
      </c>
      <c r="I139" t="inlineStr">
        <is>
          <t>2026-03-13T08:31:46</t>
        </is>
      </c>
      <c r="J139" t="inlineStr">
        <is>
          <t>Pregão - Eletrônico</t>
        </is>
      </c>
      <c r="K139" t="inlineStr">
        <is>
          <t>Registro de Preços para aquisição futura e eventual de aparelhos de ar-condicionado do tipo Split Inverter, contemplando exclusivamente o fornecimento dos equipamentos, sem inclusão dos serviços de instalação, destinados ao atendimento das unidades administrativas vinculadas à Prefeitura Municipal de Alexânia/GO.</t>
        </is>
      </c>
      <c r="L139" t="b">
        <v>1</v>
      </c>
      <c r="M139" t="inlineStr">
        <is>
          <t>climatizacao</t>
        </is>
      </c>
      <c r="N139" t="inlineStr">
        <is>
          <t>climatizacao</t>
        </is>
      </c>
      <c r="O139" t="n">
        <v>2379572.09</v>
      </c>
      <c r="P139" t="n">
        <v>1521611.48</v>
      </c>
      <c r="Q139" t="n">
        <v>2379572.09</v>
      </c>
      <c r="R139" t="n">
        <v>0.3605524764748773</v>
      </c>
      <c r="S139" t="n">
        <v>0</v>
      </c>
      <c r="T139" t="n">
        <v>5</v>
      </c>
      <c r="U139" t="n">
        <v>5</v>
      </c>
      <c r="V139" t="n">
        <v>5</v>
      </c>
      <c r="W139" t="n">
        <v>0</v>
      </c>
      <c r="X139" t="n">
        <v>0</v>
      </c>
      <c r="Y139" t="n">
        <v>0</v>
      </c>
      <c r="Z139" t="n">
        <v>0</v>
      </c>
      <c r="AA139" t="n">
        <v>0</v>
      </c>
      <c r="AB139" t="n">
        <v>0</v>
      </c>
      <c r="AC139" t="n">
        <v>0</v>
      </c>
      <c r="AD139" t="n">
        <v>0</v>
      </c>
      <c r="AE139" t="n">
        <v>3</v>
      </c>
      <c r="AF139" t="inlineStr">
        <is>
          <t>DENTECK AR CONDICIONADO LTDA:Demais; JOSEMILIA COMERCIO DE MOVEIS E ELETRODOMESTICOS LTDA ME:EPP; VITOR DIOGO WENDLING:EPP</t>
        </is>
      </c>
      <c r="AH139" t="inlineStr">
        <is>
          <t>pontual</t>
        </is>
      </c>
      <c r="AI139" t="n">
        <v>12</v>
      </c>
      <c r="AJ139" t="n">
        <v>0</v>
      </c>
      <c r="AK139" t="n">
        <v>0</v>
      </c>
      <c r="AL139" t="n">
        <v>0</v>
      </c>
      <c r="AM139" t="n">
        <v>1</v>
      </c>
      <c r="AN139" t="n">
        <v>0</v>
      </c>
      <c r="AP139" t="inlineStr">
        <is>
          <t>9.18.1. A capacitação técnica deverá ser comprovada por meio de apresentação de no mínimo 01 (um) atestado de capacidade técnica emitido por pessoa jurídica de direito público ou privado, comprovando a experiência da empresa, de forma satisfat ória, em atividades similares aos descritos no Termo de…</t>
        </is>
      </c>
      <c r="AQ139" t="n">
        <v>1</v>
      </c>
      <c r="AR139" t="inlineStr">
        <is>
          <t>fornecimento_puro</t>
        </is>
      </c>
      <c r="AS139" t="inlineStr">
        <is>
          <t>heuristica automatica confirmada (fornecimento_puro): 5 item(ns), todos classificados como material (sem servico).</t>
        </is>
      </c>
      <c r="AT139" t="n">
        <v>1</v>
      </c>
      <c r="AU139" t="n">
        <v>0</v>
      </c>
    </row>
    <row r="140">
      <c r="A140" t="inlineStr">
        <is>
          <t>01302603000100_2026_110</t>
        </is>
      </c>
      <c r="B140" s="2" t="inlineStr">
        <is>
          <t>https://pncp.gov.br/app/editais/01302603000100/2026/110</t>
        </is>
      </c>
      <c r="C140" t="inlineStr">
        <is>
          <t>2026-09-27T04:21:35.419873+00:00</t>
        </is>
      </c>
      <c r="D140" t="inlineStr">
        <is>
          <t>GO</t>
        </is>
      </c>
      <c r="E140" t="inlineStr">
        <is>
          <t>GO</t>
        </is>
      </c>
      <c r="F140" t="inlineStr">
        <is>
          <t>Corumbaíba</t>
        </is>
      </c>
      <c r="G140" t="inlineStr">
        <is>
          <t>MUNICIPIO DE CORUMBAIBA</t>
        </is>
      </c>
      <c r="H140" t="inlineStr">
        <is>
          <t>Municipal</t>
        </is>
      </c>
      <c r="I140" t="inlineStr">
        <is>
          <t>2026-08-18T14:18:13</t>
        </is>
      </c>
      <c r="J140" t="inlineStr">
        <is>
          <t>Pregão - Presencial</t>
        </is>
      </c>
      <c r="K140" t="inlineStr">
        <is>
          <t>SOLICITAÇÃO DE ABERTURA DE PROCEDIMENTO LICITATÓRIO PERTINENTE PARA LOCAÇÃO DE CAMINHAO COM MOTORISTA, CESTO AÉREO HIDRAÚLICO PARA MANUTENÇÃO DA ILUMINAÇÃO PÚBLICA</t>
        </is>
      </c>
      <c r="L140" t="b">
        <v>1</v>
      </c>
      <c r="M140" t="inlineStr">
        <is>
          <t>iluminacao_publica</t>
        </is>
      </c>
      <c r="N140" t="inlineStr">
        <is>
          <t>iluminacao_publica</t>
        </is>
      </c>
      <c r="O140" t="n">
        <v>194580</v>
      </c>
      <c r="P140" t="n">
        <v>180000</v>
      </c>
      <c r="Q140" t="n">
        <v>194580</v>
      </c>
      <c r="R140" t="n">
        <v>0.07493061979648474</v>
      </c>
      <c r="S140" t="n">
        <v>0</v>
      </c>
      <c r="T140" t="n">
        <v>1</v>
      </c>
      <c r="U140" t="n">
        <v>1</v>
      </c>
      <c r="V140" t="n">
        <v>1</v>
      </c>
      <c r="W140" t="n">
        <v>0</v>
      </c>
      <c r="X140" t="n">
        <v>0</v>
      </c>
      <c r="Y140" t="n">
        <v>0</v>
      </c>
      <c r="Z140" t="n">
        <v>0</v>
      </c>
      <c r="AA140" t="n">
        <v>0</v>
      </c>
      <c r="AB140" t="n">
        <v>0</v>
      </c>
      <c r="AC140" t="n">
        <v>0</v>
      </c>
      <c r="AD140" t="n">
        <v>0</v>
      </c>
      <c r="AE140" t="n">
        <v>1</v>
      </c>
      <c r="AF140" t="inlineStr">
        <is>
          <t>J OLEGARIO DA SILVA JUNIOR:ME</t>
        </is>
      </c>
      <c r="AH140" t="inlineStr">
        <is>
          <t>pontual</t>
        </is>
      </c>
      <c r="AI140" t="n">
        <v>12</v>
      </c>
      <c r="AJ140" t="n">
        <v>1</v>
      </c>
      <c r="AK140" t="n">
        <v>0</v>
      </c>
      <c r="AL140" t="n">
        <v>0</v>
      </c>
      <c r="AM140" t="n">
        <v>1</v>
      </c>
      <c r="AN140" t="n">
        <v>0</v>
      </c>
      <c r="AP140" t="inlineStr">
        <is>
          <t>ngo Prazo LC = __Ativo Circulante__ Passivo Circulante V. QUANTO À QUALIFICAÇÃO TÉCNICA a) Atestado de Capacidade Técnica para comprovação de aptidão para fornecimento dos objetos desta licitação, através de atestado fornecido por Pessoa Jurídica de direito público ou privado, para a qual a interess…</t>
        </is>
      </c>
      <c r="AQ140" t="n">
        <v>0</v>
      </c>
      <c r="AS140" t="inlineStr">
        <is>
          <t>Nenhum dos 4 critérios de exclusão se aplica; objeto compatível com manutenção/pequena extensão de IP.</t>
        </is>
      </c>
      <c r="AT140" t="n">
        <v>0</v>
      </c>
      <c r="AU140" t="n">
        <v>1</v>
      </c>
    </row>
    <row r="141">
      <c r="A141" t="inlineStr">
        <is>
          <t>01302603000100_2026_114</t>
        </is>
      </c>
      <c r="B141" s="2" t="inlineStr">
        <is>
          <t>https://pncp.gov.br/app/editais/01302603000100/2026/114</t>
        </is>
      </c>
      <c r="C141" t="inlineStr">
        <is>
          <t>2026-09-27T14:30:11.950831+00:00</t>
        </is>
      </c>
      <c r="D141" t="inlineStr">
        <is>
          <t>GO</t>
        </is>
      </c>
      <c r="E141" t="inlineStr">
        <is>
          <t>GO</t>
        </is>
      </c>
      <c r="F141" t="inlineStr">
        <is>
          <t>Corumbaíba</t>
        </is>
      </c>
      <c r="G141" t="inlineStr">
        <is>
          <t>MUNICIPIO DE CORUMBAIBA</t>
        </is>
      </c>
      <c r="H141" t="inlineStr">
        <is>
          <t>Municipal</t>
        </is>
      </c>
      <c r="I141" t="inlineStr">
        <is>
          <t>2026-08-18T14:18:17</t>
        </is>
      </c>
      <c r="J141" t="inlineStr">
        <is>
          <t>Pregão - Presencial</t>
        </is>
      </c>
      <c r="K141" t="inlineStr">
        <is>
          <t>SOLICITAÇÃO DE ABERTURA DE PROCEDIMENTO LICITATÓRIO PERTINENTE VISANDO A CONTRATAÇÃO DE PRESTAÇÃO DE SERVIÇOS MECÂNICOS, ELÉTRICOS PARA MANUTENÇÃO DOS VEÍCULOS DA FROTA MUNICIPAL.</t>
        </is>
      </c>
      <c r="L141" t="b">
        <v>1</v>
      </c>
      <c r="M141" t="inlineStr">
        <is>
          <t>eletrica_predial</t>
        </is>
      </c>
      <c r="N141" t="inlineStr">
        <is>
          <t>eletrica_predial</t>
        </is>
      </c>
      <c r="O141" t="n">
        <v>2244573.72</v>
      </c>
      <c r="P141" t="n">
        <v>793710.5</v>
      </c>
      <c r="Q141" t="n">
        <v>814757.6766999998</v>
      </c>
      <c r="R141" t="n">
        <v>0.02583249661647615</v>
      </c>
      <c r="S141" t="n">
        <v>0</v>
      </c>
      <c r="T141" t="n">
        <v>68</v>
      </c>
      <c r="U141" t="n">
        <v>20</v>
      </c>
      <c r="V141" t="n">
        <v>57</v>
      </c>
      <c r="W141" t="n">
        <v>0</v>
      </c>
      <c r="X141" t="n">
        <v>0</v>
      </c>
      <c r="Y141" t="n">
        <v>0</v>
      </c>
      <c r="Z141" t="n">
        <v>0</v>
      </c>
      <c r="AA141" t="n">
        <v>0</v>
      </c>
      <c r="AB141" t="n">
        <v>0</v>
      </c>
      <c r="AC141" t="n">
        <v>0</v>
      </c>
      <c r="AD141" t="n">
        <v>0</v>
      </c>
      <c r="AE141" t="n">
        <v>3</v>
      </c>
      <c r="AF141" t="inlineStr">
        <is>
          <t>GONCALVES DISTRIBUIDORA LTDA:ME; HEYTOR G DE B CARDOSO PECAS:ME; ATS TRANSPORTADORA E BORRACHARIA LTDA:ME</t>
        </is>
      </c>
      <c r="AH141" t="inlineStr">
        <is>
          <t>pontual</t>
        </is>
      </c>
      <c r="AI141" t="n">
        <v>12</v>
      </c>
      <c r="AJ141" t="n">
        <v>0</v>
      </c>
      <c r="AK141" t="n">
        <v>0</v>
      </c>
      <c r="AL141" t="n">
        <v>0</v>
      </c>
      <c r="AM141" t="n">
        <v>1</v>
      </c>
      <c r="AN141" t="n">
        <v>0</v>
      </c>
      <c r="AP141" t="inlineStr">
        <is>
          <t>ngo Prazo LC = __Ativo Circulante__ Passivo Circulante V. QUANTO À QUALIFICAÇÃO TÉCNICA a) Atestado de Capacidade Técnica para comprovação de aptidão para fornecimento dos objetos desta licitação, através de atestado fornecido por Pessoa Jurídica de direito público ou privado, para a qual a interess…</t>
        </is>
      </c>
      <c r="AQ141" t="n">
        <v>1</v>
      </c>
      <c r="AR141" t="inlineStr">
        <is>
          <t>mencao_passagem</t>
        </is>
      </c>
      <c r="AS141" t="inlineStr">
        <is>
          <t>Confirmada exclusao automatica (mencao_passagem): pertinente visando a contratacao de prestacao de servicos mecanicos, eletricos para manutencao dos veiculos da frota municipal.</t>
        </is>
      </c>
      <c r="AT141" t="n">
        <v>0</v>
      </c>
      <c r="AU141" t="n">
        <v>0</v>
      </c>
    </row>
    <row r="142">
      <c r="A142" t="inlineStr">
        <is>
          <t>01304286000161_2025_139</t>
        </is>
      </c>
      <c r="B142" s="2" t="inlineStr">
        <is>
          <t>https://pncp.gov.br/app/editais/01304286000161/2025/139</t>
        </is>
      </c>
      <c r="C142" t="inlineStr">
        <is>
          <t>2026-09-27T04:46:29.571740+00:00</t>
        </is>
      </c>
      <c r="D142" t="inlineStr">
        <is>
          <t>GO</t>
        </is>
      </c>
      <c r="E142" t="inlineStr">
        <is>
          <t>GO</t>
        </is>
      </c>
      <c r="F142" t="inlineStr">
        <is>
          <t>Três Ranchos</t>
        </is>
      </c>
      <c r="G142" t="inlineStr">
        <is>
          <t>MUNICIPIO DE TRES RANCHOS</t>
        </is>
      </c>
      <c r="H142" t="inlineStr">
        <is>
          <t>Municipal</t>
        </is>
      </c>
      <c r="I142" t="inlineStr">
        <is>
          <t>2025-10-14T09:47:23</t>
        </is>
      </c>
      <c r="J142" t="inlineStr">
        <is>
          <t>Pregão - Presencial</t>
        </is>
      </c>
      <c r="K142" t="inlineStr">
        <is>
          <t>Locação de caminhão Munck com cesto aéreo para serviços de manutenção da iluminação pública e apoio em atividades municipais.</t>
        </is>
      </c>
      <c r="L142" t="b">
        <v>0</v>
      </c>
      <c r="M142" t="inlineStr">
        <is>
          <t>iluminacao_publica</t>
        </is>
      </c>
      <c r="N142" t="inlineStr">
        <is>
          <t>iluminacao_publica</t>
        </is>
      </c>
      <c r="O142" t="n">
        <v>208180.8</v>
      </c>
      <c r="P142" t="n">
        <v>154800</v>
      </c>
      <c r="Q142" t="n">
        <v>208180.8</v>
      </c>
      <c r="R142" t="n">
        <v>0.256415577229024</v>
      </c>
      <c r="S142" t="n">
        <v>0</v>
      </c>
      <c r="T142" t="n">
        <v>1</v>
      </c>
      <c r="U142" t="n">
        <v>1</v>
      </c>
      <c r="V142" t="n">
        <v>1</v>
      </c>
      <c r="W142" t="n">
        <v>0</v>
      </c>
      <c r="X142" t="n">
        <v>0</v>
      </c>
      <c r="Y142" t="n">
        <v>0</v>
      </c>
      <c r="Z142" t="n">
        <v>0</v>
      </c>
      <c r="AA142" t="n">
        <v>0</v>
      </c>
      <c r="AB142" t="n">
        <v>0</v>
      </c>
      <c r="AC142" t="n">
        <v>0</v>
      </c>
      <c r="AD142" t="n">
        <v>0</v>
      </c>
      <c r="AE142" t="n">
        <v>1</v>
      </c>
      <c r="AF142" t="inlineStr">
        <is>
          <t>APRESARE - EMPRESA DE LOCAÇÕES E ESCOLARES:ME</t>
        </is>
      </c>
      <c r="AH142" t="inlineStr">
        <is>
          <t>pontual</t>
        </is>
      </c>
      <c r="AI142" t="n">
        <v>12</v>
      </c>
      <c r="AJ142" t="n">
        <v>1</v>
      </c>
      <c r="AK142" t="n">
        <v>1</v>
      </c>
      <c r="AL142" t="n">
        <v>1</v>
      </c>
      <c r="AM142" t="n">
        <v>1</v>
      </c>
      <c r="AN142" t="n">
        <v>0</v>
      </c>
      <c r="AQ142" t="n">
        <v>0</v>
      </c>
      <c r="AS142" t="inlineStr">
        <is>
          <t>Nenhum dos 4 critérios de exclusão se aplica; objeto compatível com manutenção/pequena extensão de IP.</t>
        </is>
      </c>
      <c r="AT142" t="n">
        <v>0</v>
      </c>
      <c r="AU142" t="n">
        <v>1</v>
      </c>
    </row>
    <row r="143">
      <c r="A143" t="inlineStr">
        <is>
          <t>01318898000103_2026_54</t>
        </is>
      </c>
      <c r="B143" s="2" t="inlineStr">
        <is>
          <t>https://pncp.gov.br/app/editais/01318898000103/2026/54</t>
        </is>
      </c>
      <c r="C143" t="inlineStr">
        <is>
          <t>2026-09-27T03:42:38.950849+00:00</t>
        </is>
      </c>
      <c r="D143" t="inlineStr">
        <is>
          <t>GO</t>
        </is>
      </c>
      <c r="E143" t="inlineStr">
        <is>
          <t>GO</t>
        </is>
      </c>
      <c r="F143" t="inlineStr">
        <is>
          <t>Araçu</t>
        </is>
      </c>
      <c r="G143" t="inlineStr">
        <is>
          <t>MUNICIPIO DE ARACU</t>
        </is>
      </c>
      <c r="H143" t="inlineStr">
        <is>
          <t>Municipal</t>
        </is>
      </c>
      <c r="I143" t="inlineStr">
        <is>
          <t>2026-05-14T14:24:42</t>
        </is>
      </c>
      <c r="J143" t="inlineStr">
        <is>
          <t>Pregão - Eletrônico</t>
        </is>
      </c>
      <c r="K143" t="inlineStr">
        <is>
          <t>Registro de preços para contratação de empresa para fornecimento de materiais elétricos de forma continua e fracionada conforme demanda para a prefeitura e manutenção das redes elétricas do município e seus prédios.</t>
        </is>
      </c>
      <c r="L143" t="b">
        <v>1</v>
      </c>
      <c r="M143" t="inlineStr">
        <is>
          <t>eletrica_predial</t>
        </is>
      </c>
      <c r="N143" t="inlineStr">
        <is>
          <t>eletrica_predial</t>
        </is>
      </c>
      <c r="O143" t="n">
        <v>573740.36</v>
      </c>
      <c r="P143" t="n">
        <v>29749.44</v>
      </c>
      <c r="Q143" t="n">
        <v>59319.02000000001</v>
      </c>
      <c r="R143" t="n">
        <v>0.498483960119368</v>
      </c>
      <c r="S143" t="n">
        <v>0</v>
      </c>
      <c r="T143" t="n">
        <v>187</v>
      </c>
      <c r="U143" t="n">
        <v>40</v>
      </c>
      <c r="V143" t="n">
        <v>187</v>
      </c>
      <c r="W143" t="n">
        <v>0</v>
      </c>
      <c r="X143" t="n">
        <v>0</v>
      </c>
      <c r="Y143" t="n">
        <v>0</v>
      </c>
      <c r="Z143" t="n">
        <v>0</v>
      </c>
      <c r="AA143" t="n">
        <v>0</v>
      </c>
      <c r="AB143" t="n">
        <v>0</v>
      </c>
      <c r="AC143" t="n">
        <v>0</v>
      </c>
      <c r="AD143" t="n">
        <v>0</v>
      </c>
      <c r="AE143" t="n">
        <v>1</v>
      </c>
      <c r="AF143" t="inlineStr">
        <is>
          <t>ILUMINA GOIAS ILUMINAÇÃO LTDA:ME</t>
        </is>
      </c>
      <c r="AH143" t="inlineStr">
        <is>
          <t>pontual</t>
        </is>
      </c>
      <c r="AJ143" t="n">
        <v>0</v>
      </c>
      <c r="AK143" t="n">
        <v>0</v>
      </c>
      <c r="AL143" t="n">
        <v>0</v>
      </c>
      <c r="AM143" t="n">
        <v>0</v>
      </c>
      <c r="AN143" t="n">
        <v>0</v>
      </c>
      <c r="AQ143" t="n">
        <v>1</v>
      </c>
      <c r="AR143" t="inlineStr">
        <is>
          <t>fornecimento_puro</t>
        </is>
      </c>
      <c r="AS143" t="inlineStr">
        <is>
          <t>Confirmada exclusao automatica (fornecimento_puro): 187 item(ns), todos classificados como material (sem servico).</t>
        </is>
      </c>
      <c r="AT143" t="n">
        <v>1</v>
      </c>
      <c r="AU143" t="n">
        <v>0</v>
      </c>
    </row>
    <row r="144">
      <c r="A144" t="inlineStr">
        <is>
          <t>01319326000149_2026_19</t>
        </is>
      </c>
      <c r="B144" s="2" t="inlineStr">
        <is>
          <t>https://pncp.gov.br/app/editais/01319326000149/2026/19</t>
        </is>
      </c>
      <c r="C144" t="inlineStr">
        <is>
          <t>2026-09-27T04:39:21.610708+00:00</t>
        </is>
      </c>
      <c r="D144" t="inlineStr">
        <is>
          <t>GO</t>
        </is>
      </c>
      <c r="E144" t="inlineStr">
        <is>
          <t>GO</t>
        </is>
      </c>
      <c r="F144" t="inlineStr">
        <is>
          <t>Caturaí</t>
        </is>
      </c>
      <c r="G144" t="inlineStr">
        <is>
          <t>MUNICIPIO DE CATURAI</t>
        </is>
      </c>
      <c r="H144" t="inlineStr">
        <is>
          <t>Municipal</t>
        </is>
      </c>
      <c r="I144" t="inlineStr">
        <is>
          <t>2026-03-12T16:09:21</t>
        </is>
      </c>
      <c r="J144" t="inlineStr">
        <is>
          <t>Pregão - Eletrônico</t>
        </is>
      </c>
      <c r="K144" t="inlineStr">
        <is>
          <t>[LICITANET] - Fornecimento de materiais elétricos diversos, de boa qualidade, para atender as necessidades da Iluminação Pública de ruas e avenidas e outros órgãos do Município de Caturai</t>
        </is>
      </c>
      <c r="L144" t="b">
        <v>1</v>
      </c>
      <c r="M144" t="inlineStr">
        <is>
          <t>iluminacao_publica</t>
        </is>
      </c>
      <c r="N144" t="inlineStr">
        <is>
          <t>iluminacao_publica</t>
        </is>
      </c>
      <c r="O144" t="n">
        <v>2371511.9</v>
      </c>
      <c r="P144" t="n">
        <v>632270.25</v>
      </c>
      <c r="Q144" t="n">
        <v>1602065.2</v>
      </c>
      <c r="R144" t="n">
        <v>0.6053405004989809</v>
      </c>
      <c r="S144" t="n">
        <v>0</v>
      </c>
      <c r="T144" t="n">
        <v>65</v>
      </c>
      <c r="U144" t="n">
        <v>40</v>
      </c>
      <c r="V144" t="n">
        <v>65</v>
      </c>
      <c r="W144" t="n">
        <v>0</v>
      </c>
      <c r="X144" t="n">
        <v>0</v>
      </c>
      <c r="Y144" t="n">
        <v>0</v>
      </c>
      <c r="Z144" t="n">
        <v>0</v>
      </c>
      <c r="AA144" t="n">
        <v>1</v>
      </c>
      <c r="AB144" t="n">
        <v>0</v>
      </c>
      <c r="AC144" t="n">
        <v>0</v>
      </c>
      <c r="AD144" t="n">
        <v>0</v>
      </c>
      <c r="AE144" t="n">
        <v>2</v>
      </c>
      <c r="AF144" t="inlineStr">
        <is>
          <t>TRIUNFO ILUMINACAO LTDA:EPP; MORK TELECOM PRODUTOS E SERVICOS PARA TELECOMUNICACOES LTDA:ME</t>
        </is>
      </c>
      <c r="AH144" t="inlineStr">
        <is>
          <t>pontual</t>
        </is>
      </c>
      <c r="AJ144" t="n">
        <v>0</v>
      </c>
      <c r="AK144" t="n">
        <v>0</v>
      </c>
      <c r="AL144" t="n">
        <v>0</v>
      </c>
      <c r="AM144" t="n">
        <v>0</v>
      </c>
      <c r="AN144" t="n">
        <v>0</v>
      </c>
      <c r="AQ144" t="n">
        <v>1</v>
      </c>
      <c r="AR144" t="inlineStr">
        <is>
          <t>fornecimento_puro</t>
        </is>
      </c>
      <c r="AS144" t="inlineStr">
        <is>
          <t>Registro de preços/contratação de fornecimento de materiais, sem mão de obra de manutenção contratada.</t>
        </is>
      </c>
      <c r="AT144" t="n">
        <v>0</v>
      </c>
      <c r="AU144" t="n">
        <v>0</v>
      </c>
    </row>
    <row r="145">
      <c r="A145" t="inlineStr">
        <is>
          <t>01319326000149_2026_49</t>
        </is>
      </c>
      <c r="B145" s="2" t="inlineStr">
        <is>
          <t>https://pncp.gov.br/app/editais/01319326000149/2026/49</t>
        </is>
      </c>
      <c r="C145" t="inlineStr">
        <is>
          <t>2026-09-27T03:10:26.080264+00:00</t>
        </is>
      </c>
      <c r="D145" t="inlineStr">
        <is>
          <t>GO</t>
        </is>
      </c>
      <c r="E145" t="inlineStr">
        <is>
          <t>GO</t>
        </is>
      </c>
      <c r="F145" t="inlineStr">
        <is>
          <t>Caturaí</t>
        </is>
      </c>
      <c r="G145" t="inlineStr">
        <is>
          <t>MUNICIPIO DE CATURAI</t>
        </is>
      </c>
      <c r="H145" t="inlineStr">
        <is>
          <t>Municipal</t>
        </is>
      </c>
      <c r="I145" t="inlineStr">
        <is>
          <t>2026-07-13T14:46:15</t>
        </is>
      </c>
      <c r="J145" t="inlineStr">
        <is>
          <t>Pregão - Eletrônico</t>
        </is>
      </c>
      <c r="K145" t="inlineStr">
        <is>
          <t>[LICITANET] - Aquisição de materiais de construção civil, hidráulica, elétrica, pintura, jardinagem, EPI e ferramentas gerais para manutenção predial, reformas, pequenos reparos e atividades operacionais em edifícios e áreas externas, visando o bom funcionamento e a conservação das instalações físicas da instituição.</t>
        </is>
      </c>
      <c r="L145" t="b">
        <v>1</v>
      </c>
      <c r="M145" t="inlineStr">
        <is>
          <t>eletrica_predial</t>
        </is>
      </c>
      <c r="N145" t="inlineStr">
        <is>
          <t>eletrica_predial</t>
        </is>
      </c>
      <c r="O145" t="n">
        <v>1096633.27</v>
      </c>
      <c r="P145" t="n">
        <v>190617.45</v>
      </c>
      <c r="Q145" t="n">
        <v>248508.7</v>
      </c>
      <c r="R145" t="n">
        <v>0.2329546209046202</v>
      </c>
      <c r="S145" t="n">
        <v>0</v>
      </c>
      <c r="T145" t="n">
        <v>292</v>
      </c>
      <c r="U145" t="n">
        <v>40</v>
      </c>
      <c r="V145" t="n">
        <v>292</v>
      </c>
      <c r="W145" t="n">
        <v>0</v>
      </c>
      <c r="X145" t="n">
        <v>0</v>
      </c>
      <c r="Y145" t="n">
        <v>0</v>
      </c>
      <c r="Z145" t="n">
        <v>0</v>
      </c>
      <c r="AA145" t="n">
        <v>1</v>
      </c>
      <c r="AB145" t="n">
        <v>0</v>
      </c>
      <c r="AC145" t="n">
        <v>0</v>
      </c>
      <c r="AD145" t="n">
        <v>1</v>
      </c>
      <c r="AE145" t="n">
        <v>2</v>
      </c>
      <c r="AF145" t="inlineStr">
        <is>
          <t>COMERCIAL PONTO CERTO FERRAGISTA LTDA:ME; ROSA CAFE IMPORTS LTDA:ME</t>
        </is>
      </c>
      <c r="AH145" t="inlineStr">
        <is>
          <t>pontual</t>
        </is>
      </c>
      <c r="AI145" t="n">
        <v>12</v>
      </c>
      <c r="AJ145" t="n">
        <v>0</v>
      </c>
      <c r="AK145" t="n">
        <v>0</v>
      </c>
      <c r="AL145" t="n">
        <v>0</v>
      </c>
      <c r="AM145" t="n">
        <v>1</v>
      </c>
      <c r="AN145" t="n">
        <v>0</v>
      </c>
      <c r="AP145" t="inlineStr">
        <is>
          <t>ais indicados pelo Município, dentro do território municipal; 9.4. Não será admitida exigência de quantitativo mínimo para entrega; 9.5. Todas as despesas com transporte, frete, carga, descarga, seguro e demais encargos correrão por conta da Contratada 10. DO RECEBIMENTO DOS MATERIAIS</t>
        </is>
      </c>
      <c r="AQ145" t="n">
        <v>1</v>
      </c>
      <c r="AR145" t="inlineStr">
        <is>
          <t>fornecimento_puro</t>
        </is>
      </c>
      <c r="AS145" t="inlineStr">
        <is>
          <t>Confirmada exclusao automatica (fornecimento_puro): 292 item(ns), todos classificados como material (sem servico).</t>
        </is>
      </c>
      <c r="AT145" t="n">
        <v>1</v>
      </c>
      <c r="AU145" t="n">
        <v>0</v>
      </c>
    </row>
    <row r="146">
      <c r="A146" t="inlineStr">
        <is>
          <t>01345537000156_2026_269</t>
        </is>
      </c>
      <c r="B146" s="2" t="inlineStr">
        <is>
          <t>https://pncp.gov.br/app/editais/01345537000156/2026/269</t>
        </is>
      </c>
      <c r="C146" t="inlineStr">
        <is>
          <t>2026-09-27T03:44:58.171104+00:00</t>
        </is>
      </c>
      <c r="D146" t="inlineStr">
        <is>
          <t>GO</t>
        </is>
      </c>
      <c r="E146" t="inlineStr">
        <is>
          <t>GO</t>
        </is>
      </c>
      <c r="F146" t="inlineStr">
        <is>
          <t>Aloândia</t>
        </is>
      </c>
      <c r="G146" t="inlineStr">
        <is>
          <t>MUNICIPIO DE ALOANDIA</t>
        </is>
      </c>
      <c r="H146" t="inlineStr">
        <is>
          <t>Municipal</t>
        </is>
      </c>
      <c r="I146" t="inlineStr">
        <is>
          <t>2026-05-05T08:56:26</t>
        </is>
      </c>
      <c r="J146" t="inlineStr">
        <is>
          <t>Pregão - Eletrônico</t>
        </is>
      </c>
      <c r="K146" t="inlineStr">
        <is>
          <t>ADESÃO A ATA DE REGISTRO DE PREÇOS PARA FORNECIMENTO DE EQUIPAMENTOS E MATERIAIS ELÉTRICOS EM GERAL, PARA MANUTENÇÃO E REPAROS DA REDE DE ILUMINAÇÃO E PRÉDIOS PÚBLICOS DO PODER EXECUTIVO E DEMAIS ÓRGÃOS DA ADMINISTRAÇÃO DO MUNICÍPIO DE ALOÂNDIA</t>
        </is>
      </c>
      <c r="L146" t="b">
        <v>1</v>
      </c>
      <c r="M146" t="inlineStr">
        <is>
          <t>iluminacao_publica</t>
        </is>
      </c>
      <c r="N146" t="inlineStr">
        <is>
          <t>iluminacao_publica</t>
        </is>
      </c>
      <c r="O146" t="n">
        <v>471095.6</v>
      </c>
      <c r="P146" t="n">
        <v>145277</v>
      </c>
      <c r="Q146" t="n">
        <v>145277</v>
      </c>
      <c r="R146" t="n">
        <v>0</v>
      </c>
      <c r="S146" t="n">
        <v>0</v>
      </c>
      <c r="T146" t="n">
        <v>87</v>
      </c>
      <c r="U146" t="n">
        <v>40</v>
      </c>
      <c r="V146" t="n">
        <v>87</v>
      </c>
      <c r="W146" t="n">
        <v>0</v>
      </c>
      <c r="X146" t="n">
        <v>0</v>
      </c>
      <c r="Y146" t="n">
        <v>0</v>
      </c>
      <c r="Z146" t="n">
        <v>0</v>
      </c>
      <c r="AA146" t="n">
        <v>0</v>
      </c>
      <c r="AB146" t="n">
        <v>0</v>
      </c>
      <c r="AC146" t="n">
        <v>0</v>
      </c>
      <c r="AD146" t="n">
        <v>0</v>
      </c>
      <c r="AE146" t="n">
        <v>1</v>
      </c>
      <c r="AF146" t="inlineStr">
        <is>
          <t>BRASIL ILUMINACAO E CONSTRUCAO LTDA:ME</t>
        </is>
      </c>
      <c r="AH146" t="inlineStr">
        <is>
          <t>pontual</t>
        </is>
      </c>
      <c r="AJ146" t="n">
        <v>0</v>
      </c>
      <c r="AK146" t="n">
        <v>0</v>
      </c>
      <c r="AL146" t="n">
        <v>0</v>
      </c>
      <c r="AM146" t="n">
        <v>0</v>
      </c>
      <c r="AN146" t="n">
        <v>0</v>
      </c>
      <c r="AQ146" t="n">
        <v>1</v>
      </c>
      <c r="AR146" t="inlineStr">
        <is>
          <t>fornecimento_puro</t>
        </is>
      </c>
      <c r="AS146" t="inlineStr">
        <is>
          <t>Registro de preços/contratação de fornecimento de materiais, sem mão de obra de manutenção contratada.</t>
        </is>
      </c>
      <c r="AT146" t="n">
        <v>1</v>
      </c>
      <c r="AU146" t="n">
        <v>0</v>
      </c>
    </row>
    <row r="147">
      <c r="A147" t="inlineStr">
        <is>
          <t>01345909000144_2026_113</t>
        </is>
      </c>
      <c r="B147" s="2" t="inlineStr">
        <is>
          <t>https://pncp.gov.br/app/editais/01345909000144/2026/113</t>
        </is>
      </c>
      <c r="C147" t="inlineStr">
        <is>
          <t>2026-09-27T14:35:30.150208+00:00</t>
        </is>
      </c>
      <c r="D147" t="inlineStr">
        <is>
          <t>GO</t>
        </is>
      </c>
      <c r="E147" t="inlineStr">
        <is>
          <t>GO</t>
        </is>
      </c>
      <c r="F147" t="inlineStr">
        <is>
          <t>Buriti Alegre</t>
        </is>
      </c>
      <c r="G147" t="inlineStr">
        <is>
          <t>MUNICIPIO DE BURITI ALEGRE</t>
        </is>
      </c>
      <c r="H147" t="inlineStr">
        <is>
          <t>Municipal</t>
        </is>
      </c>
      <c r="I147" t="inlineStr">
        <is>
          <t>2026-06-12T13:16:39</t>
        </is>
      </c>
      <c r="J147" t="inlineStr">
        <is>
          <t>Pregão - Eletrônico</t>
        </is>
      </c>
      <c r="K147" t="inlineStr">
        <is>
          <t xml:space="preserve">Contratação de pessoa jurídica, para a prestação de serviços contínuos na manutenção do Parque de Iluminação Pública Automatizado. Os serviços constituem a execução de Manutenção preditiva, preventiva e corretiva, em Praças, Ruas e Avenidas da cidade de Buriti Alegre e nos povoados do Iate e Corumbazul neste Município de Buriti Alegre – GO.   Incluindo o fornecimento de mão de obra, equipamentos, veículos e todas as atividades que para tanto se façam necessárias, ao bom desempenho dos serviços, </t>
        </is>
      </c>
      <c r="L147" t="b">
        <v>0</v>
      </c>
      <c r="M147" t="inlineStr">
        <is>
          <t>iluminacao_publica</t>
        </is>
      </c>
      <c r="N147" t="inlineStr">
        <is>
          <t>iluminacao_publica</t>
        </is>
      </c>
      <c r="O147" t="n">
        <v>783057.72</v>
      </c>
      <c r="P147" t="n">
        <v>451800</v>
      </c>
      <c r="Q147" t="n">
        <v>783057.72</v>
      </c>
      <c r="R147" t="n">
        <v>0.4230310378652546</v>
      </c>
      <c r="S147" t="n">
        <v>0</v>
      </c>
      <c r="T147" t="n">
        <v>1</v>
      </c>
      <c r="U147" t="n">
        <v>1</v>
      </c>
      <c r="V147" t="n">
        <v>1</v>
      </c>
      <c r="W147" t="n">
        <v>0</v>
      </c>
      <c r="X147" t="n">
        <v>0</v>
      </c>
      <c r="Y147" t="n">
        <v>0</v>
      </c>
      <c r="Z147" t="n">
        <v>0</v>
      </c>
      <c r="AA147" t="n">
        <v>0</v>
      </c>
      <c r="AB147" t="n">
        <v>0</v>
      </c>
      <c r="AC147" t="n">
        <v>0</v>
      </c>
      <c r="AD147" t="n">
        <v>0</v>
      </c>
      <c r="AE147" t="n">
        <v>1</v>
      </c>
      <c r="AF147" t="inlineStr">
        <is>
          <t>T-LUX ENGENHARIA E SOLUCOES TECNOLOGICAS LTDA:EPP</t>
        </is>
      </c>
      <c r="AH147" t="inlineStr">
        <is>
          <t>continuado</t>
        </is>
      </c>
      <c r="AI147" t="n">
        <v>12</v>
      </c>
      <c r="AJ147" t="n">
        <v>1</v>
      </c>
      <c r="AK147" t="n">
        <v>0</v>
      </c>
      <c r="AL147" t="n">
        <v>0</v>
      </c>
      <c r="AM147" t="n">
        <v>1</v>
      </c>
      <c r="AN147" t="n">
        <v>1</v>
      </c>
      <c r="AP147" t="inlineStr">
        <is>
          <t>de aérea energizada, no mínimo 1.452 pontos; 13.14.3.3 Será admitida, para fins de comprovação de quantitativo mínimo, a apresentação e o somatório de diferentes atestados executados de forma concomitante. 13.14.3.4 Os atestados de capacidade técnica poderão ser apresentados em nome da matriz ou da…</t>
        </is>
      </c>
      <c r="AQ147" t="n">
        <v>0</v>
      </c>
      <c r="AS147" t="inlineStr">
        <is>
          <t>SUPLEMENTAR (GO) — Buriti Alegre: serviço contínuo de manutenção preditiva/preventiva/corretiva de todo o parque de IP automatizado (mín. 1.452 pontos), incluindo mão de obra, equipamentos e veículo utilitário com cesto aéreo isolado (46kV, até 10m, 136kg). Núcleo exato do escopo da empresa. Texto do edital já baixado pelo coletor confirma exigências de veículo/habilitação.</t>
        </is>
      </c>
      <c r="AT147" t="n">
        <v>0</v>
      </c>
      <c r="AU147" t="n">
        <v>1</v>
      </c>
    </row>
    <row r="148">
      <c r="A148" t="inlineStr">
        <is>
          <t>01345909000144_2026_96</t>
        </is>
      </c>
      <c r="B148" s="2" t="inlineStr">
        <is>
          <t>https://pncp.gov.br/app/editais/01345909000144/2026/96</t>
        </is>
      </c>
      <c r="C148" t="inlineStr">
        <is>
          <t>2026-09-27T03:46:33.382617+00:00</t>
        </is>
      </c>
      <c r="D148" t="inlineStr">
        <is>
          <t>GO</t>
        </is>
      </c>
      <c r="E148" t="inlineStr">
        <is>
          <t>GO</t>
        </is>
      </c>
      <c r="F148" t="inlineStr">
        <is>
          <t>Buriti Alegre</t>
        </is>
      </c>
      <c r="G148" t="inlineStr">
        <is>
          <t>MUNICIPIO DE BURITI ALEGRE</t>
        </is>
      </c>
      <c r="H148" t="inlineStr">
        <is>
          <t>Municipal</t>
        </is>
      </c>
      <c r="I148" t="inlineStr">
        <is>
          <t>2026-04-23T09:43:50</t>
        </is>
      </c>
      <c r="J148" t="inlineStr">
        <is>
          <t>Pregão - Eletrônico</t>
        </is>
      </c>
      <c r="K148" t="inlineStr">
        <is>
          <t>Contratação(ões) de pessoa(s) jurídica(s) para os fornecimentos de Materiais de Construção e Materiais Elétricos, destinados para atender as demandas das Secretarias e Departamentos da Prefeitura Municipal, Fundo Municipal Saúde, Fundo Municipal de Educação e Fundo Municipal de Assistência Social, deste Município de Buriti Alegre, Estado de Goiás. Por um período de 12 meses, conforme condições, quantidades e exigências estabelecidas no termo de referência, sendo parte integrante das solicitações</t>
        </is>
      </c>
      <c r="L148" t="b">
        <v>1</v>
      </c>
      <c r="M148" t="inlineStr">
        <is>
          <t>eletrica_predial</t>
        </is>
      </c>
      <c r="N148" t="inlineStr">
        <is>
          <t>eletrica_predial</t>
        </is>
      </c>
      <c r="O148" t="n">
        <v>2484008.59</v>
      </c>
      <c r="P148" t="n">
        <v>425741.49</v>
      </c>
      <c r="Q148" t="n">
        <v>575411.64</v>
      </c>
      <c r="R148" t="n">
        <v>0.2601097016389867</v>
      </c>
      <c r="S148" t="n">
        <v>0</v>
      </c>
      <c r="T148" t="n">
        <v>243</v>
      </c>
      <c r="U148" t="n">
        <v>40</v>
      </c>
      <c r="V148" t="n">
        <v>69</v>
      </c>
      <c r="W148" t="n">
        <v>0</v>
      </c>
      <c r="X148" t="n">
        <v>0</v>
      </c>
      <c r="Y148" t="n">
        <v>0</v>
      </c>
      <c r="Z148" t="n">
        <v>0</v>
      </c>
      <c r="AA148" t="n">
        <v>0</v>
      </c>
      <c r="AB148" t="n">
        <v>0</v>
      </c>
      <c r="AC148" t="n">
        <v>0</v>
      </c>
      <c r="AD148" t="n">
        <v>1</v>
      </c>
      <c r="AE148" t="n">
        <v>8</v>
      </c>
      <c r="AF148" t="inlineStr">
        <is>
          <t>COMERCIAL D &amp; V LTDA:ME; CONSOMAR MATERIAL ELETRICO E HIDRAULICO LTDA:ME; COMERCIAL VANGUARDEIRA LTDA:Demais; ODORICO CUSTODIO  FILHO:Demais; MRM PRESTACAO DE SERVICOS LTDA:Demais; ELEKTRON SISTEMAS ELETRICOS LTDA ME:ME; SUNLED INDUSTRIA E COMERCIO DE MATERIAIS ELETRICOS LTDA:ME; MASTERFER COMERCIO DE FERRAGENS LTDA:ME</t>
        </is>
      </c>
      <c r="AH148" t="inlineStr">
        <is>
          <t>pontual</t>
        </is>
      </c>
      <c r="AI148" t="n">
        <v>3</v>
      </c>
      <c r="AJ148" t="n">
        <v>0</v>
      </c>
      <c r="AK148" t="n">
        <v>0</v>
      </c>
      <c r="AL148" t="n">
        <v>0</v>
      </c>
      <c r="AM148" t="n">
        <v>1</v>
      </c>
      <c r="AN148" t="n">
        <v>0</v>
      </c>
      <c r="AP148" t="inlineStr">
        <is>
          <t>3444 9901 www.buritialegre.go.gov.br 13.14.4.2 Será admitida, para fins de comprovação de quantitativo mínimo, a apresentação e o somatório de diferentes atestados executados de forma concomitante. 13.14.4.3 Os atestados de capacidade técnica poderão ser apresentados em nome da matriz ou da filial d…</t>
        </is>
      </c>
      <c r="AQ148" t="n">
        <v>1</v>
      </c>
      <c r="AR148" t="inlineStr">
        <is>
          <t>fornecimento_puro</t>
        </is>
      </c>
      <c r="AS148" t="inlineStr">
        <is>
          <t>Confirmada exclusao automatica (fornecimento_puro): 243 item(ns), todos classificados como material (sem servico).</t>
        </is>
      </c>
      <c r="AT148" t="n">
        <v>0</v>
      </c>
      <c r="AU148" t="n">
        <v>0</v>
      </c>
    </row>
    <row r="149">
      <c r="A149" t="inlineStr">
        <is>
          <t>01362680000156_2026_124</t>
        </is>
      </c>
      <c r="B149" s="2" t="inlineStr">
        <is>
          <t>https://pncp.gov.br/app/editais/01362680000156/2026/124</t>
        </is>
      </c>
      <c r="C149" t="inlineStr">
        <is>
          <t>2026-09-27T05:11:49.356260+00:00</t>
        </is>
      </c>
      <c r="D149" t="inlineStr">
        <is>
          <t>MT</t>
        </is>
      </c>
      <c r="E149" t="inlineStr">
        <is>
          <t>vizinhos</t>
        </is>
      </c>
      <c r="F149" t="inlineStr">
        <is>
          <t>Alto Taquari</t>
        </is>
      </c>
      <c r="G149" t="inlineStr">
        <is>
          <t>MUNICIPIO DE ALTO TAQUARI</t>
        </is>
      </c>
      <c r="H149" t="inlineStr">
        <is>
          <t>Municipal</t>
        </is>
      </c>
      <c r="I149" t="inlineStr">
        <is>
          <t>2026-08-31T08:59:08</t>
        </is>
      </c>
      <c r="J149" t="inlineStr">
        <is>
          <t>Concorrência - Eletrônica</t>
        </is>
      </c>
      <c r="K149" t="inlineStr">
        <is>
          <t>EXTENSÃO DE REDE DE DISTRIBUIÇÃO DE ENERGIA ELÉTRICA E ILUMINAÇÃO PÚBLICA NO LOTEAMENTO SÃO JOSÉ, MUNICÍPIO DE ALTO TAQUARI - MT.</t>
        </is>
      </c>
      <c r="L149" t="b">
        <v>0</v>
      </c>
      <c r="M149" t="inlineStr">
        <is>
          <t>iluminacao_publica</t>
        </is>
      </c>
      <c r="N149" t="inlineStr">
        <is>
          <t>iluminacao_publica</t>
        </is>
      </c>
      <c r="O149" t="n">
        <v>676089.48</v>
      </c>
      <c r="P149" t="n">
        <v>330810</v>
      </c>
      <c r="Q149" t="n">
        <v>676089.48</v>
      </c>
      <c r="R149" t="n">
        <v>0.5107008616670089</v>
      </c>
      <c r="S149" t="n">
        <v>0</v>
      </c>
      <c r="T149" t="n">
        <v>1</v>
      </c>
      <c r="U149" t="n">
        <v>1</v>
      </c>
      <c r="V149" t="n">
        <v>1</v>
      </c>
      <c r="W149" t="n">
        <v>0</v>
      </c>
      <c r="X149" t="n">
        <v>0</v>
      </c>
      <c r="Y149" t="n">
        <v>0</v>
      </c>
      <c r="Z149" t="n">
        <v>0</v>
      </c>
      <c r="AA149" t="n">
        <v>0</v>
      </c>
      <c r="AB149" t="n">
        <v>0</v>
      </c>
      <c r="AC149" t="n">
        <v>0</v>
      </c>
      <c r="AD149" t="n">
        <v>0</v>
      </c>
      <c r="AE149" t="n">
        <v>1</v>
      </c>
      <c r="AF149" t="inlineStr">
        <is>
          <t>ELETRICA RADIANTE MATERIAIS ELETRICOS LTDA:ME</t>
        </is>
      </c>
      <c r="AH149" t="inlineStr">
        <is>
          <t>indefinido</t>
        </is>
      </c>
      <c r="AJ149" t="n">
        <v>0</v>
      </c>
      <c r="AK149" t="n">
        <v>0</v>
      </c>
      <c r="AL149" t="n">
        <v>0</v>
      </c>
      <c r="AM149" t="n">
        <v>0</v>
      </c>
      <c r="AN149" t="n">
        <v>0</v>
      </c>
      <c r="AQ149" t="n">
        <v>0</v>
      </c>
      <c r="AS149" t="inlineStr">
        <is>
          <t>Nenhum dos 4 critérios de exclusão se aplica; objeto compatível com manutenção/pequena extensão de IP.</t>
        </is>
      </c>
      <c r="AT149" t="n">
        <v>0</v>
      </c>
      <c r="AU149" t="n">
        <v>1</v>
      </c>
    </row>
    <row r="150">
      <c r="A150" t="inlineStr">
        <is>
          <t>01367853000129_2026_4</t>
        </is>
      </c>
      <c r="B150" s="2" t="inlineStr">
        <is>
          <t>https://pncp.gov.br/app/editais/01367853000129/2026/4</t>
        </is>
      </c>
      <c r="C150" t="inlineStr">
        <is>
          <t>2026-09-27T05:10:24.970462+00:00</t>
        </is>
      </c>
      <c r="D150" t="inlineStr">
        <is>
          <t>MT</t>
        </is>
      </c>
      <c r="E150" t="inlineStr">
        <is>
          <t>vizinhos</t>
        </is>
      </c>
      <c r="F150" t="inlineStr">
        <is>
          <t>Comodoro</t>
        </is>
      </c>
      <c r="G150" t="inlineStr">
        <is>
          <t>MUNICIPIO DE COMODORO</t>
        </is>
      </c>
      <c r="H150" t="inlineStr">
        <is>
          <t>Municipal</t>
        </is>
      </c>
      <c r="I150" t="inlineStr">
        <is>
          <t>2026-02-12T10:58:43</t>
        </is>
      </c>
      <c r="J150" t="inlineStr">
        <is>
          <t>Pregão - Eletrônico</t>
        </is>
      </c>
      <c r="K150" t="inlineStr">
        <is>
          <t>[LICITANET] - REGISTRO DE PREÇO PARA FUTURA E EVENTUAL CONTRATAÇÃO DE PRESTAÇÃO DE SERVIÇO - CÓPIA DE CHAVE, SERVIÇOS GERAL DE CHAVES, FECHADURA, REFRIGERAÇÃO BÁSICA SENDO RETIRADA, LIMPEZA E REINSTALAÇÃO DE AR CONDICIONADO, REFRIGERAÇÃO AVANÇADA SENDO SERVIÇO COM PEÇA</t>
        </is>
      </c>
      <c r="L150" t="b">
        <v>1</v>
      </c>
      <c r="M150" t="inlineStr">
        <is>
          <t>refrigeracao</t>
        </is>
      </c>
      <c r="N150" t="inlineStr">
        <is>
          <t>refrigeracao</t>
        </is>
      </c>
      <c r="O150" t="n">
        <v>25982770.06</v>
      </c>
      <c r="P150" t="n">
        <v>12652601.55</v>
      </c>
      <c r="Q150" t="n">
        <v>19417839.24</v>
      </c>
      <c r="R150" t="n">
        <v>0.3484032186271204</v>
      </c>
      <c r="S150" t="n">
        <v>0</v>
      </c>
      <c r="T150" t="n">
        <v>69</v>
      </c>
      <c r="U150" t="n">
        <v>40</v>
      </c>
      <c r="V150" t="n">
        <v>69</v>
      </c>
      <c r="W150" t="n">
        <v>0</v>
      </c>
      <c r="X150" t="n">
        <v>0</v>
      </c>
      <c r="Y150" t="n">
        <v>0</v>
      </c>
      <c r="Z150" t="n">
        <v>0</v>
      </c>
      <c r="AA150" t="n">
        <v>0</v>
      </c>
      <c r="AB150" t="n">
        <v>0</v>
      </c>
      <c r="AC150" t="n">
        <v>0</v>
      </c>
      <c r="AD150" t="n">
        <v>0</v>
      </c>
      <c r="AE150" t="n">
        <v>2</v>
      </c>
      <c r="AF150" t="inlineStr">
        <is>
          <t>CLIMAQ ASSISTENCIA LTDA:ME; RNV PRESTACAO E TERCEIRIZACAO DE SERVICOS LTDA:ME</t>
        </is>
      </c>
      <c r="AH150" t="inlineStr">
        <is>
          <t>pontual</t>
        </is>
      </c>
      <c r="AJ150" t="n">
        <v>0</v>
      </c>
      <c r="AK150" t="n">
        <v>0</v>
      </c>
      <c r="AL150" t="n">
        <v>0</v>
      </c>
      <c r="AM150" t="n">
        <v>0</v>
      </c>
      <c r="AN150" t="n">
        <v>0</v>
      </c>
      <c r="AQ150" t="n">
        <v>0</v>
      </c>
      <c r="AR150" t="inlineStr">
        <is>
          <t>fora_do_nucleo</t>
        </is>
      </c>
      <c r="AS150" t="inlineStr">
        <is>
          <t>ARP geral de R$25,98 milhoes dominada por ar-condicionado split/climatizadores industriais (~70% do valor), chaves/fechaduras, fogao industrial e lavadoras de roupa (~25%); o unico item de 'camara para conservacao de vacinas' vale R$14.716 (&lt;0,1% do valor total). Maior outlier de valor do grupo vizinhos -- excluir evita distorcer fortemente os indicadores de MT.</t>
        </is>
      </c>
      <c r="AT150" t="n">
        <v>0</v>
      </c>
      <c r="AU150" t="n">
        <v>0</v>
      </c>
    </row>
    <row r="151">
      <c r="A151" t="inlineStr">
        <is>
          <t>01373497000156_2026_218</t>
        </is>
      </c>
      <c r="B151" s="2" t="inlineStr">
        <is>
          <t>https://pncp.gov.br/app/editais/01373497000156/2026/218</t>
        </is>
      </c>
      <c r="C151" t="inlineStr">
        <is>
          <t>2026-09-27T03:36:13.773360+00:00</t>
        </is>
      </c>
      <c r="D151" t="inlineStr">
        <is>
          <t>GO</t>
        </is>
      </c>
      <c r="E151" t="inlineStr">
        <is>
          <t>GO</t>
        </is>
      </c>
      <c r="F151" t="inlineStr">
        <is>
          <t>Guapó</t>
        </is>
      </c>
      <c r="G151" t="inlineStr">
        <is>
          <t>MUNICIPIO DE GUAPO</t>
        </is>
      </c>
      <c r="H151" t="inlineStr">
        <is>
          <t>Municipal</t>
        </is>
      </c>
      <c r="I151" t="inlineStr">
        <is>
          <t>2026-07-10T10:34:36</t>
        </is>
      </c>
      <c r="J151" t="inlineStr">
        <is>
          <t>Pregão - Eletrônico</t>
        </is>
      </c>
      <c r="K151" t="inlineStr">
        <is>
          <t>AQUISIÇÃO E INSTALAÇÃO DE 01 (UM) GRUPO GERADOR DE ENERGIA ELÉTRICA, COM POTÊNCIA NOMINAL MÍNIMA DE 150 KVA, INCLUINDO TODOS OS MATERIAIS, ACESSÓRIOS, SERVIÇOS DE MONTAGEM, INSTALAÇÃO, TESTES OPERACIONAIS E DEMAIS ADEQUAÇÕES NECESSÁRIAS AO SEU PLENO FUNCIONAMENTO, DESTINADO AO AMBULATÓRIO 24H DO MUNICÍPIO DE GUAPÓ</t>
        </is>
      </c>
      <c r="L151" t="b">
        <v>1</v>
      </c>
      <c r="M151" t="inlineStr">
        <is>
          <t>eletrica_predial</t>
        </is>
      </c>
      <c r="N151" t="inlineStr">
        <is>
          <t>eletrica_predial</t>
        </is>
      </c>
      <c r="O151" t="n">
        <v>170016.67</v>
      </c>
      <c r="P151" t="n">
        <v>148000</v>
      </c>
      <c r="Q151" t="n">
        <v>170016.67</v>
      </c>
      <c r="R151" t="n">
        <v>0.1294971251936649</v>
      </c>
      <c r="S151" t="n">
        <v>0</v>
      </c>
      <c r="T151" t="n">
        <v>1</v>
      </c>
      <c r="U151" t="n">
        <v>1</v>
      </c>
      <c r="V151" t="n">
        <v>1</v>
      </c>
      <c r="W151" t="n">
        <v>0</v>
      </c>
      <c r="X151" t="n">
        <v>0</v>
      </c>
      <c r="Y151" t="n">
        <v>0</v>
      </c>
      <c r="Z151" t="n">
        <v>0</v>
      </c>
      <c r="AA151" t="n">
        <v>0</v>
      </c>
      <c r="AB151" t="n">
        <v>0</v>
      </c>
      <c r="AC151" t="n">
        <v>0</v>
      </c>
      <c r="AD151" t="n">
        <v>0</v>
      </c>
      <c r="AE151" t="n">
        <v>1</v>
      </c>
      <c r="AF151" t="inlineStr">
        <is>
          <t>GMG - GERADORES DO BRASIL LTDA:ME</t>
        </is>
      </c>
      <c r="AH151" t="inlineStr">
        <is>
          <t>pontual</t>
        </is>
      </c>
      <c r="AI151" t="n">
        <v>6</v>
      </c>
      <c r="AJ151" t="n">
        <v>0</v>
      </c>
      <c r="AK151" t="n">
        <v>0</v>
      </c>
      <c r="AL151" t="n">
        <v>0</v>
      </c>
      <c r="AM151" t="n">
        <v>1</v>
      </c>
      <c r="AN151" t="n">
        <v>1</v>
      </c>
      <c r="AP151" t="inlineStr">
        <is>
          <t>ábil, apresentada pelo fornecedor. 9.5.4. Para fins de qualificação técnica: 9.5.4.1. Apresentar Atestado de Capacidade Técnica, que comprove a licitante ter aptidão para o fornecimento dos serviços/materiais com características pertinentes ao objeto desta licitação, emitido por pessoa jurídica de d…</t>
        </is>
      </c>
      <c r="AQ151" t="n">
        <v>1</v>
      </c>
      <c r="AR151" t="inlineStr">
        <is>
          <t>fornecimento_puro</t>
        </is>
      </c>
      <c r="AS151" t="inlineStr">
        <is>
          <t>Confirmada exclusao automatica (fornecimento_puro): 1 item(ns), todos classificados como material (sem servico).</t>
        </is>
      </c>
      <c r="AT151" t="n">
        <v>1</v>
      </c>
      <c r="AU151" t="n">
        <v>0</v>
      </c>
    </row>
    <row r="152">
      <c r="A152" t="inlineStr">
        <is>
          <t>01392733000181_2026_1</t>
        </is>
      </c>
      <c r="B152" s="2" t="inlineStr">
        <is>
          <t>https://pncp.gov.br/app/editais/01392733000181/2026/1</t>
        </is>
      </c>
      <c r="C152" t="inlineStr">
        <is>
          <t>2026-09-27T05:36:03.599684+00:00</t>
        </is>
      </c>
      <c r="D152" t="inlineStr">
        <is>
          <t>TO</t>
        </is>
      </c>
      <c r="E152" t="inlineStr">
        <is>
          <t>vizinhos</t>
        </is>
      </c>
      <c r="F152" t="inlineStr">
        <is>
          <t>Araguatins</t>
        </is>
      </c>
      <c r="G152" t="inlineStr">
        <is>
          <t>ASSOCIACAO DE APOIO AO COLEGIO ESTADUAL OSVALDO FRANCO</t>
        </is>
      </c>
      <c r="H152" t="inlineStr">
        <is>
          <t>Não se aplica</t>
        </is>
      </c>
      <c r="I152" t="inlineStr">
        <is>
          <t>2026-06-18T07:18:50</t>
        </is>
      </c>
      <c r="J152" t="inlineStr">
        <is>
          <t>Pregão - Eletrônico</t>
        </is>
      </c>
      <c r="K152" t="inlineStr">
        <is>
          <t xml:space="preserve">Aquisição de material de limpeza expediente, pedagógico, serviços e materiais para manutenção predial diversos </t>
        </is>
      </c>
      <c r="L152" t="b">
        <v>1</v>
      </c>
      <c r="M152" t="inlineStr">
        <is>
          <t>manutencao_predial</t>
        </is>
      </c>
      <c r="N152" t="inlineStr">
        <is>
          <t>manutencao_predial</t>
        </is>
      </c>
      <c r="O152" t="n">
        <v>210091.75</v>
      </c>
      <c r="P152" t="n">
        <v>11064.6</v>
      </c>
      <c r="Q152" t="n">
        <v>18356.8</v>
      </c>
      <c r="R152" t="n">
        <v>0.5949816961561929</v>
      </c>
      <c r="S152" t="n">
        <v>0</v>
      </c>
      <c r="T152" t="n">
        <v>195</v>
      </c>
      <c r="U152" t="n">
        <v>40</v>
      </c>
      <c r="V152" t="n">
        <v>191</v>
      </c>
      <c r="W152" t="n">
        <v>0</v>
      </c>
      <c r="X152" t="n">
        <v>0</v>
      </c>
      <c r="Y152" t="n">
        <v>4</v>
      </c>
      <c r="Z152" t="n">
        <v>0</v>
      </c>
      <c r="AA152" t="n">
        <v>1</v>
      </c>
      <c r="AB152" t="n">
        <v>0</v>
      </c>
      <c r="AC152" t="n">
        <v>0</v>
      </c>
      <c r="AD152" t="n">
        <v>0</v>
      </c>
      <c r="AE152" t="n">
        <v>10</v>
      </c>
      <c r="AF152" t="inlineStr">
        <is>
          <t>MORAIS SOLUCOES E EMPREENDIMENTOS LTDA:ME; WR EMPREENDIMENTOS LTDA:ME; R F DA S SILVEIRA:ME; M. F. C. DOS SANTOS COMERCIO, SERVICOS E LOCACAO:ME; PRAPEL COMERCIO DE PAPEL LTDA:ME; E F F COMERCIO E SERVICOS LTDA:ME; LEAL VARIEDADES &amp; PAPELARIA LTDA:ME; BELLSUB COMERCIO DE MATERIAIS ESPORTIVOS LTDA:ME; FJCRP COMERCIAL LTDA:ME; 35.041.859 MANOEL VICTOR SOUZA REIS SOBRINHO:ME</t>
        </is>
      </c>
      <c r="AH152" t="inlineStr">
        <is>
          <t>pontual</t>
        </is>
      </c>
      <c r="AJ152" t="n">
        <v>0</v>
      </c>
      <c r="AK152" t="n">
        <v>0</v>
      </c>
      <c r="AL152" t="n">
        <v>0</v>
      </c>
      <c r="AM152" t="n">
        <v>0</v>
      </c>
      <c r="AN152" t="n">
        <v>0</v>
      </c>
      <c r="AQ152" t="n">
        <v>0.7087591492764471</v>
      </c>
      <c r="AR152" t="inlineStr">
        <is>
          <t>equipamento_alto</t>
        </is>
      </c>
      <c r="AS152" t="inlineStr">
        <is>
          <t>fracao estimada em itens de material = 71% (&gt; 40%).</t>
        </is>
      </c>
      <c r="AT152" t="n">
        <v>0</v>
      </c>
      <c r="AU152" t="n">
        <v>0</v>
      </c>
    </row>
    <row r="153">
      <c r="A153" t="inlineStr">
        <is>
          <t>01409580000138_2023_639</t>
        </is>
      </c>
      <c r="B153" s="2" t="inlineStr">
        <is>
          <t>https://pncp.gov.br/app/editais/01409580000138/2023/639</t>
        </is>
      </c>
      <c r="C153" t="inlineStr">
        <is>
          <t>2026-09-27T03:19:41.023607+00:00</t>
        </is>
      </c>
      <c r="D153" t="inlineStr">
        <is>
          <t>GO</t>
        </is>
      </c>
      <c r="E153" t="inlineStr">
        <is>
          <t>GO</t>
        </is>
      </c>
      <c r="F153" t="inlineStr">
        <is>
          <t>Goiânia</t>
        </is>
      </c>
      <c r="G153" t="inlineStr">
        <is>
          <t>ESTADO DE GOIAS</t>
        </is>
      </c>
      <c r="H153" t="inlineStr">
        <is>
          <t>Estadual</t>
        </is>
      </c>
      <c r="I153" t="inlineStr">
        <is>
          <t>2025-11-14T10:29:08</t>
        </is>
      </c>
      <c r="J153" t="inlineStr">
        <is>
          <t>Pregão - Eletrônico</t>
        </is>
      </c>
      <c r="K153" t="inlineStr">
        <is>
          <t>Aquisição de itens destinados à manutenção predial das Unidades Prisionais do Estado de Goiás</t>
        </is>
      </c>
      <c r="L153" t="b">
        <v>0</v>
      </c>
      <c r="M153" t="inlineStr">
        <is>
          <t>manutencao_predial</t>
        </is>
      </c>
      <c r="N153" t="inlineStr">
        <is>
          <t>manutencao_predial</t>
        </is>
      </c>
      <c r="O153" t="n">
        <v>2883837.43</v>
      </c>
      <c r="P153" t="n">
        <v>864566.6</v>
      </c>
      <c r="Q153" t="n">
        <v>917957.8</v>
      </c>
      <c r="R153" t="n">
        <v>0.05816302230886866</v>
      </c>
      <c r="S153" t="n">
        <v>0</v>
      </c>
      <c r="T153" t="n">
        <v>148</v>
      </c>
      <c r="U153" t="n">
        <v>40</v>
      </c>
      <c r="V153" t="n">
        <v>148</v>
      </c>
      <c r="W153" t="n">
        <v>0</v>
      </c>
      <c r="X153" t="n">
        <v>0</v>
      </c>
      <c r="Y153" t="n">
        <v>0</v>
      </c>
      <c r="Z153" t="n">
        <v>0</v>
      </c>
      <c r="AA153" t="n">
        <v>0</v>
      </c>
      <c r="AB153" t="n">
        <v>1</v>
      </c>
      <c r="AC153" t="n">
        <v>1</v>
      </c>
      <c r="AD153" t="n">
        <v>0</v>
      </c>
      <c r="AE153" t="n">
        <v>2</v>
      </c>
      <c r="AF153" t="inlineStr">
        <is>
          <t>BRIK BID COMMERCE LTDA:ME; M G FERRAGISTA LTDA:EPP</t>
        </is>
      </c>
      <c r="AH153" t="inlineStr">
        <is>
          <t>continuado</t>
        </is>
      </c>
      <c r="AI153" t="n">
        <v>12</v>
      </c>
      <c r="AJ153" t="n">
        <v>0</v>
      </c>
      <c r="AK153" t="n">
        <v>0</v>
      </c>
      <c r="AL153" t="n">
        <v>0</v>
      </c>
      <c r="AM153" t="n">
        <v>0</v>
      </c>
      <c r="AN153" t="n">
        <v>0</v>
      </c>
      <c r="AQ153" t="n">
        <v>1</v>
      </c>
      <c r="AR153" t="inlineStr">
        <is>
          <t>fornecimento_puro</t>
        </is>
      </c>
      <c r="AS153" t="inlineStr">
        <is>
          <t>148 item(ns), todos classificados como material (sem servico).</t>
        </is>
      </c>
      <c r="AT153" t="n">
        <v>1</v>
      </c>
      <c r="AU153" t="n">
        <v>0</v>
      </c>
    </row>
    <row r="154">
      <c r="A154" t="inlineStr">
        <is>
          <t>01409580000138_2025_11</t>
        </is>
      </c>
      <c r="B154" s="2" t="inlineStr">
        <is>
          <t>https://pncp.gov.br/app/editais/01409580000138/2025/11</t>
        </is>
      </c>
      <c r="C154" t="inlineStr">
        <is>
          <t>2026-09-27T03:07:41.022615+00:00</t>
        </is>
      </c>
      <c r="D154" t="inlineStr">
        <is>
          <t>GO</t>
        </is>
      </c>
      <c r="E154" t="inlineStr">
        <is>
          <t>GO</t>
        </is>
      </c>
      <c r="F154" t="inlineStr">
        <is>
          <t>Goiânia</t>
        </is>
      </c>
      <c r="G154" t="inlineStr">
        <is>
          <t>ESTADO DE GOIAS</t>
        </is>
      </c>
      <c r="H154" t="inlineStr">
        <is>
          <t>Estadual</t>
        </is>
      </c>
      <c r="I154" t="inlineStr">
        <is>
          <t>2025-01-03T15:19:49</t>
        </is>
      </c>
      <c r="J154" t="inlineStr">
        <is>
          <t>Pregão - Eletrônico</t>
        </is>
      </c>
      <c r="K154" t="inlineStr">
        <is>
          <t>CONTRATAÇÃO DE EMPRESA PARA PRESTAÇÃO DE SERVIÇOS CONTINUADOS DE MANUTENÇÃO PREVENTIVA E CORRETIVA DOS SISTEMAS CENTRAIS DE AR CONDICIONADO COM CHILLERS A AR, FAN COILS, FANCOLETES, DUALFLUID, SPLITÃO, VRF (VARIABLE REFRIGERANT FLOW) OU FLUXO REFRIGERANTE VARIÁVEL E SISTEMA SPLIT SYSTEM INVERTER, INCLUINDO A ANÁLISE QUÍMICA DA ÁGUA E EFETIVO TRATAMENTO DA ÁGUA DE RESFRIAMENTO, QUALIDADE DO AR E DO SISTEMA DE AUTOMAÇÃO, COM FORNECIMENTO DE TODAS AS PEÇAS, COMPONENTES, INSUMOS, MATERIAIS, FERRAMENTAS E MÃO DE OBRA NECESSÁRIOS À EXECUÇÃO DOS SERVIÇOS , SEM DEDICAÇÃO EXCLUSIVA PELO PERÍODO DE 5 (CINCO) ANOS NA SEDE DA ASSEMBLEIA LEGISLATIVA DO ESTADO DE GOIÁS, conforme condições, quantidades, exigências e estimativas previstas no edital e em seus anexos.</t>
        </is>
      </c>
      <c r="L154" t="b">
        <v>0</v>
      </c>
      <c r="M154" t="inlineStr">
        <is>
          <t>climatizacao</t>
        </is>
      </c>
      <c r="N154" t="inlineStr">
        <is>
          <t>climatizacao</t>
        </is>
      </c>
      <c r="O154" t="n">
        <v>6750000</v>
      </c>
      <c r="P154" t="n">
        <v>4155000</v>
      </c>
      <c r="Q154" t="n">
        <v>6750000</v>
      </c>
      <c r="R154" t="n">
        <v>0.3844444444444444</v>
      </c>
      <c r="S154" t="n">
        <v>0</v>
      </c>
      <c r="T154" t="n">
        <v>1</v>
      </c>
      <c r="U154" t="n">
        <v>1</v>
      </c>
      <c r="V154" t="n">
        <v>1</v>
      </c>
      <c r="W154" t="n">
        <v>0</v>
      </c>
      <c r="X154" t="n">
        <v>0</v>
      </c>
      <c r="Y154" t="n">
        <v>0</v>
      </c>
      <c r="Z154" t="n">
        <v>0</v>
      </c>
      <c r="AA154" t="n">
        <v>0</v>
      </c>
      <c r="AB154" t="n">
        <v>0</v>
      </c>
      <c r="AC154" t="n">
        <v>0</v>
      </c>
      <c r="AD154" t="n">
        <v>0</v>
      </c>
      <c r="AE154" t="n">
        <v>1</v>
      </c>
      <c r="AF154" t="inlineStr">
        <is>
          <t>COMFORTSTAR SISTEMAS DE AR CONDICIONADO LTDA :EPP</t>
        </is>
      </c>
      <c r="AH154" t="inlineStr">
        <is>
          <t>continuado</t>
        </is>
      </c>
      <c r="AJ154" t="n">
        <v>0</v>
      </c>
      <c r="AK154" t="n">
        <v>0</v>
      </c>
      <c r="AL154" t="n">
        <v>0</v>
      </c>
      <c r="AM154" t="n">
        <v>0</v>
      </c>
      <c r="AN154" t="n">
        <v>0</v>
      </c>
      <c r="AQ154" t="n">
        <v>0</v>
      </c>
      <c r="AS154" t="inlineStr">
        <is>
          <t>servico continuado de 5 anos de manutencao de sistemas centrais existentes (chillers/VRF/split) com fornecimento de pecas por demanda = servico, nao fornecimento de chiller/VRF novo.</t>
        </is>
      </c>
      <c r="AT154" t="n">
        <v>0</v>
      </c>
      <c r="AU154" t="n">
        <v>1</v>
      </c>
    </row>
    <row r="155">
      <c r="A155" t="inlineStr">
        <is>
          <t>01409580000138_2025_1608</t>
        </is>
      </c>
      <c r="B155" s="2" t="inlineStr">
        <is>
          <t>https://pncp.gov.br/app/editais/01409580000138/2025/1608</t>
        </is>
      </c>
      <c r="C155" t="inlineStr">
        <is>
          <t>2026-09-27T03:00:12.968203+00:00</t>
        </is>
      </c>
      <c r="D155" t="inlineStr">
        <is>
          <t>GO</t>
        </is>
      </c>
      <c r="E155" t="inlineStr">
        <is>
          <t>GO</t>
        </is>
      </c>
      <c r="F155" t="inlineStr">
        <is>
          <t>Goiânia</t>
        </is>
      </c>
      <c r="G155" t="inlineStr">
        <is>
          <t>ESTADO DE GOIAS</t>
        </is>
      </c>
      <c r="H155" t="inlineStr">
        <is>
          <t>Estadual</t>
        </is>
      </c>
      <c r="I155" t="inlineStr">
        <is>
          <t>2025-07-04T09:11:48</t>
        </is>
      </c>
      <c r="J155" t="inlineStr">
        <is>
          <t>Pregão - Eletrônico</t>
        </is>
      </c>
      <c r="K155" t="inlineStr">
        <is>
          <t>Aquisição de eletrodomésticos e equipamentos de refrigeração.</t>
        </is>
      </c>
      <c r="L155" t="b">
        <v>0</v>
      </c>
      <c r="M155" t="inlineStr">
        <is>
          <t>climatizacao</t>
        </is>
      </c>
      <c r="N155" t="inlineStr">
        <is>
          <t>climatizacao</t>
        </is>
      </c>
      <c r="O155" t="n">
        <v>76978.39999999999</v>
      </c>
      <c r="P155" t="n">
        <v>52779.13999999999</v>
      </c>
      <c r="Q155" t="n">
        <v>76978.39999999999</v>
      </c>
      <c r="R155" t="n">
        <v>0.3143642892032051</v>
      </c>
      <c r="S155" t="n">
        <v>0</v>
      </c>
      <c r="T155" t="n">
        <v>10</v>
      </c>
      <c r="U155" t="n">
        <v>10</v>
      </c>
      <c r="V155" t="n">
        <v>10</v>
      </c>
      <c r="W155" t="n">
        <v>0</v>
      </c>
      <c r="X155" t="n">
        <v>0</v>
      </c>
      <c r="Y155" t="n">
        <v>0</v>
      </c>
      <c r="Z155" t="n">
        <v>0</v>
      </c>
      <c r="AA155" t="n">
        <v>1</v>
      </c>
      <c r="AB155" t="n">
        <v>0</v>
      </c>
      <c r="AC155" t="n">
        <v>0</v>
      </c>
      <c r="AD155" t="n">
        <v>0</v>
      </c>
      <c r="AE155" t="n">
        <v>5</v>
      </c>
      <c r="AF155" t="inlineStr">
        <is>
          <t>GESNER COMERCIAL LTDA:ME; MEGAFORTE TECNOLOGIA LTDA:ME; LENZ COMERCIO E SERVICOS LTDA:EPP; S S DA SILVA PRESTADORA DE SERVIÇOS LTDA:ME; LGI COMERCIO DE PRODUTOS E SERVICOS LTDA:ME</t>
        </is>
      </c>
      <c r="AH155" t="inlineStr">
        <is>
          <t>pontual</t>
        </is>
      </c>
      <c r="AJ155" t="n">
        <v>0</v>
      </c>
      <c r="AK155" t="n">
        <v>0</v>
      </c>
      <c r="AL155" t="n">
        <v>0</v>
      </c>
      <c r="AM155" t="n">
        <v>0</v>
      </c>
      <c r="AN155" t="n">
        <v>0</v>
      </c>
      <c r="AQ155" t="n">
        <v>1</v>
      </c>
      <c r="AR155" t="inlineStr">
        <is>
          <t>fornecimento_puro</t>
        </is>
      </c>
      <c r="AS155" t="inlineStr">
        <is>
          <t>heuristica automatica confirmada (fornecimento_puro): 10 item(ns), todos classificados como material (sem servico).</t>
        </is>
      </c>
      <c r="AT155" t="n">
        <v>0</v>
      </c>
      <c r="AU155" t="n">
        <v>0</v>
      </c>
    </row>
    <row r="156">
      <c r="A156" t="inlineStr">
        <is>
          <t>01409580000138_2025_1690</t>
        </is>
      </c>
      <c r="B156" s="2" t="inlineStr">
        <is>
          <t>https://pncp.gov.br/app/editais/01409580000138/2025/1690</t>
        </is>
      </c>
      <c r="C156" t="inlineStr">
        <is>
          <t>2026-09-27T03:23:02.482879+00:00</t>
        </is>
      </c>
      <c r="D156" t="inlineStr">
        <is>
          <t>GO</t>
        </is>
      </c>
      <c r="E156" t="inlineStr">
        <is>
          <t>GO</t>
        </is>
      </c>
      <c r="F156" t="inlineStr">
        <is>
          <t>Goiânia</t>
        </is>
      </c>
      <c r="G156" t="inlineStr">
        <is>
          <t>ESTADO DE GOIAS</t>
        </is>
      </c>
      <c r="H156" t="inlineStr">
        <is>
          <t>Estadual</t>
        </is>
      </c>
      <c r="I156" t="inlineStr">
        <is>
          <t>2025-07-11T09:48:49</t>
        </is>
      </c>
      <c r="J156" t="inlineStr">
        <is>
          <t>Pregão - Eletrônico</t>
        </is>
      </c>
      <c r="K156" t="inlineStr">
        <is>
          <t>Aquisição de Materiais Básicos para Pintura e Manutenção Predial da Goinfra</t>
        </is>
      </c>
      <c r="L156" t="b">
        <v>0</v>
      </c>
      <c r="M156" t="inlineStr">
        <is>
          <t>manutencao_predial</t>
        </is>
      </c>
      <c r="N156" t="inlineStr">
        <is>
          <t>manutencao_predial</t>
        </is>
      </c>
      <c r="O156" t="n">
        <v>339336.96</v>
      </c>
      <c r="P156" t="n">
        <v>32274.7</v>
      </c>
      <c r="Q156" t="n">
        <v>42876.65</v>
      </c>
      <c r="R156" t="n">
        <v>0.2472662859621728</v>
      </c>
      <c r="S156" t="n">
        <v>0</v>
      </c>
      <c r="T156" t="n">
        <v>152</v>
      </c>
      <c r="U156" t="n">
        <v>40</v>
      </c>
      <c r="V156" t="n">
        <v>152</v>
      </c>
      <c r="W156" t="n">
        <v>0</v>
      </c>
      <c r="X156" t="n">
        <v>0</v>
      </c>
      <c r="Y156" t="n">
        <v>0</v>
      </c>
      <c r="Z156" t="n">
        <v>0</v>
      </c>
      <c r="AA156" t="n">
        <v>0</v>
      </c>
      <c r="AB156" t="n">
        <v>1</v>
      </c>
      <c r="AC156" t="n">
        <v>0</v>
      </c>
      <c r="AD156" t="n">
        <v>0</v>
      </c>
      <c r="AE156" t="n">
        <v>1</v>
      </c>
      <c r="AF156" t="inlineStr">
        <is>
          <t>M G FERRAGISTA LTDA:EPP</t>
        </is>
      </c>
      <c r="AH156" t="inlineStr">
        <is>
          <t>continuado</t>
        </is>
      </c>
      <c r="AI156" t="n">
        <v>12</v>
      </c>
      <c r="AJ156" t="n">
        <v>0</v>
      </c>
      <c r="AK156" t="n">
        <v>0</v>
      </c>
      <c r="AL156" t="n">
        <v>0</v>
      </c>
      <c r="AM156" t="n">
        <v>0</v>
      </c>
      <c r="AN156" t="n">
        <v>0</v>
      </c>
      <c r="AQ156" t="n">
        <v>1</v>
      </c>
      <c r="AR156" t="inlineStr">
        <is>
          <t>fornecimento_puro</t>
        </is>
      </c>
      <c r="AS156" t="inlineStr">
        <is>
          <t>152 item(ns), todos classificados como material (sem servico).</t>
        </is>
      </c>
      <c r="AT156" t="n">
        <v>1</v>
      </c>
      <c r="AU156" t="n">
        <v>0</v>
      </c>
    </row>
    <row r="157">
      <c r="A157" t="inlineStr">
        <is>
          <t>01409580000138_2025_1836</t>
        </is>
      </c>
      <c r="B157" s="2" t="inlineStr">
        <is>
          <t>https://pncp.gov.br/app/editais/01409580000138/2025/1836</t>
        </is>
      </c>
      <c r="C157" t="inlineStr">
        <is>
          <t>2026-09-27T04:14:05.807365+00:00</t>
        </is>
      </c>
      <c r="D157" t="inlineStr">
        <is>
          <t>GO</t>
        </is>
      </c>
      <c r="E157" t="inlineStr">
        <is>
          <t>GO</t>
        </is>
      </c>
      <c r="F157" t="inlineStr">
        <is>
          <t>Goiânia</t>
        </is>
      </c>
      <c r="G157" t="inlineStr">
        <is>
          <t>ESTADO DE GOIAS</t>
        </is>
      </c>
      <c r="H157" t="inlineStr">
        <is>
          <t>Estadual</t>
        </is>
      </c>
      <c r="I157" t="inlineStr">
        <is>
          <t>2025-07-24T16:40:26</t>
        </is>
      </c>
      <c r="J157" t="inlineStr">
        <is>
          <t>Pregão - Eletrônico</t>
        </is>
      </c>
      <c r="K157" t="inlineStr">
        <is>
          <t>Contratação de empresa especializada na prestação dos serviços de organização, planejamento, promoção e execução de eventos, com fornecimento de infraestrutura no que se refere à locação de equipamentos/ mobiliário compreendendo a montagem, desmontagem, manutenção, instalações elétricas, e outros serviços correlatos, para atender a Agência Goiana de Infraestrutura e Transportes - GOINFRA em todo território do Estado de Goiás.</t>
        </is>
      </c>
      <c r="L157" t="b">
        <v>0</v>
      </c>
      <c r="M157" t="inlineStr">
        <is>
          <t>eletrica_predial</t>
        </is>
      </c>
      <c r="N157" t="inlineStr">
        <is>
          <t>eletrica_predial</t>
        </is>
      </c>
      <c r="O157" t="n">
        <v>5937525.22</v>
      </c>
      <c r="P157" t="n">
        <v>4335000</v>
      </c>
      <c r="Q157" t="n">
        <v>5937525.22</v>
      </c>
      <c r="R157" t="n">
        <v>0.2698978380086779</v>
      </c>
      <c r="S157" t="n">
        <v>0</v>
      </c>
      <c r="T157" t="n">
        <v>1</v>
      </c>
      <c r="U157" t="n">
        <v>1</v>
      </c>
      <c r="V157" t="n">
        <v>1</v>
      </c>
      <c r="W157" t="n">
        <v>0</v>
      </c>
      <c r="X157" t="n">
        <v>0</v>
      </c>
      <c r="Y157" t="n">
        <v>0</v>
      </c>
      <c r="Z157" t="n">
        <v>0</v>
      </c>
      <c r="AA157" t="n">
        <v>0</v>
      </c>
      <c r="AB157" t="n">
        <v>0</v>
      </c>
      <c r="AC157" t="n">
        <v>0</v>
      </c>
      <c r="AD157" t="n">
        <v>0</v>
      </c>
      <c r="AE157" t="n">
        <v>1</v>
      </c>
      <c r="AF157" t="inlineStr">
        <is>
          <t>PAZINI EMPREENDIMENTOS E NEGOCIOS LTDA:Demais</t>
        </is>
      </c>
      <c r="AH157" t="inlineStr">
        <is>
          <t>pontual</t>
        </is>
      </c>
      <c r="AJ157" t="n">
        <v>0</v>
      </c>
      <c r="AK157" t="n">
        <v>0</v>
      </c>
      <c r="AL157" t="n">
        <v>0</v>
      </c>
      <c r="AM157" t="n">
        <v>0</v>
      </c>
      <c r="AN157" t="n">
        <v>0</v>
      </c>
      <c r="AQ157" t="n">
        <v>0</v>
      </c>
      <c r="AR157" t="inlineStr">
        <is>
          <t>mencao_passagem</t>
        </is>
      </c>
      <c r="AS157" t="inlineStr">
        <is>
          <t>Contratacao de organizacao de eventos (locacao de infraestrutura/mobiliario, montagem/desmontagem); "instalacoes eletricas" e item secundario dentro de pacote de servicos de eventos, nao e manutencao eletrica predial.</t>
        </is>
      </c>
      <c r="AT157" t="n">
        <v>0</v>
      </c>
      <c r="AU157" t="n">
        <v>0</v>
      </c>
    </row>
    <row r="158">
      <c r="A158" t="inlineStr">
        <is>
          <t>01409580000138_2025_1950</t>
        </is>
      </c>
      <c r="B158" s="2" t="inlineStr">
        <is>
          <t>https://pncp.gov.br/app/editais/01409580000138/2025/1950</t>
        </is>
      </c>
      <c r="C158" t="inlineStr">
        <is>
          <t>2026-09-27T02:58:49.952251+00:00</t>
        </is>
      </c>
      <c r="D158" t="inlineStr">
        <is>
          <t>GO</t>
        </is>
      </c>
      <c r="E158" t="inlineStr">
        <is>
          <t>GO</t>
        </is>
      </c>
      <c r="F158" t="inlineStr">
        <is>
          <t>Goiânia</t>
        </is>
      </c>
      <c r="G158" t="inlineStr">
        <is>
          <t>ESTADO DE GOIAS</t>
        </is>
      </c>
      <c r="H158" t="inlineStr">
        <is>
          <t>Estadual</t>
        </is>
      </c>
      <c r="I158" t="inlineStr">
        <is>
          <t>2025-08-07T09:46:14</t>
        </is>
      </c>
      <c r="J158" t="inlineStr">
        <is>
          <t>Pregão - Eletrônico</t>
        </is>
      </c>
      <c r="K158" t="inlineStr">
        <is>
          <t>Fornecimento de Sistema de Refrigeração do tipo VRF (VRV),  incluindo o fornecimento  e instalação de equipamentos para climatização da Academia Espaço Saúde - Localizada no 11º andar, Ala Leste do Palácio Pedro Ludovico Teixeira, com instalação dos aparelhos, incluindo todos os materiais necessários, bem como prestação de serviço continuado de manutenção preventiva e corretiva em todo o sistema durante o Período de 01 (um) ano.</t>
        </is>
      </c>
      <c r="L158" t="b">
        <v>0</v>
      </c>
      <c r="M158" t="inlineStr">
        <is>
          <t>climatizacao</t>
        </is>
      </c>
      <c r="N158" t="inlineStr">
        <is>
          <t>climatizacao</t>
        </is>
      </c>
      <c r="O158" t="n">
        <v>737370.8199999999</v>
      </c>
      <c r="P158" t="n">
        <v>398120.3</v>
      </c>
      <c r="Q158" t="n">
        <v>543033.4300000002</v>
      </c>
      <c r="R158" t="n">
        <v>0.2668585428764544</v>
      </c>
      <c r="S158" t="n">
        <v>0</v>
      </c>
      <c r="T158" t="n">
        <v>90</v>
      </c>
      <c r="U158" t="n">
        <v>40</v>
      </c>
      <c r="V158" t="n">
        <v>90</v>
      </c>
      <c r="W158" t="n">
        <v>0</v>
      </c>
      <c r="X158" t="n">
        <v>0</v>
      </c>
      <c r="Y158" t="n">
        <v>0</v>
      </c>
      <c r="Z158" t="n">
        <v>0</v>
      </c>
      <c r="AA158" t="n">
        <v>0</v>
      </c>
      <c r="AB158" t="n">
        <v>0</v>
      </c>
      <c r="AC158" t="n">
        <v>0</v>
      </c>
      <c r="AD158" t="n">
        <v>0</v>
      </c>
      <c r="AE158" t="n">
        <v>1</v>
      </c>
      <c r="AF158" t="inlineStr">
        <is>
          <t>CONFORTLINE ENGENHARIA TERMICA LTDA:ME</t>
        </is>
      </c>
      <c r="AH158" t="inlineStr">
        <is>
          <t>continuado</t>
        </is>
      </c>
      <c r="AJ158" t="n">
        <v>0</v>
      </c>
      <c r="AK158" t="n">
        <v>0</v>
      </c>
      <c r="AL158" t="n">
        <v>0</v>
      </c>
      <c r="AM158" t="n">
        <v>0</v>
      </c>
      <c r="AN158" t="n">
        <v>0</v>
      </c>
      <c r="AQ158" t="n">
        <v>0.8837051892018184</v>
      </c>
      <c r="AR158" t="inlineStr">
        <is>
          <t>equipamento_alto</t>
        </is>
      </c>
      <c r="AS158" t="inlineStr">
        <is>
          <t>heuristica automatica confirmada (equipamento_alto): fornecimento de sistema de refrigeracao do tipo vrf (vrv), incluindo o fornecimento e instalacao de equipamentos para climatizacao da academia espaco saude - localizada no 11o anda</t>
        </is>
      </c>
      <c r="AT158" t="n">
        <v>0</v>
      </c>
      <c r="AU158" t="n">
        <v>0</v>
      </c>
    </row>
    <row r="159">
      <c r="A159" t="inlineStr">
        <is>
          <t>01409580000138_2025_1971</t>
        </is>
      </c>
      <c r="B159" s="2" t="inlineStr">
        <is>
          <t>https://pncp.gov.br/app/editais/01409580000138/2025/1971</t>
        </is>
      </c>
      <c r="C159" t="inlineStr">
        <is>
          <t>2026-09-27T04:10:15.970055+00:00</t>
        </is>
      </c>
      <c r="D159" t="inlineStr">
        <is>
          <t>GO</t>
        </is>
      </c>
      <c r="E159" t="inlineStr">
        <is>
          <t>GO</t>
        </is>
      </c>
      <c r="F159" t="inlineStr">
        <is>
          <t>Goiânia</t>
        </is>
      </c>
      <c r="G159" t="inlineStr">
        <is>
          <t>ESTADO DE GOIAS</t>
        </is>
      </c>
      <c r="H159" t="inlineStr">
        <is>
          <t>Estadual</t>
        </is>
      </c>
      <c r="I159" t="inlineStr">
        <is>
          <t>2025-08-08T13:15:24</t>
        </is>
      </c>
      <c r="J159" t="inlineStr">
        <is>
          <t>Pregão - Eletrônico</t>
        </is>
      </c>
      <c r="K159" t="inlineStr">
        <is>
          <t>Contratação de empresa especializada em engenharia civil para execução de serviços de reparação e manutenção da Delegacia Regional de Fiscalização, na Cidade de Goiás, compreendendo serviços compostos por reparo e manutenção na cobertura, estacionamento, pinturas externas e internas, sistemas elétricos e de ares-condicionados, revitalização de piso interno e paisagismo.</t>
        </is>
      </c>
      <c r="L159" t="b">
        <v>0</v>
      </c>
      <c r="M159" t="inlineStr">
        <is>
          <t>eletrica_predial</t>
        </is>
      </c>
      <c r="N159" t="inlineStr">
        <is>
          <t>eletrica_predial</t>
        </is>
      </c>
      <c r="O159" t="n">
        <v>504910.59</v>
      </c>
      <c r="P159" t="n">
        <v>424000</v>
      </c>
      <c r="Q159" t="n">
        <v>504910.59</v>
      </c>
      <c r="R159" t="n">
        <v>0.1602473618150889</v>
      </c>
      <c r="S159" t="n">
        <v>0</v>
      </c>
      <c r="T159" t="n">
        <v>1</v>
      </c>
      <c r="U159" t="n">
        <v>1</v>
      </c>
      <c r="V159" t="n">
        <v>1</v>
      </c>
      <c r="W159" t="n">
        <v>0</v>
      </c>
      <c r="X159" t="n">
        <v>0</v>
      </c>
      <c r="Y159" t="n">
        <v>0</v>
      </c>
      <c r="Z159" t="n">
        <v>0</v>
      </c>
      <c r="AA159" t="n">
        <v>0</v>
      </c>
      <c r="AB159" t="n">
        <v>0</v>
      </c>
      <c r="AC159" t="n">
        <v>0</v>
      </c>
      <c r="AD159" t="n">
        <v>0</v>
      </c>
      <c r="AE159" t="n">
        <v>1</v>
      </c>
      <c r="AF159" t="inlineStr">
        <is>
          <t>M2 ENGENHARIA LTDA:ME</t>
        </is>
      </c>
      <c r="AH159" t="inlineStr">
        <is>
          <t>indefinido</t>
        </is>
      </c>
      <c r="AJ159" t="n">
        <v>0</v>
      </c>
      <c r="AK159" t="n">
        <v>0</v>
      </c>
      <c r="AL159" t="n">
        <v>0</v>
      </c>
      <c r="AM159" t="n">
        <v>0</v>
      </c>
      <c r="AN159" t="n">
        <v>0</v>
      </c>
      <c r="AQ159" t="n">
        <v>0</v>
      </c>
      <c r="AS159" t="inlineStr">
        <is>
          <t>Reparo/manutencao de delegacia regional com item unico de "Manutencoes de Engenharia, manutencao predial" (cobertura, pintura, sistemas eletricos e de ar-condicionado); lump sum, vencedora e empresa de engenharia -- adequacao pontual mista.</t>
        </is>
      </c>
      <c r="AT159" t="n">
        <v>0</v>
      </c>
      <c r="AU159" t="n">
        <v>1</v>
      </c>
    </row>
    <row r="160">
      <c r="A160" t="inlineStr">
        <is>
          <t>01409580000138_2025_2034</t>
        </is>
      </c>
      <c r="B160" s="2" t="inlineStr">
        <is>
          <t>https://pncp.gov.br/app/editais/01409580000138/2025/2034</t>
        </is>
      </c>
      <c r="C160" t="inlineStr">
        <is>
          <t>2026-09-27T03:21:54.416897+00:00</t>
        </is>
      </c>
      <c r="D160" t="inlineStr">
        <is>
          <t>GO</t>
        </is>
      </c>
      <c r="E160" t="inlineStr">
        <is>
          <t>GO</t>
        </is>
      </c>
      <c r="F160" t="inlineStr">
        <is>
          <t>Goiânia</t>
        </is>
      </c>
      <c r="G160" t="inlineStr">
        <is>
          <t>ESTADO DE GOIAS</t>
        </is>
      </c>
      <c r="H160" t="inlineStr">
        <is>
          <t>Estadual</t>
        </is>
      </c>
      <c r="I160" t="inlineStr">
        <is>
          <t>2025-08-13T14:21:12</t>
        </is>
      </c>
      <c r="J160" t="inlineStr">
        <is>
          <t>Pregão - Eletrônico</t>
        </is>
      </c>
      <c r="K160" t="inlineStr">
        <is>
          <t>AQUISIÇÃO DE INSUMOS PARA MANUTENÇÃO PREDIAL</t>
        </is>
      </c>
      <c r="L160" t="b">
        <v>0</v>
      </c>
      <c r="M160" t="inlineStr">
        <is>
          <t>manutencao_predial</t>
        </is>
      </c>
      <c r="N160" t="inlineStr">
        <is>
          <t>manutencao_predial</t>
        </is>
      </c>
      <c r="O160" t="n">
        <v>412298.72</v>
      </c>
      <c r="P160" t="n">
        <v>256647.1</v>
      </c>
      <c r="Q160" t="n">
        <v>300699.81</v>
      </c>
      <c r="R160" t="n">
        <v>0.1465006246595234</v>
      </c>
      <c r="S160" t="n">
        <v>0</v>
      </c>
      <c r="T160" t="n">
        <v>66</v>
      </c>
      <c r="U160" t="n">
        <v>40</v>
      </c>
      <c r="V160" t="n">
        <v>57</v>
      </c>
      <c r="W160" t="n">
        <v>2</v>
      </c>
      <c r="X160" t="n">
        <v>0</v>
      </c>
      <c r="Y160" t="n">
        <v>0</v>
      </c>
      <c r="Z160" t="n">
        <v>1</v>
      </c>
      <c r="AA160" t="n">
        <v>1</v>
      </c>
      <c r="AB160" t="n">
        <v>0</v>
      </c>
      <c r="AC160" t="n">
        <v>0</v>
      </c>
      <c r="AD160" t="n">
        <v>0</v>
      </c>
      <c r="AE160" t="n">
        <v>8</v>
      </c>
      <c r="AF160" t="inlineStr">
        <is>
          <t>INTEGRA TECH SOLUÇÕES LTDA:ME; RENNOVA COMERCIAL LTDA :EPP; LICITUDO - LICITACOES E COMERCIO LTDA:ME; PICA PAU FERRAMENTAS LTDA:ME; AURUM GLOBAL TRADE LTDA:ME; ANDES PARTICIPACOES LTDA:EPP; Brasul Comercio LTDA:ME; REMA ENGENHARIA E TERCEIRIZAÇÕES LTDA:ME</t>
        </is>
      </c>
      <c r="AH160" t="inlineStr">
        <is>
          <t>pontual</t>
        </is>
      </c>
      <c r="AI160" t="n">
        <v>12</v>
      </c>
      <c r="AJ160" t="n">
        <v>0</v>
      </c>
      <c r="AK160" t="n">
        <v>0</v>
      </c>
      <c r="AL160" t="n">
        <v>0</v>
      </c>
      <c r="AM160" t="n">
        <v>0</v>
      </c>
      <c r="AN160" t="n">
        <v>0</v>
      </c>
      <c r="AQ160" t="n">
        <v>1</v>
      </c>
      <c r="AR160" t="inlineStr">
        <is>
          <t>fornecimento_puro</t>
        </is>
      </c>
      <c r="AS160" t="inlineStr">
        <is>
          <t>66 item(ns), todos classificados como material (sem servico).</t>
        </is>
      </c>
      <c r="AT160" t="n">
        <v>1</v>
      </c>
      <c r="AU160" t="n">
        <v>0</v>
      </c>
    </row>
    <row r="161">
      <c r="A161" t="inlineStr">
        <is>
          <t>01409580000138_2025_2067</t>
        </is>
      </c>
      <c r="B161" s="2" t="inlineStr">
        <is>
          <t>https://pncp.gov.br/app/editais/01409580000138/2025/2067</t>
        </is>
      </c>
      <c r="C161" t="inlineStr">
        <is>
          <t>2026-09-27T02:56:29.607639+00:00</t>
        </is>
      </c>
      <c r="D161" t="inlineStr">
        <is>
          <t>GO</t>
        </is>
      </c>
      <c r="E161" t="inlineStr">
        <is>
          <t>GO</t>
        </is>
      </c>
      <c r="F161" t="inlineStr">
        <is>
          <t>Goiânia</t>
        </is>
      </c>
      <c r="G161" t="inlineStr">
        <is>
          <t>ESTADO DE GOIAS</t>
        </is>
      </c>
      <c r="H161" t="inlineStr">
        <is>
          <t>Estadual</t>
        </is>
      </c>
      <c r="I161" t="inlineStr">
        <is>
          <t>2025-08-18T11:28:49</t>
        </is>
      </c>
      <c r="J161" t="inlineStr">
        <is>
          <t>Pregão - Eletrônico</t>
        </is>
      </c>
      <c r="K161" t="inlineStr">
        <is>
          <t>Contratação de empresa para o fornecimento e instalação de aparelhos de ar condicionado e cortinas de ar, incluso a remoção e reinstalação de equipamentos antigos, bem como o fornecimento de todo o material necessário para a instalação e execução dos serviços correlatos para a Secretaria de Estado da Casa Militar (SECAMI).</t>
        </is>
      </c>
      <c r="L161" t="b">
        <v>0</v>
      </c>
      <c r="M161" t="inlineStr">
        <is>
          <t>climatizacao</t>
        </is>
      </c>
      <c r="N161" t="inlineStr">
        <is>
          <t>climatizacao</t>
        </is>
      </c>
      <c r="O161" t="n">
        <v>257848.53</v>
      </c>
      <c r="P161" t="n">
        <v>173330</v>
      </c>
      <c r="Q161" t="n">
        <v>257848.53</v>
      </c>
      <c r="R161" t="n">
        <v>0.3277836410391791</v>
      </c>
      <c r="S161" t="n">
        <v>0</v>
      </c>
      <c r="T161" t="n">
        <v>22</v>
      </c>
      <c r="U161" t="n">
        <v>22</v>
      </c>
      <c r="V161" t="n">
        <v>22</v>
      </c>
      <c r="W161" t="n">
        <v>0</v>
      </c>
      <c r="X161" t="n">
        <v>0</v>
      </c>
      <c r="Y161" t="n">
        <v>0</v>
      </c>
      <c r="Z161" t="n">
        <v>0</v>
      </c>
      <c r="AA161" t="n">
        <v>0</v>
      </c>
      <c r="AB161" t="n">
        <v>1</v>
      </c>
      <c r="AC161" t="n">
        <v>1</v>
      </c>
      <c r="AD161" t="n">
        <v>0</v>
      </c>
      <c r="AE161" t="n">
        <v>2</v>
      </c>
      <c r="AF161" t="inlineStr">
        <is>
          <t>GLOBALI DISTRIBUICAO E COMERCIO LTDA:EPP; PADRAO CLIMATIZACAO LTDA:ME</t>
        </is>
      </c>
      <c r="AH161" t="inlineStr">
        <is>
          <t>pontual</t>
        </is>
      </c>
      <c r="AJ161" t="n">
        <v>0</v>
      </c>
      <c r="AK161" t="n">
        <v>0</v>
      </c>
      <c r="AL161" t="n">
        <v>0</v>
      </c>
      <c r="AM161" t="n">
        <v>0</v>
      </c>
      <c r="AN161" t="n">
        <v>0</v>
      </c>
      <c r="AQ161" t="n">
        <v>0.9955846170618076</v>
      </c>
      <c r="AR161" t="inlineStr">
        <is>
          <t>equipamento_alto</t>
        </is>
      </c>
      <c r="AS161" t="inlineStr">
        <is>
          <t>heuristica automatica confirmada (equipamento_alto): fracao estimada em itens de material = 100% (&gt; 40%).</t>
        </is>
      </c>
      <c r="AT161" t="n">
        <v>0</v>
      </c>
      <c r="AU161" t="n">
        <v>0</v>
      </c>
    </row>
    <row r="162">
      <c r="A162" t="inlineStr">
        <is>
          <t>01409580000138_2025_2124</t>
        </is>
      </c>
      <c r="B162" s="2" t="inlineStr">
        <is>
          <t>https://pncp.gov.br/app/editais/01409580000138/2025/2124</t>
        </is>
      </c>
      <c r="C162" t="inlineStr">
        <is>
          <t>2026-09-27T02:54:29.029701+00:00</t>
        </is>
      </c>
      <c r="D162" t="inlineStr">
        <is>
          <t>GO</t>
        </is>
      </c>
      <c r="E162" t="inlineStr">
        <is>
          <t>GO</t>
        </is>
      </c>
      <c r="F162" t="inlineStr">
        <is>
          <t>Goiânia</t>
        </is>
      </c>
      <c r="G162" t="inlineStr">
        <is>
          <t>ESTADO DE GOIAS</t>
        </is>
      </c>
      <c r="H162" t="inlineStr">
        <is>
          <t>Estadual</t>
        </is>
      </c>
      <c r="I162" t="inlineStr">
        <is>
          <t>2025-08-22T14:50:12</t>
        </is>
      </c>
      <c r="J162" t="inlineStr">
        <is>
          <t>Pregão - Eletrônico</t>
        </is>
      </c>
      <c r="K162" t="inlineStr">
        <is>
          <t xml:space="preserve">Contratação de empresa para a prestação de serviços de manutenção preventiva e corretiva em equipamentos de ar-condicionado, refrigeradores, bebedouros e câmaras frias com reposição de peças novas e originais e componentes sob demanda, incluindo serviços de instalação, desinstalação e remanejamento dos equipamentos  do Palácio das Esmeraldas, Palácio Pedro Ludovico Teixeira, Superintendência do Serviço Aéreo do Estado de Goiás e Palácio Conde dos Arcos (localizado na cidade de Goiás) por um período de 12 (doze) meses. </t>
        </is>
      </c>
      <c r="L162" t="b">
        <v>0</v>
      </c>
      <c r="M162" t="inlineStr">
        <is>
          <t>climatizacao</t>
        </is>
      </c>
      <c r="N162" t="inlineStr">
        <is>
          <t>climatizacao</t>
        </is>
      </c>
      <c r="O162" t="n">
        <v>1436849.84</v>
      </c>
      <c r="P162" t="n">
        <v>69432</v>
      </c>
      <c r="Q162" t="n">
        <v>659723.52</v>
      </c>
      <c r="R162" t="n">
        <v>0.8947559122948959</v>
      </c>
      <c r="S162" t="n">
        <v>0</v>
      </c>
      <c r="T162" t="n">
        <v>64</v>
      </c>
      <c r="U162" t="n">
        <v>40</v>
      </c>
      <c r="V162" t="n">
        <v>64</v>
      </c>
      <c r="W162" t="n">
        <v>0</v>
      </c>
      <c r="X162" t="n">
        <v>0</v>
      </c>
      <c r="Y162" t="n">
        <v>0</v>
      </c>
      <c r="Z162" t="n">
        <v>0</v>
      </c>
      <c r="AA162" t="n">
        <v>0</v>
      </c>
      <c r="AB162" t="n">
        <v>1</v>
      </c>
      <c r="AC162" t="n">
        <v>0</v>
      </c>
      <c r="AD162" t="n">
        <v>0</v>
      </c>
      <c r="AE162" t="n">
        <v>1</v>
      </c>
      <c r="AF162" t="inlineStr">
        <is>
          <t>S. NOLLI COMERCIO E SERVICOS LTDA:ME</t>
        </is>
      </c>
      <c r="AH162" t="inlineStr">
        <is>
          <t>pontual</t>
        </is>
      </c>
      <c r="AI162" t="n">
        <v>12</v>
      </c>
      <c r="AJ162" t="n">
        <v>0</v>
      </c>
      <c r="AK162" t="n">
        <v>0</v>
      </c>
      <c r="AL162" t="n">
        <v>0</v>
      </c>
      <c r="AM162" t="n">
        <v>0</v>
      </c>
      <c r="AN162" t="n">
        <v>0</v>
      </c>
      <c r="AQ162" t="n">
        <v>0.5177274056696141</v>
      </c>
      <c r="AS162" t="inlineStr">
        <is>
          <t>manutencao preventiva/corretiva com pecas sob demanda (frac_material 52% e efeito de precificar pecas de reposicao, nao fornecimento de equipamento novo).</t>
        </is>
      </c>
      <c r="AT162" t="n">
        <v>0</v>
      </c>
      <c r="AU162" t="n">
        <v>1</v>
      </c>
    </row>
    <row r="163">
      <c r="A163" t="inlineStr">
        <is>
          <t>01409580000138_2025_2200</t>
        </is>
      </c>
      <c r="B163" s="2" t="inlineStr">
        <is>
          <t>https://pncp.gov.br/app/editais/01409580000138/2025/2200</t>
        </is>
      </c>
      <c r="C163" t="inlineStr">
        <is>
          <t>2026-09-27T02:53:22.069207+00:00</t>
        </is>
      </c>
      <c r="D163" t="inlineStr">
        <is>
          <t>GO</t>
        </is>
      </c>
      <c r="E163" t="inlineStr">
        <is>
          <t>GO</t>
        </is>
      </c>
      <c r="F163" t="inlineStr">
        <is>
          <t>Goiânia</t>
        </is>
      </c>
      <c r="G163" t="inlineStr">
        <is>
          <t>ESTADO DE GOIAS</t>
        </is>
      </c>
      <c r="H163" t="inlineStr">
        <is>
          <t>Estadual</t>
        </is>
      </c>
      <c r="I163" t="inlineStr">
        <is>
          <t>2025-08-28T15:36:15</t>
        </is>
      </c>
      <c r="J163" t="inlineStr">
        <is>
          <t>Pregão - Eletrônico</t>
        </is>
      </c>
      <c r="K163" t="inlineStr">
        <is>
          <t xml:space="preserve">Prestação de serviço de manutenção preventiva e/ou corretiva nos EQUIPAMENTOS DE CLIMATIZAÇÃO, tipo central,  compacto e Split, incluindo os reparos de todos os componentes que integram o Sistema de Climatização, bem como os serviços a serem realizados sob demanda, caso necessário e com fornecimento de  peças e acessórios passíveis de substituições, conforme condições e especificações estabelecidas no  Termo de Referência e Contrato.
</t>
        </is>
      </c>
      <c r="L163" t="b">
        <v>0</v>
      </c>
      <c r="M163" t="inlineStr">
        <is>
          <t>climatizacao</t>
        </is>
      </c>
      <c r="N163" t="inlineStr">
        <is>
          <t>climatizacao</t>
        </is>
      </c>
      <c r="O163" t="n">
        <v>1537512.12</v>
      </c>
      <c r="P163" t="n">
        <v>1070904</v>
      </c>
      <c r="Q163" t="n">
        <v>1417001.16</v>
      </c>
      <c r="R163" t="n">
        <v>0.2442462079565269</v>
      </c>
      <c r="S163" t="n">
        <v>0</v>
      </c>
      <c r="T163" t="n">
        <v>49</v>
      </c>
      <c r="U163" t="n">
        <v>40</v>
      </c>
      <c r="V163" t="n">
        <v>49</v>
      </c>
      <c r="W163" t="n">
        <v>0</v>
      </c>
      <c r="X163" t="n">
        <v>0</v>
      </c>
      <c r="Y163" t="n">
        <v>0</v>
      </c>
      <c r="Z163" t="n">
        <v>0</v>
      </c>
      <c r="AA163" t="n">
        <v>0</v>
      </c>
      <c r="AB163" t="n">
        <v>0</v>
      </c>
      <c r="AC163" t="n">
        <v>0</v>
      </c>
      <c r="AD163" t="n">
        <v>0</v>
      </c>
      <c r="AE163" t="n">
        <v>1</v>
      </c>
      <c r="AF163" t="inlineStr">
        <is>
          <t>TERMOFRIO ENGENHARIA E CLIMA LTDA:ME</t>
        </is>
      </c>
      <c r="AH163" t="inlineStr">
        <is>
          <t>pontual</t>
        </is>
      </c>
      <c r="AJ163" t="n">
        <v>0</v>
      </c>
      <c r="AK163" t="n">
        <v>0</v>
      </c>
      <c r="AL163" t="n">
        <v>0</v>
      </c>
      <c r="AM163" t="n">
        <v>0</v>
      </c>
      <c r="AN163" t="n">
        <v>0</v>
      </c>
      <c r="AQ163" t="n">
        <v>0.1107754779845248</v>
      </c>
      <c r="AS163" t="inlineStr">
        <is>
          <t>heuristica automatica confirmada: servico real de climatizacao, sem sinais de exclusao.</t>
        </is>
      </c>
      <c r="AT163" t="n">
        <v>0</v>
      </c>
      <c r="AU163" t="n">
        <v>1</v>
      </c>
    </row>
    <row r="164">
      <c r="A164" t="inlineStr">
        <is>
          <t>01409580000138_2025_2288</t>
        </is>
      </c>
      <c r="B164" s="2" t="inlineStr">
        <is>
          <t>https://pncp.gov.br/app/editais/01409580000138/2025/2288</t>
        </is>
      </c>
      <c r="C164" t="inlineStr">
        <is>
          <t>2026-09-27T04:06:52.511211+00:00</t>
        </is>
      </c>
      <c r="D164" t="inlineStr">
        <is>
          <t>GO</t>
        </is>
      </c>
      <c r="E164" t="inlineStr">
        <is>
          <t>GO</t>
        </is>
      </c>
      <c r="F164" t="inlineStr">
        <is>
          <t>Santa Helena de Goiás</t>
        </is>
      </c>
      <c r="G164" t="inlineStr">
        <is>
          <t>ESTADO DE GOIAS</t>
        </is>
      </c>
      <c r="H164" t="inlineStr">
        <is>
          <t>Estadual</t>
        </is>
      </c>
      <c r="I164" t="inlineStr">
        <is>
          <t>2025-09-04T13:46:03</t>
        </is>
      </c>
      <c r="J164" t="inlineStr">
        <is>
          <t>Concorrência - Eletrônica</t>
        </is>
      </c>
      <c r="K164" t="inlineStr">
        <is>
          <t>Reforma elétrica, Pintura, Reforma da cobertura, Reforma do piso, Instalação de novo reservatório de água, Reforma do depósito, Reforma da calçada, Adequações de acessibilidade, Reforma do muro, Refazer parte do esgoto, Executar estacionamento, Implantar 03 salas, Implantar sanitários, Executar passarelas, Central de gás, Projeto de prevenção e combate a incêndio, Executar SPDA, e outros na Coordenação Regional de Educação de Santa Helena, no município de Santa Helena.</t>
        </is>
      </c>
      <c r="L164" t="b">
        <v>0</v>
      </c>
      <c r="M164" t="inlineStr">
        <is>
          <t>eletrica_predial</t>
        </is>
      </c>
      <c r="N164" t="inlineStr">
        <is>
          <t>eletrica_predial</t>
        </is>
      </c>
      <c r="O164" t="n">
        <v>1545095.63</v>
      </c>
      <c r="P164" t="n">
        <v>1261000</v>
      </c>
      <c r="Q164" t="n">
        <v>1545095.63</v>
      </c>
      <c r="R164" t="n">
        <v>0.1838692858124257</v>
      </c>
      <c r="S164" t="n">
        <v>0</v>
      </c>
      <c r="T164" t="n">
        <v>1</v>
      </c>
      <c r="U164" t="n">
        <v>1</v>
      </c>
      <c r="V164" t="n">
        <v>1</v>
      </c>
      <c r="W164" t="n">
        <v>0</v>
      </c>
      <c r="X164" t="n">
        <v>0</v>
      </c>
      <c r="Y164" t="n">
        <v>0</v>
      </c>
      <c r="Z164" t="n">
        <v>0</v>
      </c>
      <c r="AA164" t="n">
        <v>0</v>
      </c>
      <c r="AB164" t="n">
        <v>0</v>
      </c>
      <c r="AC164" t="n">
        <v>0</v>
      </c>
      <c r="AD164" t="n">
        <v>0</v>
      </c>
      <c r="AE164" t="n">
        <v>1</v>
      </c>
      <c r="AF164" t="inlineStr">
        <is>
          <t>FBA COMERCIO LTDA:ME</t>
        </is>
      </c>
      <c r="AH164" t="inlineStr">
        <is>
          <t>indefinido</t>
        </is>
      </c>
      <c r="AJ164" t="n">
        <v>0</v>
      </c>
      <c r="AK164" t="n">
        <v>0</v>
      </c>
      <c r="AL164" t="n">
        <v>0</v>
      </c>
      <c r="AM164" t="n">
        <v>0</v>
      </c>
      <c r="AN164" t="n">
        <v>0</v>
      </c>
      <c r="AQ164" t="n">
        <v>0</v>
      </c>
      <c r="AR164" t="inlineStr">
        <is>
          <t>obra_grande</t>
        </is>
      </c>
      <c r="AS164" t="inlineStr">
        <is>
          <t>Reforma predial completa multi-disciplinar (cobertura, piso, reservatorio, esgoto, estacionamento, salas, sanitarios, paisagismo, combate a incendio) valor R$1,55 mi &gt; limiar de R$1,5 mi; eletrica e 1 item entre dezenas.</t>
        </is>
      </c>
      <c r="AT164" t="n">
        <v>0</v>
      </c>
      <c r="AU164" t="n">
        <v>0</v>
      </c>
    </row>
    <row r="165">
      <c r="A165" t="inlineStr">
        <is>
          <t>01409580000138_2025_2398</t>
        </is>
      </c>
      <c r="B165" s="2" t="inlineStr">
        <is>
          <t>https://pncp.gov.br/app/editais/01409580000138/2025/2398</t>
        </is>
      </c>
      <c r="C165" t="inlineStr">
        <is>
          <t>2026-09-27T03:19:53.083678+00:00</t>
        </is>
      </c>
      <c r="D165" t="inlineStr">
        <is>
          <t>GO</t>
        </is>
      </c>
      <c r="E165" t="inlineStr">
        <is>
          <t>GO</t>
        </is>
      </c>
      <c r="F165" t="inlineStr">
        <is>
          <t>Goiânia</t>
        </is>
      </c>
      <c r="G165" t="inlineStr">
        <is>
          <t>ESTADO DE GOIAS</t>
        </is>
      </c>
      <c r="H165" t="inlineStr">
        <is>
          <t>Estadual</t>
        </is>
      </c>
      <c r="I165" t="inlineStr">
        <is>
          <t>2025-09-15T16:34:55</t>
        </is>
      </c>
      <c r="J165" t="inlineStr">
        <is>
          <t>Concorrência - Eletrônica</t>
        </is>
      </c>
      <c r="K165" t="inlineStr">
        <is>
          <t>Contratação de serviços especializados, por meio de empresa gerenciadora, para apoio técnico às atividades desempenhadas pela Diretoria de Controle Interno da Gestão (DCI), Assessoria do FUNDEINFRA, Gerência de Custos e Orçamentos de Obras Civis (PL-GECOC) e Diretoria de Gestão Integrada (DGI), com foco no assessoramento técnico, análises de conformidade, acompanhamento de obras e serviços, apoio à fiscalização, orçamentação de obras públicas e atividades de manutenção predial.</t>
        </is>
      </c>
      <c r="L165" t="b">
        <v>0</v>
      </c>
      <c r="M165" t="inlineStr">
        <is>
          <t>manutencao_predial</t>
        </is>
      </c>
      <c r="N165" t="inlineStr">
        <is>
          <t>manutencao_predial</t>
        </is>
      </c>
      <c r="O165" t="n">
        <v>34045813.32</v>
      </c>
      <c r="P165" t="n">
        <v>27216291.6</v>
      </c>
      <c r="Q165" t="n">
        <v>34045813.32</v>
      </c>
      <c r="R165" t="n">
        <v>0.2005979900027249</v>
      </c>
      <c r="S165" t="n">
        <v>0</v>
      </c>
      <c r="T165" t="n">
        <v>1</v>
      </c>
      <c r="U165" t="n">
        <v>1</v>
      </c>
      <c r="V165" t="n">
        <v>1</v>
      </c>
      <c r="W165" t="n">
        <v>0</v>
      </c>
      <c r="X165" t="n">
        <v>0</v>
      </c>
      <c r="Y165" t="n">
        <v>0</v>
      </c>
      <c r="Z165" t="n">
        <v>0</v>
      </c>
      <c r="AA165" t="n">
        <v>0</v>
      </c>
      <c r="AB165" t="n">
        <v>0</v>
      </c>
      <c r="AC165" t="n">
        <v>0</v>
      </c>
      <c r="AD165" t="n">
        <v>0</v>
      </c>
      <c r="AE165" t="n">
        <v>1</v>
      </c>
      <c r="AF165" t="inlineStr">
        <is>
          <t>SIMEMP SERVICOS TECNICOS E OBRAS LTDA:Demais</t>
        </is>
      </c>
      <c r="AH165" t="inlineStr">
        <is>
          <t>continuado</t>
        </is>
      </c>
      <c r="AI165" t="n">
        <v>12</v>
      </c>
      <c r="AJ165" t="n">
        <v>0</v>
      </c>
      <c r="AK165" t="n">
        <v>0</v>
      </c>
      <c r="AL165" t="n">
        <v>0</v>
      </c>
      <c r="AM165" t="n">
        <v>1</v>
      </c>
      <c r="AN165" t="n">
        <v>1</v>
      </c>
      <c r="AP165" t="inlineStr">
        <is>
          <t>ação da Capacidade Técnica Operacional do item 2: No caso de Consórcio será permi'do o somatório de atestados de capacidade técnica com o obje'vo de atender às quan'dades máximas especificadas. 11.2. Critérios Técnicos para Habilitação das Licitantes (Capacidade Proﬁssional) a serem observados pela…</t>
        </is>
      </c>
      <c r="AQ165" t="n">
        <v>0</v>
      </c>
      <c r="AT165" t="n">
        <v>0</v>
      </c>
      <c r="AU165" t="n">
        <v>1</v>
      </c>
    </row>
    <row r="166">
      <c r="A166" t="inlineStr">
        <is>
          <t>01409580000138_2025_2809</t>
        </is>
      </c>
      <c r="B166" s="2" t="inlineStr">
        <is>
          <t>https://pncp.gov.br/app/editais/01409580000138/2025/2809</t>
        </is>
      </c>
      <c r="C166" t="inlineStr">
        <is>
          <t>2026-09-27T02:45:06.080816+00:00</t>
        </is>
      </c>
      <c r="D166" t="inlineStr">
        <is>
          <t>GO</t>
        </is>
      </c>
      <c r="E166" t="inlineStr">
        <is>
          <t>GO</t>
        </is>
      </c>
      <c r="F166" t="inlineStr">
        <is>
          <t>Goiânia</t>
        </is>
      </c>
      <c r="G166" t="inlineStr">
        <is>
          <t>ESTADO DE GOIAS</t>
        </is>
      </c>
      <c r="H166" t="inlineStr">
        <is>
          <t>Estadual</t>
        </is>
      </c>
      <c r="I166" t="inlineStr">
        <is>
          <t>2025-10-20T15:58:02</t>
        </is>
      </c>
      <c r="J166" t="inlineStr">
        <is>
          <t>Pregão - Eletrônico</t>
        </is>
      </c>
      <c r="K166" t="inlineStr">
        <is>
          <t xml:space="preserve">Contratação de empresa especializada para prestação de serviços continuados, sem dedicação exclusiva, de assistência técnica e manutenção corretiva e preventiva, bem como eventuais instalações e remoções, com fornecimento de peças, materiais, mão de obra, componentes e acessórios de todo o sistema de ar condicionado do tipo VRF (Variable Refrigerant Flow) nos Tribunais do Júri da Comarca de Goiânia do TJGO, incluindo sistema de ventilação de pressurização de escadas, sistema de ventilação e exaustão para renovação do ar e análise da qualidade do ar interior (QAI). </t>
        </is>
      </c>
      <c r="L166" t="b">
        <v>0</v>
      </c>
      <c r="M166" t="inlineStr">
        <is>
          <t>climatizacao</t>
        </is>
      </c>
      <c r="N166" t="inlineStr">
        <is>
          <t>climatizacao</t>
        </is>
      </c>
      <c r="O166" t="n">
        <v>1112388.1</v>
      </c>
      <c r="P166" t="n">
        <v>270990</v>
      </c>
      <c r="Q166" t="n">
        <v>1097041.44</v>
      </c>
      <c r="R166" t="n">
        <v>0.7529810724378835</v>
      </c>
      <c r="S166" t="n">
        <v>0</v>
      </c>
      <c r="T166" t="n">
        <v>2</v>
      </c>
      <c r="U166" t="n">
        <v>1</v>
      </c>
      <c r="V166" t="n">
        <v>1</v>
      </c>
      <c r="W166" t="n">
        <v>0</v>
      </c>
      <c r="X166" t="n">
        <v>0</v>
      </c>
      <c r="Y166" t="n">
        <v>0</v>
      </c>
      <c r="Z166" t="n">
        <v>0</v>
      </c>
      <c r="AA166" t="n">
        <v>0</v>
      </c>
      <c r="AB166" t="n">
        <v>0</v>
      </c>
      <c r="AC166" t="n">
        <v>0</v>
      </c>
      <c r="AD166" t="n">
        <v>0</v>
      </c>
      <c r="AE166" t="n">
        <v>1</v>
      </c>
      <c r="AF166" t="inlineStr">
        <is>
          <t>COMFORTSTAR SISTEMAS DE AR CONDICIONADO LTDA :EPP</t>
        </is>
      </c>
      <c r="AH166" t="inlineStr">
        <is>
          <t>continuado</t>
        </is>
      </c>
      <c r="AJ166" t="n">
        <v>0</v>
      </c>
      <c r="AK166" t="n">
        <v>0</v>
      </c>
      <c r="AL166" t="n">
        <v>0</v>
      </c>
      <c r="AM166" t="n">
        <v>0</v>
      </c>
      <c r="AN166" t="n">
        <v>0</v>
      </c>
      <c r="AQ166" t="n">
        <v>0</v>
      </c>
      <c r="AS166" t="inlineStr">
        <is>
          <t>servico continuado de manutencao de sistema VRF existente no TJGO, com pecas por demanda; nao e fornecimento de VRF novo.</t>
        </is>
      </c>
      <c r="AT166" t="n">
        <v>0</v>
      </c>
      <c r="AU166" t="n">
        <v>1</v>
      </c>
    </row>
    <row r="167">
      <c r="A167" t="inlineStr">
        <is>
          <t>01409580000138_2025_2964</t>
        </is>
      </c>
      <c r="B167" s="2" t="inlineStr">
        <is>
          <t>https://pncp.gov.br/app/editais/01409580000138/2025/2964</t>
        </is>
      </c>
      <c r="C167" t="inlineStr">
        <is>
          <t>2026-09-27T02:44:04.473196+00:00</t>
        </is>
      </c>
      <c r="D167" t="inlineStr">
        <is>
          <t>GO</t>
        </is>
      </c>
      <c r="E167" t="inlineStr">
        <is>
          <t>GO</t>
        </is>
      </c>
      <c r="F167" t="inlineStr">
        <is>
          <t>Goiânia</t>
        </is>
      </c>
      <c r="G167" t="inlineStr">
        <is>
          <t>ESTADO DE GOIAS</t>
        </is>
      </c>
      <c r="H167" t="inlineStr">
        <is>
          <t>Estadual</t>
        </is>
      </c>
      <c r="I167" t="inlineStr">
        <is>
          <t>2025-11-04T10:23:15</t>
        </is>
      </c>
      <c r="J167" t="inlineStr">
        <is>
          <t>Pregão - Eletrônico</t>
        </is>
      </c>
      <c r="K167" t="inlineStr">
        <is>
          <t>Contratação de empresa especializada na prestação de serviços de manutenção preventiva e/ou corretiva, em Equipamentos de Ar Condicionado, com fornecimento das peças, componentes e acessórios necessários para mantê-los em perfeito estado de funcionamento, instalados em Unidades  da administração direta da SES.</t>
        </is>
      </c>
      <c r="L167" t="b">
        <v>0</v>
      </c>
      <c r="M167" t="inlineStr">
        <is>
          <t>climatizacao</t>
        </is>
      </c>
      <c r="N167" t="inlineStr">
        <is>
          <t>climatizacao</t>
        </is>
      </c>
      <c r="O167" t="n">
        <v>2191331.89</v>
      </c>
      <c r="P167" t="n">
        <v>1444945</v>
      </c>
      <c r="Q167" t="n">
        <v>2191331.89</v>
      </c>
      <c r="R167" t="n">
        <v>0.3406087838205102</v>
      </c>
      <c r="S167" t="n">
        <v>0</v>
      </c>
      <c r="T167" t="n">
        <v>5</v>
      </c>
      <c r="U167" t="n">
        <v>5</v>
      </c>
      <c r="V167" t="n">
        <v>5</v>
      </c>
      <c r="W167" t="n">
        <v>0</v>
      </c>
      <c r="X167" t="n">
        <v>0</v>
      </c>
      <c r="Y167" t="n">
        <v>0</v>
      </c>
      <c r="Z167" t="n">
        <v>0</v>
      </c>
      <c r="AA167" t="n">
        <v>0</v>
      </c>
      <c r="AB167" t="n">
        <v>0</v>
      </c>
      <c r="AC167" t="n">
        <v>0</v>
      </c>
      <c r="AD167" t="n">
        <v>0</v>
      </c>
      <c r="AE167" t="n">
        <v>1</v>
      </c>
      <c r="AF167" t="inlineStr">
        <is>
          <t>BR MIX LTDA:EPP</t>
        </is>
      </c>
      <c r="AH167" t="inlineStr">
        <is>
          <t>pontual</t>
        </is>
      </c>
      <c r="AJ167" t="n">
        <v>0</v>
      </c>
      <c r="AK167" t="n">
        <v>0</v>
      </c>
      <c r="AL167" t="n">
        <v>0</v>
      </c>
      <c r="AM167" t="n">
        <v>0</v>
      </c>
      <c r="AN167" t="n">
        <v>0</v>
      </c>
      <c r="AQ167" t="n">
        <v>0</v>
      </c>
      <c r="AS167" t="inlineStr">
        <is>
          <t>heuristica automatica confirmada: servico real de climatizacao, sem sinais de exclusao.</t>
        </is>
      </c>
      <c r="AT167" t="n">
        <v>0</v>
      </c>
      <c r="AU167" t="n">
        <v>1</v>
      </c>
    </row>
    <row r="168">
      <c r="A168" t="inlineStr">
        <is>
          <t>01409580000138_2025_3114</t>
        </is>
      </c>
      <c r="B168" s="2" t="inlineStr">
        <is>
          <t>https://pncp.gov.br/app/editais/01409580000138/2025/3114</t>
        </is>
      </c>
      <c r="C168" t="inlineStr">
        <is>
          <t>2026-09-27T02:42:45.332843+00:00</t>
        </is>
      </c>
      <c r="D168" t="inlineStr">
        <is>
          <t>GO</t>
        </is>
      </c>
      <c r="E168" t="inlineStr">
        <is>
          <t>GO</t>
        </is>
      </c>
      <c r="F168" t="inlineStr">
        <is>
          <t>Goiânia</t>
        </is>
      </c>
      <c r="G168" t="inlineStr">
        <is>
          <t>ESTADO DE GOIAS</t>
        </is>
      </c>
      <c r="H168" t="inlineStr">
        <is>
          <t>Estadual</t>
        </is>
      </c>
      <c r="I168" t="inlineStr">
        <is>
          <t>2025-11-17T07:45:39</t>
        </is>
      </c>
      <c r="J168" t="inlineStr">
        <is>
          <t>Pregão - Eletrônico</t>
        </is>
      </c>
      <c r="K168" t="inlineStr">
        <is>
          <t>Manutenção preventiva, corretiva e preditiva nos equipamentos de ar condicionados da Sede da Retomada na Praça e no mais Empregos.</t>
        </is>
      </c>
      <c r="L168" t="b">
        <v>0</v>
      </c>
      <c r="M168" t="inlineStr">
        <is>
          <t>climatizacao</t>
        </is>
      </c>
      <c r="N168" t="inlineStr">
        <is>
          <t>climatizacao</t>
        </is>
      </c>
      <c r="O168" t="n">
        <v>60231.84</v>
      </c>
      <c r="P168" t="n">
        <v>15000</v>
      </c>
      <c r="Q168" t="n">
        <v>19387.08</v>
      </c>
      <c r="R168" t="n">
        <v>0.22628884803694</v>
      </c>
      <c r="S168" t="n">
        <v>0</v>
      </c>
      <c r="T168" t="n">
        <v>2</v>
      </c>
      <c r="U168" t="n">
        <v>1</v>
      </c>
      <c r="V168" t="n">
        <v>1</v>
      </c>
      <c r="W168" t="n">
        <v>0</v>
      </c>
      <c r="X168" t="n">
        <v>0</v>
      </c>
      <c r="Y168" t="n">
        <v>0</v>
      </c>
      <c r="Z168" t="n">
        <v>0</v>
      </c>
      <c r="AA168" t="n">
        <v>1</v>
      </c>
      <c r="AB168" t="n">
        <v>0</v>
      </c>
      <c r="AC168" t="n">
        <v>0</v>
      </c>
      <c r="AD168" t="n">
        <v>0</v>
      </c>
      <c r="AE168" t="n">
        <v>1</v>
      </c>
      <c r="AF168" t="inlineStr">
        <is>
          <t>MUNDO FRIO REFRIGERAÇÃO E CLIMATIZAÇÃO LTDA:ME</t>
        </is>
      </c>
      <c r="AH168" t="inlineStr">
        <is>
          <t>indefinido</t>
        </is>
      </c>
      <c r="AJ168" t="n">
        <v>0</v>
      </c>
      <c r="AK168" t="n">
        <v>0</v>
      </c>
      <c r="AL168" t="n">
        <v>0</v>
      </c>
      <c r="AM168" t="n">
        <v>0</v>
      </c>
      <c r="AN168" t="n">
        <v>0</v>
      </c>
      <c r="AQ168" t="n">
        <v>0</v>
      </c>
      <c r="AS168" t="inlineStr">
        <is>
          <t>heuristica automatica confirmada: servico real de climatizacao, sem sinais de exclusao.</t>
        </is>
      </c>
      <c r="AT168" t="n">
        <v>0</v>
      </c>
      <c r="AU168" t="n">
        <v>1</v>
      </c>
    </row>
    <row r="169">
      <c r="A169" t="inlineStr">
        <is>
          <t>01409580000138_2025_3136</t>
        </is>
      </c>
      <c r="B169" s="2" t="inlineStr">
        <is>
          <t>https://pncp.gov.br/app/editais/01409580000138/2025/3136</t>
        </is>
      </c>
      <c r="C169" t="inlineStr">
        <is>
          <t>2026-09-27T03:17:31.468342+00:00</t>
        </is>
      </c>
      <c r="D169" t="inlineStr">
        <is>
          <t>GO</t>
        </is>
      </c>
      <c r="E169" t="inlineStr">
        <is>
          <t>GO</t>
        </is>
      </c>
      <c r="F169" t="inlineStr">
        <is>
          <t>Goiânia</t>
        </is>
      </c>
      <c r="G169" t="inlineStr">
        <is>
          <t>ESTADO DE GOIAS</t>
        </is>
      </c>
      <c r="H169" t="inlineStr">
        <is>
          <t>Estadual</t>
        </is>
      </c>
      <c r="I169" t="inlineStr">
        <is>
          <t>2025-11-18T14:16:36</t>
        </is>
      </c>
      <c r="J169" t="inlineStr">
        <is>
          <t>Pregão - Eletrônico</t>
        </is>
      </c>
      <c r="K169" t="inlineStr">
        <is>
          <t>Contratação de empresa para prestação de serviços de manutenção predial preventiva e corretiva, com fornecimento de materiais e mão de obra nas instalações da AGEHAB.</t>
        </is>
      </c>
      <c r="L169" t="b">
        <v>0</v>
      </c>
      <c r="M169" t="inlineStr">
        <is>
          <t>manutencao_predial</t>
        </is>
      </c>
      <c r="N169" t="inlineStr">
        <is>
          <t>manutencao_predial</t>
        </is>
      </c>
      <c r="O169" t="n">
        <v>789756.95</v>
      </c>
      <c r="P169" t="n">
        <v>671293.41</v>
      </c>
      <c r="Q169" t="n">
        <v>789756.95</v>
      </c>
      <c r="R169" t="n">
        <v>0.9999810068148182</v>
      </c>
      <c r="S169" t="n">
        <v>1</v>
      </c>
      <c r="T169" t="n">
        <v>1</v>
      </c>
      <c r="U169" t="n">
        <v>1</v>
      </c>
      <c r="V169" t="n">
        <v>1</v>
      </c>
      <c r="W169" t="n">
        <v>0</v>
      </c>
      <c r="X169" t="n">
        <v>0</v>
      </c>
      <c r="Y169" t="n">
        <v>0</v>
      </c>
      <c r="Z169" t="n">
        <v>0</v>
      </c>
      <c r="AA169" t="n">
        <v>0</v>
      </c>
      <c r="AB169" t="n">
        <v>0</v>
      </c>
      <c r="AC169" t="n">
        <v>0</v>
      </c>
      <c r="AD169" t="n">
        <v>0</v>
      </c>
      <c r="AE169" t="n">
        <v>1</v>
      </c>
      <c r="AF169" t="inlineStr">
        <is>
          <t>FEGO ENGENHARIA E CONSULTORIA LTDA:ME</t>
        </is>
      </c>
      <c r="AH169" t="inlineStr">
        <is>
          <t>continuado</t>
        </is>
      </c>
      <c r="AI169" t="n">
        <v>12</v>
      </c>
      <c r="AJ169" t="n">
        <v>0</v>
      </c>
      <c r="AK169" t="n">
        <v>0</v>
      </c>
      <c r="AL169" t="n">
        <v>0</v>
      </c>
      <c r="AM169" t="n">
        <v>1</v>
      </c>
      <c r="AN169" t="n">
        <v>1</v>
      </c>
      <c r="AP169" t="inlineStr">
        <is>
          <t>as ediﬁcações que pertencem à CONTRATANTE. 15.4 A formação e atribuições dos proﬁssionais, bem como quantitativos mínimos exigidos para a equipe técnica, deverão ser apresentados, antes da execução dos serviços para que sejam aprovados previamente pela CONTRATADA. 15.5 Os horários de trabalho serão…</t>
        </is>
      </c>
      <c r="AQ169" t="n">
        <v>0</v>
      </c>
      <c r="AT169" t="n">
        <v>0</v>
      </c>
      <c r="AU169" t="n">
        <v>1</v>
      </c>
    </row>
    <row r="170">
      <c r="A170" t="inlineStr">
        <is>
          <t>01409580000138_2025_3467</t>
        </is>
      </c>
      <c r="B170" s="2" t="inlineStr">
        <is>
          <t>https://pncp.gov.br/app/editais/01409580000138/2025/3467</t>
        </is>
      </c>
      <c r="C170" t="inlineStr">
        <is>
          <t>2026-09-27T14:34:14.740544+00:00</t>
        </is>
      </c>
      <c r="D170" t="inlineStr">
        <is>
          <t>GO</t>
        </is>
      </c>
      <c r="E170" t="inlineStr">
        <is>
          <t>GO</t>
        </is>
      </c>
      <c r="F170" t="inlineStr">
        <is>
          <t>Goiânia</t>
        </is>
      </c>
      <c r="G170" t="inlineStr">
        <is>
          <t>ESTADO DE GOIAS</t>
        </is>
      </c>
      <c r="H170" t="inlineStr">
        <is>
          <t>Estadual</t>
        </is>
      </c>
      <c r="I170" t="inlineStr">
        <is>
          <t>2026-03-02T10:10:37</t>
        </is>
      </c>
      <c r="J170" t="inlineStr">
        <is>
          <t>Concorrência - Eletrônica</t>
        </is>
      </c>
      <c r="K170" t="inlineStr">
        <is>
          <t>Contratação de empresa especializada em obras e serviços técnicos de engenharia para as ações de manutenção predial do Laboratório e Seção de Projetos do Hospital da Polícia Militar do Estado de Goiás (HPM), no município de Goiânia-Goiás, incluindo o fornecimento de materiais, mão de obra, ferramental e todos os equipamentos necessários a perfeita realização dos serviços.</t>
        </is>
      </c>
      <c r="L170" t="b">
        <v>0</v>
      </c>
      <c r="M170" t="inlineStr">
        <is>
          <t>manutencao_predial</t>
        </is>
      </c>
      <c r="N170" t="inlineStr">
        <is>
          <t>manutencao_predial</t>
        </is>
      </c>
      <c r="O170" t="n">
        <v>409815.91</v>
      </c>
      <c r="P170" t="n">
        <v>306999.99</v>
      </c>
      <c r="Q170" t="n">
        <v>409815.91</v>
      </c>
      <c r="R170" t="n">
        <v>0.2508831831345932</v>
      </c>
      <c r="S170" t="n">
        <v>0</v>
      </c>
      <c r="T170" t="n">
        <v>1</v>
      </c>
      <c r="U170" t="n">
        <v>1</v>
      </c>
      <c r="V170" t="n">
        <v>1</v>
      </c>
      <c r="W170" t="n">
        <v>0</v>
      </c>
      <c r="X170" t="n">
        <v>0</v>
      </c>
      <c r="Y170" t="n">
        <v>0</v>
      </c>
      <c r="Z170" t="n">
        <v>0</v>
      </c>
      <c r="AA170" t="n">
        <v>0</v>
      </c>
      <c r="AB170" t="n">
        <v>0</v>
      </c>
      <c r="AC170" t="n">
        <v>0</v>
      </c>
      <c r="AD170" t="n">
        <v>0</v>
      </c>
      <c r="AE170" t="n">
        <v>1</v>
      </c>
      <c r="AF170" t="inlineStr">
        <is>
          <t>PROJHEART ENGENHARIA LTDA:EPP</t>
        </is>
      </c>
      <c r="AH170" t="inlineStr">
        <is>
          <t>pontual</t>
        </is>
      </c>
      <c r="AI170" t="n">
        <v>12</v>
      </c>
      <c r="AJ170" t="n">
        <v>0</v>
      </c>
      <c r="AK170" t="n">
        <v>0</v>
      </c>
      <c r="AL170" t="n">
        <v>0</v>
      </c>
      <c r="AM170" t="n">
        <v>1</v>
      </c>
      <c r="AN170" t="n">
        <v>0</v>
      </c>
      <c r="AQ170" t="n">
        <v>0</v>
      </c>
      <c r="AT170" t="n">
        <v>0</v>
      </c>
      <c r="AU170" t="n">
        <v>1</v>
      </c>
    </row>
    <row r="171">
      <c r="A171" t="inlineStr">
        <is>
          <t>01409580000138_2025_3502</t>
        </is>
      </c>
      <c r="B171" s="2" t="inlineStr">
        <is>
          <t>https://pncp.gov.br/app/editais/01409580000138/2025/3502</t>
        </is>
      </c>
      <c r="C171" t="inlineStr">
        <is>
          <t>2026-09-27T03:50:56.148222+00:00</t>
        </is>
      </c>
      <c r="D171" t="inlineStr">
        <is>
          <t>GO</t>
        </is>
      </c>
      <c r="E171" t="inlineStr">
        <is>
          <t>GO</t>
        </is>
      </c>
      <c r="F171" t="inlineStr">
        <is>
          <t>Goiânia</t>
        </is>
      </c>
      <c r="G171" t="inlineStr">
        <is>
          <t>ESTADO DE GOIAS</t>
        </is>
      </c>
      <c r="H171" t="inlineStr">
        <is>
          <t>Estadual</t>
        </is>
      </c>
      <c r="I171" t="inlineStr">
        <is>
          <t>2026-03-30T14:30:29</t>
        </is>
      </c>
      <c r="J171" t="inlineStr">
        <is>
          <t>Pregão - Eletrônico</t>
        </is>
      </c>
      <c r="K171" t="inlineStr">
        <is>
          <t>Contratação de empresa para fornecimento de material de manutenção corretiva e preventiva, (materiais de construção em geral, material de pintura, material elétrico, material hidráulico, ferramentas, material permanente e de segurança), sob demanda por um período de 12 meses.</t>
        </is>
      </c>
      <c r="L171" t="b">
        <v>0</v>
      </c>
      <c r="M171" t="inlineStr">
        <is>
          <t>eletrica_predial</t>
        </is>
      </c>
      <c r="N171" t="inlineStr">
        <is>
          <t>eletrica_predial</t>
        </is>
      </c>
      <c r="O171" t="n">
        <v>4477783.32</v>
      </c>
      <c r="P171" t="n">
        <v>40721.16</v>
      </c>
      <c r="Q171" t="n">
        <v>166753.5</v>
      </c>
      <c r="R171" t="n">
        <v>0.7558002680603404</v>
      </c>
      <c r="S171" t="n">
        <v>0</v>
      </c>
      <c r="T171" t="n">
        <v>421</v>
      </c>
      <c r="U171" t="n">
        <v>40</v>
      </c>
      <c r="V171" t="n">
        <v>421</v>
      </c>
      <c r="W171" t="n">
        <v>0</v>
      </c>
      <c r="X171" t="n">
        <v>0</v>
      </c>
      <c r="Y171" t="n">
        <v>0</v>
      </c>
      <c r="Z171" t="n">
        <v>0</v>
      </c>
      <c r="AA171" t="n">
        <v>0</v>
      </c>
      <c r="AB171" t="n">
        <v>1</v>
      </c>
      <c r="AC171" t="n">
        <v>0</v>
      </c>
      <c r="AD171" t="n">
        <v>0</v>
      </c>
      <c r="AE171" t="n">
        <v>1</v>
      </c>
      <c r="AF171" t="inlineStr">
        <is>
          <t>TOTAL CONECTA SOLUÇÕES LTDA:ME</t>
        </is>
      </c>
      <c r="AH171" t="inlineStr">
        <is>
          <t>pontual</t>
        </is>
      </c>
      <c r="AI171" t="n">
        <v>12</v>
      </c>
      <c r="AJ171" t="n">
        <v>0</v>
      </c>
      <c r="AK171" t="n">
        <v>0</v>
      </c>
      <c r="AL171" t="n">
        <v>0</v>
      </c>
      <c r="AM171" t="n">
        <v>0</v>
      </c>
      <c r="AN171" t="n">
        <v>0</v>
      </c>
      <c r="AQ171" t="n">
        <v>1</v>
      </c>
      <c r="AR171" t="inlineStr">
        <is>
          <t>fornecimento_puro</t>
        </is>
      </c>
      <c r="AS171" t="inlineStr">
        <is>
          <t>Confirmada exclusao automatica (fornecimento_puro): 421 item(ns), todos classificados como material (sem servico).</t>
        </is>
      </c>
      <c r="AT171" t="n">
        <v>1</v>
      </c>
      <c r="AU171" t="n">
        <v>0</v>
      </c>
    </row>
    <row r="172">
      <c r="A172" t="inlineStr">
        <is>
          <t>01409580000138_2025_3537</t>
        </is>
      </c>
      <c r="B172" s="2" t="inlineStr">
        <is>
          <t>https://pncp.gov.br/app/editais/01409580000138/2025/3537</t>
        </is>
      </c>
      <c r="C172" t="inlineStr">
        <is>
          <t>2026-09-27T14:34:10.752405+00:00</t>
        </is>
      </c>
      <c r="D172" t="inlineStr">
        <is>
          <t>GO</t>
        </is>
      </c>
      <c r="E172" t="inlineStr">
        <is>
          <t>GO</t>
        </is>
      </c>
      <c r="F172" t="inlineStr">
        <is>
          <t>Goiânia</t>
        </is>
      </c>
      <c r="G172" t="inlineStr">
        <is>
          <t>ESTADO DE GOIAS</t>
        </is>
      </c>
      <c r="H172" t="inlineStr">
        <is>
          <t>Estadual</t>
        </is>
      </c>
      <c r="I172" t="inlineStr">
        <is>
          <t>2026-05-12T10:22:22</t>
        </is>
      </c>
      <c r="J172" t="inlineStr">
        <is>
          <t>Concorrência - Eletrônica</t>
        </is>
      </c>
      <c r="K172" t="inlineStr">
        <is>
          <t>Contratação de empresa especializada em obras e serviços técnicos de engenharia para as ações de manutenção predial da Junta Central de Saúde (JCS) do Hospital da Polícia Militar do Estado de Goiás (HPM), no município de Goiânia-Goiás, incluindo o fornecimento de materiais, mão de obra, ferramental e todos os equipamentos necessários a perfeita realização dos serviços.</t>
        </is>
      </c>
      <c r="L172" t="b">
        <v>0</v>
      </c>
      <c r="M172" t="inlineStr">
        <is>
          <t>manutencao_predial</t>
        </is>
      </c>
      <c r="N172" t="inlineStr">
        <is>
          <t>manutencao_predial</t>
        </is>
      </c>
      <c r="O172" t="n">
        <v>652032.72</v>
      </c>
      <c r="P172" t="n">
        <v>527800</v>
      </c>
      <c r="Q172" t="n">
        <v>652032.72</v>
      </c>
      <c r="R172" t="n">
        <v>0.1905314199569617</v>
      </c>
      <c r="S172" t="n">
        <v>0</v>
      </c>
      <c r="T172" t="n">
        <v>1</v>
      </c>
      <c r="U172" t="n">
        <v>1</v>
      </c>
      <c r="V172" t="n">
        <v>1</v>
      </c>
      <c r="W172" t="n">
        <v>0</v>
      </c>
      <c r="X172" t="n">
        <v>0</v>
      </c>
      <c r="Y172" t="n">
        <v>0</v>
      </c>
      <c r="Z172" t="n">
        <v>0</v>
      </c>
      <c r="AA172" t="n">
        <v>0</v>
      </c>
      <c r="AB172" t="n">
        <v>0</v>
      </c>
      <c r="AC172" t="n">
        <v>0</v>
      </c>
      <c r="AD172" t="n">
        <v>0</v>
      </c>
      <c r="AE172" t="n">
        <v>1</v>
      </c>
      <c r="AF172" t="inlineStr">
        <is>
          <t>C&amp;B PRODUÇÕES MARKETING COMERCIO SERVIÇOS E INCORPORADORA LTDA:EPP</t>
        </is>
      </c>
      <c r="AH172" t="inlineStr">
        <is>
          <t>pontual</t>
        </is>
      </c>
      <c r="AI172" t="n">
        <v>12</v>
      </c>
      <c r="AJ172" t="n">
        <v>0</v>
      </c>
      <c r="AK172" t="n">
        <v>0</v>
      </c>
      <c r="AL172" t="n">
        <v>0</v>
      </c>
      <c r="AM172" t="n">
        <v>1</v>
      </c>
      <c r="AN172" t="n">
        <v>0</v>
      </c>
      <c r="AQ172" t="n">
        <v>0</v>
      </c>
      <c r="AT172" t="n">
        <v>0</v>
      </c>
      <c r="AU172" t="n">
        <v>1</v>
      </c>
    </row>
    <row r="173">
      <c r="A173" t="inlineStr">
        <is>
          <t>01409580000138_2025_924</t>
        </is>
      </c>
      <c r="B173" s="2" t="inlineStr">
        <is>
          <t>https://pncp.gov.br/app/editais/01409580000138/2025/924</t>
        </is>
      </c>
      <c r="C173" t="inlineStr">
        <is>
          <t>2026-09-27T03:03:47.706798+00:00</t>
        </is>
      </c>
      <c r="D173" t="inlineStr">
        <is>
          <t>GO</t>
        </is>
      </c>
      <c r="E173" t="inlineStr">
        <is>
          <t>GO</t>
        </is>
      </c>
      <c r="F173" t="inlineStr">
        <is>
          <t>Goiânia</t>
        </is>
      </c>
      <c r="G173" t="inlineStr">
        <is>
          <t>ESTADO DE GOIAS</t>
        </is>
      </c>
      <c r="H173" t="inlineStr">
        <is>
          <t>Estadual</t>
        </is>
      </c>
      <c r="I173" t="inlineStr">
        <is>
          <t>2025-04-28T16:01:48</t>
        </is>
      </c>
      <c r="J173" t="inlineStr">
        <is>
          <t>Pregão - Eletrônico</t>
        </is>
      </c>
      <c r="K173" t="inlineStr">
        <is>
          <t>Aquisições de 04 aparelhos de Ar Condicionados com Serviços de Instalação com garantia de 12 meses. Finalidade: 02 (duas) unidades para Salas Administrativas na Garagem da Rua 02 Centro de Goiânia e 02 (duas) unidades para o Arquivo no Setor Jardim Europa.</t>
        </is>
      </c>
      <c r="L173" t="b">
        <v>0</v>
      </c>
      <c r="M173" t="inlineStr">
        <is>
          <t>climatizacao</t>
        </is>
      </c>
      <c r="N173" t="inlineStr">
        <is>
          <t>climatizacao</t>
        </is>
      </c>
      <c r="O173" t="n">
        <v>13819.8</v>
      </c>
      <c r="P173" t="n">
        <v>13685.6</v>
      </c>
      <c r="Q173" t="n">
        <v>13819.8</v>
      </c>
      <c r="R173" t="n">
        <v>0.009710704930606773</v>
      </c>
      <c r="S173" t="n">
        <v>0</v>
      </c>
      <c r="T173" t="n">
        <v>1</v>
      </c>
      <c r="U173" t="n">
        <v>1</v>
      </c>
      <c r="V173" t="n">
        <v>1</v>
      </c>
      <c r="W173" t="n">
        <v>0</v>
      </c>
      <c r="X173" t="n">
        <v>0</v>
      </c>
      <c r="Y173" t="n">
        <v>0</v>
      </c>
      <c r="Z173" t="n">
        <v>0</v>
      </c>
      <c r="AA173" t="n">
        <v>1</v>
      </c>
      <c r="AB173" t="n">
        <v>0</v>
      </c>
      <c r="AC173" t="n">
        <v>0</v>
      </c>
      <c r="AD173" t="n">
        <v>0</v>
      </c>
      <c r="AE173" t="n">
        <v>1</v>
      </c>
      <c r="AF173" t="inlineStr">
        <is>
          <t>S S DA SILVA PRESTADORA DE SERVIÇOS LTDA:ME</t>
        </is>
      </c>
      <c r="AH173" t="inlineStr">
        <is>
          <t>indefinido</t>
        </is>
      </c>
      <c r="AI173" t="n">
        <v>12</v>
      </c>
      <c r="AJ173" t="n">
        <v>0</v>
      </c>
      <c r="AK173" t="n">
        <v>0</v>
      </c>
      <c r="AL173" t="n">
        <v>0</v>
      </c>
      <c r="AM173" t="n">
        <v>0</v>
      </c>
      <c r="AN173" t="n">
        <v>0</v>
      </c>
      <c r="AQ173" t="n">
        <v>1</v>
      </c>
      <c r="AR173" t="inlineStr">
        <is>
          <t>fornecimento_puro</t>
        </is>
      </c>
      <c r="AS173" t="inlineStr">
        <is>
          <t>heuristica automatica confirmada (fornecimento_puro): 1 item(ns), todos classificados como material (sem servico).</t>
        </is>
      </c>
      <c r="AT173" t="n">
        <v>1</v>
      </c>
      <c r="AU173" t="n">
        <v>0</v>
      </c>
    </row>
    <row r="174">
      <c r="A174" t="inlineStr">
        <is>
          <t>01409580000138_2026_387</t>
        </is>
      </c>
      <c r="B174" s="2" t="inlineStr">
        <is>
          <t>https://pncp.gov.br/app/editais/01409580000138/2026/387</t>
        </is>
      </c>
      <c r="C174" t="inlineStr">
        <is>
          <t>2026-09-27T03:14:46.253183+00:00</t>
        </is>
      </c>
      <c r="D174" t="inlineStr">
        <is>
          <t>GO</t>
        </is>
      </c>
      <c r="E174" t="inlineStr">
        <is>
          <t>GO</t>
        </is>
      </c>
      <c r="F174" t="inlineStr">
        <is>
          <t>Goiânia</t>
        </is>
      </c>
      <c r="G174" t="inlineStr">
        <is>
          <t>ESTADO DE GOIAS</t>
        </is>
      </c>
      <c r="H174" t="inlineStr">
        <is>
          <t>Estadual</t>
        </is>
      </c>
      <c r="I174" t="inlineStr">
        <is>
          <t>2026-03-10T14:52:01</t>
        </is>
      </c>
      <c r="J174" t="inlineStr">
        <is>
          <t>Pregão - Eletrônico</t>
        </is>
      </c>
      <c r="K174" t="inlineStr">
        <is>
          <t>Contratação de serviços de manutenção predial, incluindo manutenções preventivas, corretivas, programadas e emergenciais, adaptações, serviços comuns de engenharia e serviços de jardinagem e paisagismo, nos imóveis ocupados e a ocupar pelo TJGO, próprios ou alugados/cedidos, nas comarcas do interior do Estado, observadas as condições, especificações e exigências estabelecidas no Edital e em seus anexos.</t>
        </is>
      </c>
      <c r="L174" t="b">
        <v>0</v>
      </c>
      <c r="M174" t="inlineStr">
        <is>
          <t>manutencao_predial</t>
        </is>
      </c>
      <c r="N174" t="inlineStr">
        <is>
          <t>manutencao_predial</t>
        </is>
      </c>
      <c r="O174" t="n">
        <v>37208853.22</v>
      </c>
      <c r="P174" t="n">
        <v>31086463.08</v>
      </c>
      <c r="Q174" t="n">
        <v>37208853.22</v>
      </c>
      <c r="R174" t="n">
        <v>0.1645412209777316</v>
      </c>
      <c r="S174" t="n">
        <v>0</v>
      </c>
      <c r="T174" t="n">
        <v>6</v>
      </c>
      <c r="U174" t="n">
        <v>6</v>
      </c>
      <c r="V174" t="n">
        <v>6</v>
      </c>
      <c r="W174" t="n">
        <v>0</v>
      </c>
      <c r="X174" t="n">
        <v>0</v>
      </c>
      <c r="Y174" t="n">
        <v>0</v>
      </c>
      <c r="Z174" t="n">
        <v>0</v>
      </c>
      <c r="AA174" t="n">
        <v>0</v>
      </c>
      <c r="AB174" t="n">
        <v>0</v>
      </c>
      <c r="AC174" t="n">
        <v>0</v>
      </c>
      <c r="AD174" t="n">
        <v>0</v>
      </c>
      <c r="AE174" t="n">
        <v>4</v>
      </c>
      <c r="AF174" t="inlineStr">
        <is>
          <t>PTS TECNOLOGIA SERVIÇOS E PARTICIPAÇÕES LTDA:Demais; LARS LOCACOES E ENGENHARIA LTDA:Demais; CONSTRUTORA PORTO S.A.:Demais; SOLUMINAR SERVICE LTDA:ME</t>
        </is>
      </c>
      <c r="AH174" t="inlineStr">
        <is>
          <t>pontual</t>
        </is>
      </c>
      <c r="AI174" t="n">
        <v>12</v>
      </c>
      <c r="AJ174" t="n">
        <v>0</v>
      </c>
      <c r="AK174" t="n">
        <v>0</v>
      </c>
      <c r="AL174" t="n">
        <v>0</v>
      </c>
      <c r="AM174" t="n">
        <v>1</v>
      </c>
      <c r="AN174" t="n">
        <v>1</v>
      </c>
      <c r="AP174" t="inlineStr">
        <is>
          <t>em apresentar capacidade técnica suficiente para a execução do objeto, com a comprovação através de atestados de capacidade técnica profissional e operacional. 4.1.10 Atender aos critérios de sustentabilidade inerentes ao objeto, com especificações para o correto descarte de materiais (entulhos, bat…</t>
        </is>
      </c>
      <c r="AQ174" t="n">
        <v>0</v>
      </c>
      <c r="AT174" t="n">
        <v>0</v>
      </c>
      <c r="AU174" t="n">
        <v>1</v>
      </c>
    </row>
    <row r="175">
      <c r="A175" t="inlineStr">
        <is>
          <t>01409580000138_2026_764</t>
        </is>
      </c>
      <c r="B175" s="2" t="inlineStr">
        <is>
          <t>https://pncp.gov.br/app/editais/01409580000138/2026/764</t>
        </is>
      </c>
      <c r="C175" t="inlineStr">
        <is>
          <t>2026-09-27T14:31:47.825700+00:00</t>
        </is>
      </c>
      <c r="D175" t="inlineStr">
        <is>
          <t>GO</t>
        </is>
      </c>
      <c r="E175" t="inlineStr">
        <is>
          <t>GO</t>
        </is>
      </c>
      <c r="F175" t="inlineStr">
        <is>
          <t>Goiânia</t>
        </is>
      </c>
      <c r="G175" t="inlineStr">
        <is>
          <t>ESTADO DE GOIAS</t>
        </is>
      </c>
      <c r="H175" t="inlineStr">
        <is>
          <t>Estadual</t>
        </is>
      </c>
      <c r="I175" t="inlineStr">
        <is>
          <t>2026-05-18T14:42:49</t>
        </is>
      </c>
      <c r="J175" t="inlineStr">
        <is>
          <t>Pregão - Eletrônico</t>
        </is>
      </c>
      <c r="K175" t="inlineStr">
        <is>
          <t>Contratação de empresa especializada para locação, instalação e manutenção de grupo gerador para atender o prédio locado que sediará a Superintendência de Tecnologia da Informação – STI</t>
        </is>
      </c>
      <c r="L175" t="b">
        <v>0</v>
      </c>
      <c r="M175" t="inlineStr">
        <is>
          <t>eletrica_predial</t>
        </is>
      </c>
      <c r="N175" t="inlineStr">
        <is>
          <t>eletrica_predial</t>
        </is>
      </c>
      <c r="O175" t="n">
        <v>234000</v>
      </c>
      <c r="P175" t="n">
        <v>155760</v>
      </c>
      <c r="Q175" t="n">
        <v>234000</v>
      </c>
      <c r="R175" t="n">
        <v>0.3343589743589743</v>
      </c>
      <c r="S175" t="n">
        <v>0</v>
      </c>
      <c r="T175" t="n">
        <v>1</v>
      </c>
      <c r="U175" t="n">
        <v>1</v>
      </c>
      <c r="V175" t="n">
        <v>1</v>
      </c>
      <c r="W175" t="n">
        <v>0</v>
      </c>
      <c r="X175" t="n">
        <v>0</v>
      </c>
      <c r="Y175" t="n">
        <v>0</v>
      </c>
      <c r="Z175" t="n">
        <v>0</v>
      </c>
      <c r="AA175" t="n">
        <v>0</v>
      </c>
      <c r="AB175" t="n">
        <v>0</v>
      </c>
      <c r="AC175" t="n">
        <v>0</v>
      </c>
      <c r="AD175" t="n">
        <v>0</v>
      </c>
      <c r="AE175" t="n">
        <v>1</v>
      </c>
      <c r="AF175" t="inlineStr">
        <is>
          <t>HEBROM COMERCIO E SERVICOS LTDA:EPP</t>
        </is>
      </c>
      <c r="AH175" t="inlineStr">
        <is>
          <t>continuado</t>
        </is>
      </c>
      <c r="AI175" t="n">
        <v>12</v>
      </c>
      <c r="AJ175" t="n">
        <v>0</v>
      </c>
      <c r="AK175" t="n">
        <v>0</v>
      </c>
      <c r="AL175" t="n">
        <v>0</v>
      </c>
      <c r="AM175" t="n">
        <v>1</v>
      </c>
      <c r="AN175" t="n">
        <v>1</v>
      </c>
      <c r="AP175" t="inlineStr">
        <is>
          <t>nome, cargo e assinatura do responsável pela emissão do atestado. 10.11.1.4. Somente serão aceitos atestados de capacidade técnica expedidos após a conclusão dos serviços contratados, ou após o decurso mínimo de 1 (um) ano do início da prestação destes, se decorrentes de contratos ﬁrmados para execu…</t>
        </is>
      </c>
      <c r="AQ175" t="n">
        <v>0</v>
      </c>
      <c r="AR175" t="inlineStr">
        <is>
          <t>equipamento_alto</t>
        </is>
      </c>
      <c r="AS175" t="inlineStr">
        <is>
          <t xml:space="preserve">Confirmada exclusao automatica (equipamento_alto): contratacao de empresa especializada para locacao, instalacao e manutencao de grupo gerador para atender o predio locado que sediara a superintendencia de tecnologia da informacao </t>
        </is>
      </c>
      <c r="AT175" t="n">
        <v>0</v>
      </c>
      <c r="AU175" t="n">
        <v>0</v>
      </c>
    </row>
    <row r="176">
      <c r="A176" t="inlineStr">
        <is>
          <t>01409580000138_2026_922</t>
        </is>
      </c>
      <c r="B176" s="2" t="inlineStr">
        <is>
          <t>https://pncp.gov.br/app/editais/01409580000138/2026/922</t>
        </is>
      </c>
      <c r="C176" t="inlineStr">
        <is>
          <t>2026-09-27T03:39:21.949166+00:00</t>
        </is>
      </c>
      <c r="D176" t="inlineStr">
        <is>
          <t>GO</t>
        </is>
      </c>
      <c r="E176" t="inlineStr">
        <is>
          <t>GO</t>
        </is>
      </c>
      <c r="F176" t="inlineStr">
        <is>
          <t>Goiânia</t>
        </is>
      </c>
      <c r="G176" t="inlineStr">
        <is>
          <t>ESTADO DE GOIAS</t>
        </is>
      </c>
      <c r="H176" t="inlineStr">
        <is>
          <t>Estadual</t>
        </is>
      </c>
      <c r="I176" t="inlineStr">
        <is>
          <t>2026-06-11T14:36:55</t>
        </is>
      </c>
      <c r="J176" t="inlineStr">
        <is>
          <t>Pregão - Eletrônico</t>
        </is>
      </c>
      <c r="K176" t="inlineStr">
        <is>
          <t>Fornecimento e a instalação de ambiente modular, pré-fabricado (off site), incluindo a execução das instalações elétricas, lógicas, hidrossanitárias, de Circuito Fechado de Televisão (CFTV), Sistema de Proteção Contra Descargas Atmosféricas (SPDA), climatização e do sistema de detecção e alarme de incêndio, com garantia de 12 (doze) meses, conforme condições, especificações e exigências contidas no edital e seus anexos.</t>
        </is>
      </c>
      <c r="L176" t="b">
        <v>0</v>
      </c>
      <c r="M176" t="inlineStr">
        <is>
          <t>climatizacao</t>
        </is>
      </c>
      <c r="N176" t="inlineStr">
        <is>
          <t>climatizacao</t>
        </is>
      </c>
      <c r="O176" t="n">
        <v>1398433.9</v>
      </c>
      <c r="P176" t="n">
        <v>1390000</v>
      </c>
      <c r="Q176" t="n">
        <v>1398433.9</v>
      </c>
      <c r="R176" t="n">
        <v>0.006030960776909076</v>
      </c>
      <c r="S176" t="n">
        <v>0</v>
      </c>
      <c r="T176" t="n">
        <v>5</v>
      </c>
      <c r="U176" t="n">
        <v>5</v>
      </c>
      <c r="V176" t="n">
        <v>5</v>
      </c>
      <c r="W176" t="n">
        <v>0</v>
      </c>
      <c r="X176" t="n">
        <v>0</v>
      </c>
      <c r="Y176" t="n">
        <v>0</v>
      </c>
      <c r="Z176" t="n">
        <v>0</v>
      </c>
      <c r="AA176" t="n">
        <v>0</v>
      </c>
      <c r="AB176" t="n">
        <v>0</v>
      </c>
      <c r="AC176" t="n">
        <v>0</v>
      </c>
      <c r="AD176" t="n">
        <v>0</v>
      </c>
      <c r="AE176" t="n">
        <v>1</v>
      </c>
      <c r="AF176" t="inlineStr">
        <is>
          <t>AMR CONSTRUTORA LTDA:Demais</t>
        </is>
      </c>
      <c r="AH176" t="inlineStr">
        <is>
          <t>continuado</t>
        </is>
      </c>
      <c r="AI176" t="n">
        <v>12</v>
      </c>
      <c r="AJ176" t="n">
        <v>0</v>
      </c>
      <c r="AK176" t="n">
        <v>0</v>
      </c>
      <c r="AL176" t="n">
        <v>0</v>
      </c>
      <c r="AM176" t="n">
        <v>1</v>
      </c>
      <c r="AN176" t="n">
        <v>1</v>
      </c>
      <c r="AP176" t="inlineStr">
        <is>
          <t>.7.1.3. A licitante deverá demonstrar sua capacidade técnico-operacional mediante a apresentação de atestados de capacidade técnica, emitidos por pessoas jurídicas de direito público ou privado, acompanhados dos respectivos contratos e Certidão(ões) de Acervo Técnico (CAT s), que comprovem a execuçã…</t>
        </is>
      </c>
      <c r="AQ176" t="n">
        <v>1</v>
      </c>
      <c r="AR176" t="inlineStr">
        <is>
          <t>fornecimento_puro</t>
        </is>
      </c>
      <c r="AS176" t="inlineStr">
        <is>
          <t>heuristica automatica confirmada (fornecimento_puro): 5 item(ns), todos classificados como material (sem servico).</t>
        </is>
      </c>
      <c r="AT176" t="n">
        <v>0</v>
      </c>
      <c r="AU176" t="n">
        <v>0</v>
      </c>
    </row>
    <row r="177">
      <c r="A177" t="inlineStr">
        <is>
          <t>01465988000127_2025_382</t>
        </is>
      </c>
      <c r="B177" s="2" t="inlineStr">
        <is>
          <t>https://pncp.gov.br/app/editais/01465988000127/2025/382</t>
        </is>
      </c>
      <c r="C177" t="inlineStr">
        <is>
          <t>2026-09-27T03:26:43.062085+00:00</t>
        </is>
      </c>
      <c r="D177" t="inlineStr">
        <is>
          <t>GO</t>
        </is>
      </c>
      <c r="E177" t="inlineStr">
        <is>
          <t>GO</t>
        </is>
      </c>
      <c r="F177" t="inlineStr">
        <is>
          <t>Mineiros</t>
        </is>
      </c>
      <c r="G177" t="inlineStr">
        <is>
          <t>FUNDACAO INTEGRADA MUNICIPAL DE ENSINO SUPERIOR</t>
        </is>
      </c>
      <c r="H177" t="inlineStr">
        <is>
          <t>Municipal</t>
        </is>
      </c>
      <c r="I177" t="inlineStr">
        <is>
          <t>2025-05-06T08:13:42</t>
        </is>
      </c>
      <c r="J177" t="inlineStr">
        <is>
          <t>Pregão - Eletrônico</t>
        </is>
      </c>
      <c r="K177" t="inlineStr">
        <is>
          <t>FORMAÇÃO DE ATA DE REGISTRO DE PREÇOS PARA  AQUISIÇÃO DE MATERIAIS PARA MANUTENÇÃO PREDIAL, ATENDENDO ÀS NECESSIDADES DA FUNDAÇÃO INTEGRADA MUNICIPAL DE ENSINO SUPERIOR - UNIFIMES</t>
        </is>
      </c>
      <c r="L177" t="b">
        <v>1</v>
      </c>
      <c r="M177" t="inlineStr">
        <is>
          <t>manutencao_predial</t>
        </is>
      </c>
      <c r="N177" t="inlineStr">
        <is>
          <t>manutencao_predial</t>
        </is>
      </c>
      <c r="O177" t="n">
        <v>474439.94</v>
      </c>
      <c r="P177" t="n">
        <v>80894</v>
      </c>
      <c r="Q177" t="n">
        <v>131800.55</v>
      </c>
      <c r="R177" t="n">
        <v>0.3862392835234754</v>
      </c>
      <c r="S177" t="n">
        <v>0</v>
      </c>
      <c r="T177" t="n">
        <v>166</v>
      </c>
      <c r="U177" t="n">
        <v>40</v>
      </c>
      <c r="V177" t="n">
        <v>166</v>
      </c>
      <c r="W177" t="n">
        <v>0</v>
      </c>
      <c r="X177" t="n">
        <v>0</v>
      </c>
      <c r="Y177" t="n">
        <v>0</v>
      </c>
      <c r="Z177" t="n">
        <v>0</v>
      </c>
      <c r="AA177" t="n">
        <v>1</v>
      </c>
      <c r="AB177" t="n">
        <v>0</v>
      </c>
      <c r="AC177" t="n">
        <v>0</v>
      </c>
      <c r="AD177" t="n">
        <v>0</v>
      </c>
      <c r="AE177" t="n">
        <v>3</v>
      </c>
      <c r="AF177" t="inlineStr">
        <is>
          <t>INTEGRA TECH SOLUCOES LTDA:ME; AVERTANO MATERIAIS PARA CONSTRUÇÃO LTDA:ME; BORGES RESENDE E RESENDE LTDA:ME</t>
        </is>
      </c>
      <c r="AH177" t="inlineStr">
        <is>
          <t>pontual</t>
        </is>
      </c>
      <c r="AI177" t="n">
        <v>6</v>
      </c>
      <c r="AJ177" t="n">
        <v>0</v>
      </c>
      <c r="AK177" t="n">
        <v>0</v>
      </c>
      <c r="AL177" t="n">
        <v>0</v>
      </c>
      <c r="AM177" t="n">
        <v>1</v>
      </c>
      <c r="AN177" t="n">
        <v>0</v>
      </c>
      <c r="AP177" t="inlineStr">
        <is>
          <t>e pertinente e compatível com o objeto da licitação, através de apresentação de no mínimo 01 (um) atestado de Capacidade Técnica, em benefício da licitante, emitido por pessoa jurídica de direito público, sendo aceito também atestado emitido por pessoa jurídica de direito privado. FUNDAÇÃO INTEGRADA…</t>
        </is>
      </c>
      <c r="AQ177" t="n">
        <v>1</v>
      </c>
      <c r="AR177" t="inlineStr">
        <is>
          <t>fornecimento_puro</t>
        </is>
      </c>
      <c r="AS177" t="inlineStr">
        <is>
          <t>166 item(ns), todos classificados como material (sem servico).</t>
        </is>
      </c>
      <c r="AT177" t="n">
        <v>1</v>
      </c>
      <c r="AU177" t="n">
        <v>0</v>
      </c>
    </row>
    <row r="178">
      <c r="A178" t="inlineStr">
        <is>
          <t>01465988000127_2025_412</t>
        </is>
      </c>
      <c r="B178" s="2" t="inlineStr">
        <is>
          <t>https://pncp.gov.br/app/editais/01465988000127/2025/412</t>
        </is>
      </c>
      <c r="C178" t="inlineStr">
        <is>
          <t>2026-09-27T03:24:31.276506+00:00</t>
        </is>
      </c>
      <c r="D178" t="inlineStr">
        <is>
          <t>GO</t>
        </is>
      </c>
      <c r="E178" t="inlineStr">
        <is>
          <t>GO</t>
        </is>
      </c>
      <c r="F178" t="inlineStr">
        <is>
          <t>Mineiros</t>
        </is>
      </c>
      <c r="G178" t="inlineStr">
        <is>
          <t>FUNDACAO INTEGRADA MUNICIPAL DE ENSINO SUPERIOR</t>
        </is>
      </c>
      <c r="H178" t="inlineStr">
        <is>
          <t>Municipal</t>
        </is>
      </c>
      <c r="I178" t="inlineStr">
        <is>
          <t>2025-06-06T15:40:22</t>
        </is>
      </c>
      <c r="J178" t="inlineStr">
        <is>
          <t>Pregão - Eletrônico</t>
        </is>
      </c>
      <c r="K178" t="inlineStr">
        <is>
          <t>FORMAÇÃO DE ATA DE REGISTRO DE PREÇOS PARA  AQUISIÇÃO DE MATERIAIS PARA MANUTENÇÃO PREDIAL, ATENDENDO ÀS NECESSIDADES DA FUNDAÇÃO INTEGRADA MUNICIPAL DE ENSINO SUPERIOR - UNIFIMES</t>
        </is>
      </c>
      <c r="L178" t="b">
        <v>1</v>
      </c>
      <c r="M178" t="inlineStr">
        <is>
          <t>manutencao_predial</t>
        </is>
      </c>
      <c r="N178" t="inlineStr">
        <is>
          <t>manutencao_predial</t>
        </is>
      </c>
      <c r="O178" t="n">
        <v>474439.94</v>
      </c>
      <c r="P178" t="n">
        <v>80894</v>
      </c>
      <c r="Q178" t="n">
        <v>131800.55</v>
      </c>
      <c r="R178" t="n">
        <v>0.3862392835234755</v>
      </c>
      <c r="S178" t="n">
        <v>0</v>
      </c>
      <c r="T178" t="n">
        <v>166</v>
      </c>
      <c r="U178" t="n">
        <v>40</v>
      </c>
      <c r="V178" t="n">
        <v>166</v>
      </c>
      <c r="W178" t="n">
        <v>0</v>
      </c>
      <c r="X178" t="n">
        <v>0</v>
      </c>
      <c r="Y178" t="n">
        <v>0</v>
      </c>
      <c r="Z178" t="n">
        <v>0</v>
      </c>
      <c r="AA178" t="n">
        <v>0</v>
      </c>
      <c r="AB178" t="n">
        <v>0</v>
      </c>
      <c r="AC178" t="n">
        <v>0</v>
      </c>
      <c r="AD178" t="n">
        <v>0</v>
      </c>
      <c r="AE178" t="n">
        <v>3</v>
      </c>
      <c r="AF178" t="inlineStr">
        <is>
          <t>INTEGRA TECH SOLUÇÕES LTDA:ME; AVERTANO MATERIAIS PARA CONSTRUCAO LTDA:Demais; BORGES RESENDE E RESENDE LTDA - ME:Demais</t>
        </is>
      </c>
      <c r="AH178" t="inlineStr">
        <is>
          <t>pontual</t>
        </is>
      </c>
      <c r="AI178" t="n">
        <v>6</v>
      </c>
      <c r="AJ178" t="n">
        <v>0</v>
      </c>
      <c r="AK178" t="n">
        <v>0</v>
      </c>
      <c r="AL178" t="n">
        <v>0</v>
      </c>
      <c r="AM178" t="n">
        <v>1</v>
      </c>
      <c r="AN178" t="n">
        <v>0</v>
      </c>
      <c r="AP178" t="inlineStr">
        <is>
          <t>e pertinente e compatível com o objeto da licitação, através de apresentação de no mínimo 01 (um) atestado de Capacidade Técnica, em benefício da licitante, emitido por pessoa jurídica de direito público, sendo aceito também atestado emitido por pessoa jurídica de direito privado. FUNDAÇÃO INTEGRADA…</t>
        </is>
      </c>
      <c r="AQ178" t="n">
        <v>0.9504057352338421</v>
      </c>
      <c r="AR178" t="inlineStr">
        <is>
          <t>equipamento_alto</t>
        </is>
      </c>
      <c r="AS178" t="inlineStr">
        <is>
          <t>fracao estimada em itens de material = 95% (&gt; 40%).</t>
        </is>
      </c>
      <c r="AT178" t="n">
        <v>0</v>
      </c>
      <c r="AU178" t="n">
        <v>0</v>
      </c>
    </row>
    <row r="179">
      <c r="A179" t="inlineStr">
        <is>
          <t>01465988000127_2026_128</t>
        </is>
      </c>
      <c r="B179" s="2" t="inlineStr">
        <is>
          <t>https://pncp.gov.br/app/editais/01465988000127/2026/128</t>
        </is>
      </c>
      <c r="C179" t="inlineStr">
        <is>
          <t>2026-09-27T03:51:39.923185+00:00</t>
        </is>
      </c>
      <c r="D179" t="inlineStr">
        <is>
          <t>GO</t>
        </is>
      </c>
      <c r="E179" t="inlineStr">
        <is>
          <t>GO</t>
        </is>
      </c>
      <c r="F179" t="inlineStr">
        <is>
          <t>Mineiros</t>
        </is>
      </c>
      <c r="G179" t="inlineStr">
        <is>
          <t>FUNDACAO INTEGRADA MUNICIPAL DE ENSINO SUPERIOR</t>
        </is>
      </c>
      <c r="H179" t="inlineStr">
        <is>
          <t>Municipal</t>
        </is>
      </c>
      <c r="I179" t="inlineStr">
        <is>
          <t>2026-03-20T13:45:56</t>
        </is>
      </c>
      <c r="J179" t="inlineStr">
        <is>
          <t>Pregão - Eletrônico</t>
        </is>
      </c>
      <c r="K179" t="inlineStr">
        <is>
          <t>AQUISIÇÃO DE MATERIAIS PARA MANUTENÇÃO ELÉTRICA, ATENDENDO AS NECESSIDADES DA FUNDAÇÃO INTEGRADA MUNICIPAL DE ENSINO SUPERIOR - FIMES.</t>
        </is>
      </c>
      <c r="L179" t="b">
        <v>1</v>
      </c>
      <c r="M179" t="inlineStr">
        <is>
          <t>eletrica_predial</t>
        </is>
      </c>
      <c r="N179" t="inlineStr">
        <is>
          <t>eletrica_predial</t>
        </is>
      </c>
      <c r="O179" t="n">
        <v>457442.31</v>
      </c>
      <c r="P179" t="n">
        <v>65491.2</v>
      </c>
      <c r="Q179" t="n">
        <v>148626.93</v>
      </c>
      <c r="R179" t="n">
        <v>0.559358455429309</v>
      </c>
      <c r="S179" t="n">
        <v>0</v>
      </c>
      <c r="T179" t="n">
        <v>99</v>
      </c>
      <c r="U179" t="n">
        <v>40</v>
      </c>
      <c r="V179" t="n">
        <v>99</v>
      </c>
      <c r="W179" t="n">
        <v>0</v>
      </c>
      <c r="X179" t="n">
        <v>0</v>
      </c>
      <c r="Y179" t="n">
        <v>0</v>
      </c>
      <c r="Z179" t="n">
        <v>0</v>
      </c>
      <c r="AA179" t="n">
        <v>1</v>
      </c>
      <c r="AB179" t="n">
        <v>0</v>
      </c>
      <c r="AC179" t="n">
        <v>0</v>
      </c>
      <c r="AD179" t="n">
        <v>0</v>
      </c>
      <c r="AE179" t="n">
        <v>3</v>
      </c>
      <c r="AF179" t="inlineStr">
        <is>
          <t>BORGES RESENDE E RESENDE LTDA:ME; BRASIL ILUMINAÇÃO E CONSTRUÇÃO EIRELI:ME; SOUZA &amp; RICETTI ESTRATEGIA PUBLICA LTDA:Demais</t>
        </is>
      </c>
      <c r="AH179" t="inlineStr">
        <is>
          <t>pontual</t>
        </is>
      </c>
      <c r="AJ179" t="n">
        <v>0</v>
      </c>
      <c r="AK179" t="n">
        <v>0</v>
      </c>
      <c r="AL179" t="n">
        <v>0</v>
      </c>
      <c r="AM179" t="n">
        <v>0</v>
      </c>
      <c r="AN179" t="n">
        <v>0</v>
      </c>
      <c r="AQ179" t="n">
        <v>1</v>
      </c>
      <c r="AR179" t="inlineStr">
        <is>
          <t>fornecimento_puro</t>
        </is>
      </c>
      <c r="AS179" t="inlineStr">
        <is>
          <t>Confirmada exclusao automatica (fornecimento_puro): 99 item(ns), todos classificados como material (sem servico).</t>
        </is>
      </c>
      <c r="AT179" t="n">
        <v>1</v>
      </c>
      <c r="AU179" t="n">
        <v>0</v>
      </c>
    </row>
    <row r="180">
      <c r="A180" t="inlineStr">
        <is>
          <t>01465988000127_2026_34</t>
        </is>
      </c>
      <c r="B180" s="2" t="inlineStr">
        <is>
          <t>https://pncp.gov.br/app/editais/01465988000127/2026/34</t>
        </is>
      </c>
      <c r="C180" t="inlineStr">
        <is>
          <t>2026-09-27T03:15:58.362471+00:00</t>
        </is>
      </c>
      <c r="D180" t="inlineStr">
        <is>
          <t>GO</t>
        </is>
      </c>
      <c r="E180" t="inlineStr">
        <is>
          <t>GO</t>
        </is>
      </c>
      <c r="F180" t="inlineStr">
        <is>
          <t>Mineiros</t>
        </is>
      </c>
      <c r="G180" t="inlineStr">
        <is>
          <t>FUNDACAO INTEGRADA MUNICIPAL DE ENSINO SUPERIOR</t>
        </is>
      </c>
      <c r="H180" t="inlineStr">
        <is>
          <t>Municipal</t>
        </is>
      </c>
      <c r="I180" t="inlineStr">
        <is>
          <t>2026-01-28T15:52:55</t>
        </is>
      </c>
      <c r="J180" t="inlineStr">
        <is>
          <t>Pregão - Eletrônico</t>
        </is>
      </c>
      <c r="K180" t="inlineStr">
        <is>
          <t>CONTRATAÇÃO DE ESPECIALIZADA PARA A EXECUÇÃO DE SERVIÇOS DE PINTURA PREDIAL EM BLOCOS DA INSTITUIÇÃO E EM CALÇADAS, COMPREENDENDO FORNECIMENTO DE MÃO DE OBRA, MATERIAIS, FERRAMENTAS E EQUIPAMENTOS NECESSÁRIOS, VISANDO À MANUTENÇÃO PREVENTIVA E CORRETIVA, CONSERVAÇÃO E PRESERVAÇÃO DO PATRIMÔNIO PÚBLICO, ATENDENDO AS NECESSIDADES DA FUNDAÇÃO INTEGRADA MUNICIPAL DE ENSINO SUPERIOR ? FIMES</t>
        </is>
      </c>
      <c r="L180" t="b">
        <v>0</v>
      </c>
      <c r="M180" t="inlineStr">
        <is>
          <t>manutencao_predial</t>
        </is>
      </c>
      <c r="N180" t="inlineStr">
        <is>
          <t>manutencao_predial</t>
        </is>
      </c>
      <c r="O180" t="n">
        <v>114458.12</v>
      </c>
      <c r="P180" t="n">
        <v>85843.59</v>
      </c>
      <c r="Q180" t="n">
        <v>114458.12</v>
      </c>
      <c r="R180" t="n">
        <v>0.25</v>
      </c>
      <c r="S180" t="n">
        <v>0</v>
      </c>
      <c r="T180" t="n">
        <v>1</v>
      </c>
      <c r="U180" t="n">
        <v>1</v>
      </c>
      <c r="V180" t="n">
        <v>1</v>
      </c>
      <c r="W180" t="n">
        <v>0</v>
      </c>
      <c r="X180" t="n">
        <v>0</v>
      </c>
      <c r="Y180" t="n">
        <v>0</v>
      </c>
      <c r="Z180" t="n">
        <v>0</v>
      </c>
      <c r="AA180" t="n">
        <v>0</v>
      </c>
      <c r="AB180" t="n">
        <v>0</v>
      </c>
      <c r="AC180" t="n">
        <v>0</v>
      </c>
      <c r="AD180" t="n">
        <v>0</v>
      </c>
      <c r="AE180" t="n">
        <v>1</v>
      </c>
      <c r="AF180" t="inlineStr">
        <is>
          <t>FBA COMERCIO LTDA:ME</t>
        </is>
      </c>
      <c r="AH180" t="inlineStr">
        <is>
          <t>pontual</t>
        </is>
      </c>
      <c r="AI180" t="n">
        <v>3</v>
      </c>
      <c r="AJ180" t="n">
        <v>0</v>
      </c>
      <c r="AK180" t="n">
        <v>0</v>
      </c>
      <c r="AL180" t="n">
        <v>0</v>
      </c>
      <c r="AM180" t="n">
        <v>1</v>
      </c>
      <c r="AN180" t="n">
        <v>1</v>
      </c>
      <c r="AP180" t="inlineStr">
        <is>
          <t>de pertinente e compatível com o objeto da licitação, através de apresentação de no mínimo 01 (um) atestado de Capacidade Técnica, em benefício da licitante, emitido por pessoa jurídica de direito público, sendo aceito também atestado emitido por pessoa jurídica de direito privado. 7.22.2.1. Para co…</t>
        </is>
      </c>
      <c r="AQ180" t="n">
        <v>0</v>
      </c>
      <c r="AT180" t="n">
        <v>0</v>
      </c>
      <c r="AU180" t="n">
        <v>1</v>
      </c>
    </row>
    <row r="181">
      <c r="A181" t="inlineStr">
        <is>
          <t>01485531000184_2025_70</t>
        </is>
      </c>
      <c r="B181" s="2" t="inlineStr">
        <is>
          <t>https://pncp.gov.br/app/editais/01485531000184/2025/70</t>
        </is>
      </c>
      <c r="C181" t="inlineStr">
        <is>
          <t>2026-09-27T02:48:02.668191+00:00</t>
        </is>
      </c>
      <c r="D181" t="inlineStr">
        <is>
          <t>GO</t>
        </is>
      </c>
      <c r="E181" t="inlineStr">
        <is>
          <t>GO</t>
        </is>
      </c>
      <c r="F181" t="inlineStr">
        <is>
          <t>Ouro Verde de Goiás</t>
        </is>
      </c>
      <c r="G181" t="inlineStr">
        <is>
          <t>MUNICIPIO DE OURO VERDE DE GOIAS</t>
        </is>
      </c>
      <c r="H181" t="inlineStr">
        <is>
          <t>Municipal</t>
        </is>
      </c>
      <c r="I181" t="inlineStr">
        <is>
          <t>2025-09-25T16:36:50</t>
        </is>
      </c>
      <c r="J181" t="inlineStr">
        <is>
          <t>Pregão - Presencial</t>
        </is>
      </c>
      <c r="K181" t="inlineStr">
        <is>
          <t>CONTRATAÇÃO DE PESSOA JURÍDICA PARA PRESTAÇÃO DE SERVIÇOS ESPECIALIZADOS PARA MANUTENÇÃO PREVENTIVA E CORRETIVA, INSTALAÇÃO E DESINSTALAÇÃO DE SISTEMAS DE AR CONDICIONADO NAS SECRETARIAS E ÓRGÃOS DO MUNICÍPIO DE OURO VERDE DE GOIÁS.</t>
        </is>
      </c>
      <c r="L181" t="b">
        <v>1</v>
      </c>
      <c r="M181" t="inlineStr">
        <is>
          <t>climatizacao</t>
        </is>
      </c>
      <c r="N181" t="inlineStr">
        <is>
          <t>climatizacao</t>
        </is>
      </c>
      <c r="O181" t="n">
        <v>466666.6</v>
      </c>
      <c r="P181" t="n">
        <v>70000</v>
      </c>
      <c r="Q181" t="n">
        <v>466666.6</v>
      </c>
      <c r="R181" t="n">
        <v>0.8499999785714255</v>
      </c>
      <c r="S181" t="n">
        <v>0</v>
      </c>
      <c r="T181" t="n">
        <v>2</v>
      </c>
      <c r="U181" t="n">
        <v>2</v>
      </c>
      <c r="V181" t="n">
        <v>2</v>
      </c>
      <c r="W181" t="n">
        <v>0</v>
      </c>
      <c r="X181" t="n">
        <v>0</v>
      </c>
      <c r="Y181" t="n">
        <v>0</v>
      </c>
      <c r="Z181" t="n">
        <v>0</v>
      </c>
      <c r="AA181" t="n">
        <v>0</v>
      </c>
      <c r="AB181" t="n">
        <v>0</v>
      </c>
      <c r="AC181" t="n">
        <v>0</v>
      </c>
      <c r="AD181" t="n">
        <v>0</v>
      </c>
      <c r="AE181" t="n">
        <v>1</v>
      </c>
      <c r="AF181" t="inlineStr">
        <is>
          <t>EGF ENGENHARIA TERMICA LTDA:ME</t>
        </is>
      </c>
      <c r="AH181" t="inlineStr">
        <is>
          <t>indefinido</t>
        </is>
      </c>
      <c r="AJ181" t="n">
        <v>0</v>
      </c>
      <c r="AK181" t="n">
        <v>0</v>
      </c>
      <c r="AL181" t="n">
        <v>0</v>
      </c>
      <c r="AM181" t="n">
        <v>0</v>
      </c>
      <c r="AN181" t="n">
        <v>0</v>
      </c>
      <c r="AQ181" t="n">
        <v>0</v>
      </c>
      <c r="AS181" t="inlineStr">
        <is>
          <t>heuristica automatica confirmada: servico real de climatizacao, sem sinais de exclusao.</t>
        </is>
      </c>
      <c r="AT181" t="n">
        <v>0</v>
      </c>
      <c r="AU181" t="n">
        <v>1</v>
      </c>
    </row>
    <row r="182">
      <c r="A182" t="inlineStr">
        <is>
          <t>01485531000184_2026_29</t>
        </is>
      </c>
      <c r="B182" s="2" t="inlineStr">
        <is>
          <t>https://pncp.gov.br/app/editais/01485531000184/2026/29</t>
        </is>
      </c>
      <c r="C182" t="inlineStr">
        <is>
          <t>2026-09-27T14:32:50.595815+00:00</t>
        </is>
      </c>
      <c r="D182" t="inlineStr">
        <is>
          <t>GO</t>
        </is>
      </c>
      <c r="E182" t="inlineStr">
        <is>
          <t>GO</t>
        </is>
      </c>
      <c r="F182" t="inlineStr">
        <is>
          <t>Ouro Verde de Goiás</t>
        </is>
      </c>
      <c r="G182" t="inlineStr">
        <is>
          <t>MUNICIPIO DE OURO VERDE DE GOIAS</t>
        </is>
      </c>
      <c r="H182" t="inlineStr">
        <is>
          <t>Municipal</t>
        </is>
      </c>
      <c r="I182" t="inlineStr">
        <is>
          <t>2026-04-17T16:53:17</t>
        </is>
      </c>
      <c r="J182" t="inlineStr">
        <is>
          <t>Pregão - Presencial</t>
        </is>
      </c>
      <c r="K182" t="inlineStr">
        <is>
          <t>CONTRATAÇÃO DE EMPRESA(S) ESPECIALIZADA(S) PARA PRESTAÇÃO DE SERVIÇOS DE MANUTENÇÃO PREVENTIVA E CORRETIVA DA FROTA MUNICIPAL, INCLUINDO SERVIÇOS DE BORRACHARIA, PNEUS, ALINHAMENTO, LAVAGEM, LUBRIFICAÇÃO E AUTO ELÉTRICA.</t>
        </is>
      </c>
      <c r="L182" t="b">
        <v>1</v>
      </c>
      <c r="M182" t="inlineStr">
        <is>
          <t>eletrica_predial</t>
        </is>
      </c>
      <c r="N182" t="inlineStr">
        <is>
          <t>eletrica_predial</t>
        </is>
      </c>
      <c r="O182" t="n">
        <v>1288670.63</v>
      </c>
      <c r="P182" t="n">
        <v>991872.0835999999</v>
      </c>
      <c r="Q182" t="n">
        <v>1071810.6268</v>
      </c>
      <c r="R182" t="n">
        <v>0.07458271190934607</v>
      </c>
      <c r="S182" t="n">
        <v>0</v>
      </c>
      <c r="T182" t="n">
        <v>26</v>
      </c>
      <c r="U182" t="n">
        <v>20</v>
      </c>
      <c r="V182" t="n">
        <v>26</v>
      </c>
      <c r="W182" t="n">
        <v>0</v>
      </c>
      <c r="X182" t="n">
        <v>0</v>
      </c>
      <c r="Y182" t="n">
        <v>0</v>
      </c>
      <c r="Z182" t="n">
        <v>0</v>
      </c>
      <c r="AA182" t="n">
        <v>0</v>
      </c>
      <c r="AB182" t="n">
        <v>0</v>
      </c>
      <c r="AC182" t="n">
        <v>0</v>
      </c>
      <c r="AD182" t="n">
        <v>0</v>
      </c>
      <c r="AE182" t="n">
        <v>3</v>
      </c>
      <c r="AF182" t="inlineStr">
        <is>
          <t>RODRIGO MARQUES RODRIGUES 98694790149:ME; VIENER GONÇALVES CABECEIRA - 81259778134:ME; IZAIAS DOS SANTOS CORDEIRO 28965477115:ME</t>
        </is>
      </c>
      <c r="AH182" t="inlineStr">
        <is>
          <t>indefinido</t>
        </is>
      </c>
      <c r="AJ182" t="n">
        <v>0</v>
      </c>
      <c r="AK182" t="n">
        <v>0</v>
      </c>
      <c r="AL182" t="n">
        <v>0</v>
      </c>
      <c r="AM182" t="n">
        <v>0</v>
      </c>
      <c r="AN182" t="n">
        <v>0</v>
      </c>
      <c r="AQ182" t="n">
        <v>0</v>
      </c>
      <c r="AR182" t="inlineStr">
        <is>
          <t>fora_de_escopo</t>
        </is>
      </c>
      <c r="AS182" t="inlineStr">
        <is>
          <t>Manutencao da frota municipal (borracharia, pneus, alinhamento, lavagem, lubrificacao e auto eletrica) -- e mecanica automotiva de frota, nao eletrica predial.</t>
        </is>
      </c>
      <c r="AT182" t="n">
        <v>0</v>
      </c>
      <c r="AU182" t="n">
        <v>0</v>
      </c>
    </row>
    <row r="183">
      <c r="A183" t="inlineStr">
        <is>
          <t>01485531000184_2026_42</t>
        </is>
      </c>
      <c r="B183" s="2" t="inlineStr">
        <is>
          <t>https://pncp.gov.br/app/editais/01485531000184/2026/42</t>
        </is>
      </c>
      <c r="C183" t="inlineStr">
        <is>
          <t>2026-09-27T04:22:25.264924+00:00</t>
        </is>
      </c>
      <c r="D183" t="inlineStr">
        <is>
          <t>GO</t>
        </is>
      </c>
      <c r="E183" t="inlineStr">
        <is>
          <t>GO</t>
        </is>
      </c>
      <c r="F183" t="inlineStr">
        <is>
          <t>Ouro Verde de Goiás</t>
        </is>
      </c>
      <c r="G183" t="inlineStr">
        <is>
          <t>MUNICIPIO DE OURO VERDE DE GOIAS</t>
        </is>
      </c>
      <c r="H183" t="inlineStr">
        <is>
          <t>Municipal</t>
        </is>
      </c>
      <c r="I183" t="inlineStr">
        <is>
          <t>2026-08-11T08:13:17</t>
        </is>
      </c>
      <c r="J183" t="inlineStr">
        <is>
          <t>Pregão - Presencial</t>
        </is>
      </c>
      <c r="K183" t="inlineStr">
        <is>
          <t>REGISTRO DE PREÇO PARA FUTURA E EVENTUAL CONTRATAÇÃO DE SERVIÇOS DE LOCAÇÃO, MONTAGEM E DESMONTAGEM DE ESTRUTURA DE EVENTOS (PALCO, SOM, ILUMINAÇÃO, GERADOR DE ENERGIA, TENDAS, ENTRE OUTROS) DESTINADOS AO ATENDIMENTO DAS DEMANDAS DA SECRETARIA MUNICIPAL DE ADMINISTRAÇÃO, SECRETARIA MUNICIPAL DE ASSISTÊNCIA SOCIAL, SECRETARIA DE SAÚDE, SECRETARIA MUNICIPAL DE EDUCAÇÃO E DEMAIS  DEPARTAMENTOS DO MUNICÍPIO DE OURO VERDE DE GOIÁS/GO.</t>
        </is>
      </c>
      <c r="L183" t="b">
        <v>1</v>
      </c>
      <c r="M183" t="inlineStr">
        <is>
          <t>iluminacao_publica</t>
        </is>
      </c>
      <c r="N183" t="inlineStr">
        <is>
          <t>iluminacao_publica</t>
        </is>
      </c>
      <c r="O183" t="n">
        <v>793689.99</v>
      </c>
      <c r="P183" t="n">
        <v>775000</v>
      </c>
      <c r="Q183" t="n">
        <v>793689.9852</v>
      </c>
      <c r="R183" t="n">
        <v>0.02354821850913282</v>
      </c>
      <c r="S183" t="n">
        <v>0</v>
      </c>
      <c r="T183" t="n">
        <v>19</v>
      </c>
      <c r="U183" t="n">
        <v>19</v>
      </c>
      <c r="V183" t="n">
        <v>19</v>
      </c>
      <c r="W183" t="n">
        <v>0</v>
      </c>
      <c r="X183" t="n">
        <v>0</v>
      </c>
      <c r="Y183" t="n">
        <v>0</v>
      </c>
      <c r="Z183" t="n">
        <v>0</v>
      </c>
      <c r="AA183" t="n">
        <v>0</v>
      </c>
      <c r="AB183" t="n">
        <v>0</v>
      </c>
      <c r="AC183" t="n">
        <v>0</v>
      </c>
      <c r="AD183" t="n">
        <v>0</v>
      </c>
      <c r="AE183" t="n">
        <v>1</v>
      </c>
      <c r="AF183" t="inlineStr">
        <is>
          <t>GALLES ASSESSORIA PRODUÇÃO E EVENTOS:ME</t>
        </is>
      </c>
      <c r="AH183" t="inlineStr">
        <is>
          <t>pontual</t>
        </is>
      </c>
      <c r="AJ183" t="n">
        <v>0</v>
      </c>
      <c r="AK183" t="n">
        <v>0</v>
      </c>
      <c r="AL183" t="n">
        <v>0</v>
      </c>
      <c r="AM183" t="n">
        <v>0</v>
      </c>
      <c r="AN183" t="n">
        <v>0</v>
      </c>
      <c r="AQ183" t="n">
        <v>0</v>
      </c>
      <c r="AR183" t="inlineStr">
        <is>
          <t>mencao_passagem</t>
        </is>
      </c>
      <c r="AS183" t="inlineStr">
        <is>
          <t>Menção à iluminação é incidental (estrutura de evento ou obra civil geral), não trata de manutenção de IP.</t>
        </is>
      </c>
      <c r="AT183" t="n">
        <v>0</v>
      </c>
      <c r="AU183" t="n">
        <v>0</v>
      </c>
    </row>
    <row r="184">
      <c r="A184" t="inlineStr">
        <is>
          <t>01493998000176_2026_123</t>
        </is>
      </c>
      <c r="B184" s="2" t="inlineStr">
        <is>
          <t>https://pncp.gov.br/app/editais/01493998000176/2026/123</t>
        </is>
      </c>
      <c r="C184" t="inlineStr">
        <is>
          <t>2026-09-27T14:33:12.606846+00:00</t>
        </is>
      </c>
      <c r="D184" t="inlineStr">
        <is>
          <t>GO</t>
        </is>
      </c>
      <c r="E184" t="inlineStr">
        <is>
          <t>GO</t>
        </is>
      </c>
      <c r="F184" t="inlineStr">
        <is>
          <t>Campos Verdes</t>
        </is>
      </c>
      <c r="G184" t="inlineStr">
        <is>
          <t>MUNICIPIO DE CAMPOS VERDES</t>
        </is>
      </c>
      <c r="H184" t="inlineStr">
        <is>
          <t>Municipal</t>
        </is>
      </c>
      <c r="I184" t="inlineStr">
        <is>
          <t>2026-04-07T15:39:58</t>
        </is>
      </c>
      <c r="J184" t="inlineStr">
        <is>
          <t>Pregão - Presencial</t>
        </is>
      </c>
      <c r="K184" t="inlineStr">
        <is>
          <t>REGISTRO DE
PREÇOS DE HORAS DE PRESTAÇÃO DE SERVIÇOS DE
MANUTENÇAO OPERACIONAL, PREVENTIVA E CORRETIVA DE
SERVIÇOS MECANICOS, SERVIÇOS ELETRICOS, NOS VEÍCULOS
E MÁQUINAS PERTENCENTES À FROTA MUNICIPAL, EM
CAMPOS VERDES</t>
        </is>
      </c>
      <c r="L184" t="b">
        <v>1</v>
      </c>
      <c r="M184" t="inlineStr">
        <is>
          <t>eletrica_predial</t>
        </is>
      </c>
      <c r="N184" t="inlineStr">
        <is>
          <t>eletrica_predial</t>
        </is>
      </c>
      <c r="O184" t="n">
        <v>545002</v>
      </c>
      <c r="P184" t="n">
        <v>543595</v>
      </c>
      <c r="Q184" t="n">
        <v>545002</v>
      </c>
      <c r="R184" t="n">
        <v>0.002581641902231538</v>
      </c>
      <c r="S184" t="n">
        <v>0</v>
      </c>
      <c r="T184" t="n">
        <v>7</v>
      </c>
      <c r="U184" t="n">
        <v>7</v>
      </c>
      <c r="V184" t="n">
        <v>7</v>
      </c>
      <c r="W184" t="n">
        <v>0</v>
      </c>
      <c r="X184" t="n">
        <v>0</v>
      </c>
      <c r="Y184" t="n">
        <v>0</v>
      </c>
      <c r="Z184" t="n">
        <v>0</v>
      </c>
      <c r="AA184" t="n">
        <v>0</v>
      </c>
      <c r="AB184" t="n">
        <v>0</v>
      </c>
      <c r="AC184" t="n">
        <v>0</v>
      </c>
      <c r="AD184" t="n">
        <v>0</v>
      </c>
      <c r="AE184" t="n">
        <v>4</v>
      </c>
      <c r="AF184" t="inlineStr">
        <is>
          <t>XCAR CENTRO AUTOMOTIVO EIRELI:ME; MARILSO MACHADO DA SILVA:ME; PAULO CESAR RODRIGUES DA SILVA:ME; 49.738.429 HONORIO FELIZARDO CINTRA FILHO:ME</t>
        </is>
      </c>
      <c r="AH184" t="inlineStr">
        <is>
          <t>pontual</t>
        </is>
      </c>
      <c r="AI184" t="n">
        <v>12</v>
      </c>
      <c r="AJ184" t="n">
        <v>0</v>
      </c>
      <c r="AK184" t="n">
        <v>0</v>
      </c>
      <c r="AL184" t="n">
        <v>0</v>
      </c>
      <c r="AM184" t="n">
        <v>1</v>
      </c>
      <c r="AN184" t="n">
        <v>0</v>
      </c>
      <c r="AQ184" t="n">
        <v>1</v>
      </c>
      <c r="AR184" t="inlineStr">
        <is>
          <t>mencao_passagem</t>
        </is>
      </c>
      <c r="AS184" t="inlineStr">
        <is>
          <t>Confirmada exclusao automatica (mencao_passagem): os de manutencao operacional, preventiva e corretiva de servicos mecanicos, servicos eletricos, nos veiculos e maquinas pertencentes a frota municipal, em campos verdes</t>
        </is>
      </c>
      <c r="AT184" t="n">
        <v>0</v>
      </c>
      <c r="AU184" t="n">
        <v>0</v>
      </c>
    </row>
    <row r="185">
      <c r="A185" t="inlineStr">
        <is>
          <t>01493998000176_2026_188</t>
        </is>
      </c>
      <c r="B185" s="2" t="inlineStr">
        <is>
          <t>https://pncp.gov.br/app/editais/01493998000176/2026/188</t>
        </is>
      </c>
      <c r="C185" t="inlineStr">
        <is>
          <t>2026-09-27T04:30:49.246182+00:00</t>
        </is>
      </c>
      <c r="D185" t="inlineStr">
        <is>
          <t>GO</t>
        </is>
      </c>
      <c r="E185" t="inlineStr">
        <is>
          <t>GO</t>
        </is>
      </c>
      <c r="F185" t="inlineStr">
        <is>
          <t>Campos Verdes</t>
        </is>
      </c>
      <c r="G185" t="inlineStr">
        <is>
          <t>MUNICIPIO DE CAMPOS VERDES</t>
        </is>
      </c>
      <c r="H185" t="inlineStr">
        <is>
          <t>Municipal</t>
        </is>
      </c>
      <c r="I185" t="inlineStr">
        <is>
          <t>2026-05-28T14:58:08</t>
        </is>
      </c>
      <c r="J185" t="inlineStr">
        <is>
          <t>Concorrência - Presencial</t>
        </is>
      </c>
      <c r="K185" t="inlineStr">
        <is>
          <t>CONTRATACAO DE EMPRESA PARA EXECUCAO DE OBRA EM FORMA DE EMPREITADA GLOBAL PARA EXECUÇÃO DE SERVIÇOS DE INSTALAÇÃO, RETIRADA E SUBSTITUIÇÃO DE LUMINARIAS PUBLICAS PARA A MELHORIA / EFICIENTIZAÇÃO / MODERNIZAÇÃO EM ILUMINAÇÃO PÚBLICA NAS RUAS E AVENIDAS NO MUNICIPIO CAMPOS VERDES DO MUNICIPIO DE CAMPOS VERDES – GO – RECURSO FEDERAL – PLANO DE AÇÃO Nº 09032026-096314 – MINISTÉRIO DAS CIDADES</t>
        </is>
      </c>
      <c r="L185" t="b">
        <v>1</v>
      </c>
      <c r="M185" t="inlineStr">
        <is>
          <t>iluminacao_publica</t>
        </is>
      </c>
      <c r="N185" t="inlineStr">
        <is>
          <t>iluminacao_publica</t>
        </is>
      </c>
      <c r="O185" t="n">
        <v>1492744.08</v>
      </c>
      <c r="P185" t="n">
        <v>1480000</v>
      </c>
      <c r="Q185" t="n">
        <v>1492744.08</v>
      </c>
      <c r="R185" t="n">
        <v>0.008537350890046813</v>
      </c>
      <c r="S185" t="n">
        <v>0</v>
      </c>
      <c r="T185" t="n">
        <v>1</v>
      </c>
      <c r="U185" t="n">
        <v>1</v>
      </c>
      <c r="V185" t="n">
        <v>1</v>
      </c>
      <c r="W185" t="n">
        <v>0</v>
      </c>
      <c r="X185" t="n">
        <v>0</v>
      </c>
      <c r="Y185" t="n">
        <v>0</v>
      </c>
      <c r="Z185" t="n">
        <v>0</v>
      </c>
      <c r="AA185" t="n">
        <v>0</v>
      </c>
      <c r="AB185" t="n">
        <v>0</v>
      </c>
      <c r="AC185" t="n">
        <v>0</v>
      </c>
      <c r="AD185" t="n">
        <v>0</v>
      </c>
      <c r="AE185" t="n">
        <v>1</v>
      </c>
      <c r="AF185" t="inlineStr">
        <is>
          <t>V ORTIZ SERVICOS E COMERCIO LTDA:ME</t>
        </is>
      </c>
      <c r="AH185" t="inlineStr">
        <is>
          <t>indefinido</t>
        </is>
      </c>
      <c r="AJ185" t="n">
        <v>0</v>
      </c>
      <c r="AK185" t="n">
        <v>0</v>
      </c>
      <c r="AL185" t="n">
        <v>0</v>
      </c>
      <c r="AM185" t="n">
        <v>0</v>
      </c>
      <c r="AN185" t="n">
        <v>0</v>
      </c>
      <c r="AQ185" t="n">
        <v>1</v>
      </c>
      <c r="AR185" t="inlineStr">
        <is>
          <t>equipamento_alto</t>
        </is>
      </c>
      <c r="AS185" t="inlineStr">
        <is>
          <t>Empreitada global de substituição de luminárias para melhoria/eficientização/modernização de IP, R$1,49 mi; modernização, não manutenção.</t>
        </is>
      </c>
      <c r="AT185" t="n">
        <v>1</v>
      </c>
      <c r="AU185" t="n">
        <v>0</v>
      </c>
    </row>
    <row r="186">
      <c r="A186" t="inlineStr">
        <is>
          <t>01494665000161_2025_102</t>
        </is>
      </c>
      <c r="B186" s="2" t="inlineStr">
        <is>
          <t>https://pncp.gov.br/app/editais/01494665000161/2025/102</t>
        </is>
      </c>
      <c r="C186" t="inlineStr">
        <is>
          <t>2026-09-27T04:07:35.509107+00:00</t>
        </is>
      </c>
      <c r="D186" t="inlineStr">
        <is>
          <t>GO</t>
        </is>
      </c>
      <c r="E186" t="inlineStr">
        <is>
          <t>GO</t>
        </is>
      </c>
      <c r="F186" t="inlineStr">
        <is>
          <t>Goiatuba</t>
        </is>
      </c>
      <c r="G186" t="inlineStr">
        <is>
          <t>FUNDACAO DE ENSINO SUPERIOR DE GOIATUBA</t>
        </is>
      </c>
      <c r="H186" t="inlineStr">
        <is>
          <t>Municipal</t>
        </is>
      </c>
      <c r="I186" t="inlineStr">
        <is>
          <t>2025-09-01T07:50:03</t>
        </is>
      </c>
      <c r="J186" t="inlineStr">
        <is>
          <t>Pregão - Eletrônico</t>
        </is>
      </c>
      <c r="K186" t="inlineStr">
        <is>
          <t>O VALOR QUE SE EMPENHA É PROVENIENTE DE DESPESAS DA FUTURA E EVENTUAL AQUISIÇÃO DE MATERIAL ELÉTRICO DESTINADA À MANUTENÇÃO PREVENTIVA E CORRETIVA DOS PRÉDIOS DA FESG/UNICERRADO ? PARTE 2</t>
        </is>
      </c>
      <c r="L186" t="b">
        <v>0</v>
      </c>
      <c r="M186" t="inlineStr">
        <is>
          <t>eletrica_predial</t>
        </is>
      </c>
      <c r="N186" t="inlineStr">
        <is>
          <t>eletrica_predial</t>
        </is>
      </c>
      <c r="O186" t="n">
        <v>1917530.58</v>
      </c>
      <c r="P186" t="n">
        <v>139441</v>
      </c>
      <c r="Q186" t="n">
        <v>877391.1799999998</v>
      </c>
      <c r="R186" t="n">
        <v>0.8410731687546713</v>
      </c>
      <c r="S186" t="n">
        <v>0</v>
      </c>
      <c r="T186" t="n">
        <v>87</v>
      </c>
      <c r="U186" t="n">
        <v>40</v>
      </c>
      <c r="V186" t="n">
        <v>75</v>
      </c>
      <c r="W186" t="n">
        <v>0</v>
      </c>
      <c r="X186" t="n">
        <v>12</v>
      </c>
      <c r="Y186" t="n">
        <v>0</v>
      </c>
      <c r="Z186" t="n">
        <v>1</v>
      </c>
      <c r="AA186" t="n">
        <v>0</v>
      </c>
      <c r="AB186" t="n">
        <v>1</v>
      </c>
      <c r="AC186" t="n">
        <v>0</v>
      </c>
      <c r="AD186" t="n">
        <v>0</v>
      </c>
      <c r="AE186" t="n">
        <v>4</v>
      </c>
      <c r="AF186" t="inlineStr">
        <is>
          <t>VEAR TECNOLOGIA LTDA:ME; BRASIL ILUMINAÇÃO E CONSTRUÇÃO EIRELI:EPP; ELEKTRON SISTEMAS ELETRICOS LTDA ME:ME; GCM COMERCIAL LTDA:EPP</t>
        </is>
      </c>
      <c r="AH186" t="inlineStr">
        <is>
          <t>pontual</t>
        </is>
      </c>
      <c r="AJ186" t="n">
        <v>0</v>
      </c>
      <c r="AK186" t="n">
        <v>0</v>
      </c>
      <c r="AL186" t="n">
        <v>0</v>
      </c>
      <c r="AM186" t="n">
        <v>0</v>
      </c>
      <c r="AN186" t="n">
        <v>0</v>
      </c>
      <c r="AQ186" t="n">
        <v>1</v>
      </c>
      <c r="AR186" t="inlineStr">
        <is>
          <t>fornecimento_puro</t>
        </is>
      </c>
      <c r="AS186" t="inlineStr">
        <is>
          <t>Confirmada exclusao automatica (fornecimento_puro): 87 item(ns), todos classificados como material (sem servico).</t>
        </is>
      </c>
      <c r="AT186" t="n">
        <v>1</v>
      </c>
      <c r="AU186" t="n">
        <v>0</v>
      </c>
    </row>
    <row r="187">
      <c r="A187" t="inlineStr">
        <is>
          <t>01505643000150_2025_216</t>
        </is>
      </c>
      <c r="B187" s="2" t="inlineStr">
        <is>
          <t>https://pncp.gov.br/app/editais/01505643000150/2025/216</t>
        </is>
      </c>
      <c r="C187" t="inlineStr">
        <is>
          <t>2026-09-27T02:40:39.806310+00:00</t>
        </is>
      </c>
      <c r="D187" t="inlineStr">
        <is>
          <t>GO</t>
        </is>
      </c>
      <c r="E187" t="inlineStr">
        <is>
          <t>GO</t>
        </is>
      </c>
      <c r="F187" t="inlineStr">
        <is>
          <t>Catalão</t>
        </is>
      </c>
      <c r="G187" t="inlineStr">
        <is>
          <t>MUNICIPIO DE CATALAO</t>
        </is>
      </c>
      <c r="H187" t="inlineStr">
        <is>
          <t>Municipal</t>
        </is>
      </c>
      <c r="I187" t="inlineStr">
        <is>
          <t>2026-02-10T07:03:53</t>
        </is>
      </c>
      <c r="J187" t="inlineStr">
        <is>
          <t>Pregão - Eletrônico</t>
        </is>
      </c>
      <c r="K187" t="inlineStr">
        <is>
          <t>Contratação de serviços sem dedicação exclusiva de mão de obra de manutenção preventiva e corretiva, incluindo instalação, desinstalação, remanejamento e fornecimento de peças de reposição e produtos/materiais de consumo, por demanda, em aparelhos de ar condicionados (climatização e refrigeração) pertencentes ao acervo da Administração Pública Municipal-Catalão-GO</t>
        </is>
      </c>
      <c r="L187" t="b">
        <v>1</v>
      </c>
      <c r="M187" t="inlineStr">
        <is>
          <t>climatizacao</t>
        </is>
      </c>
      <c r="N187" t="inlineStr">
        <is>
          <t>climatizacao</t>
        </is>
      </c>
      <c r="O187" t="n">
        <v>2763932.74</v>
      </c>
      <c r="P187" t="n">
        <v>1446347.64</v>
      </c>
      <c r="Q187" t="n">
        <v>2225076.44</v>
      </c>
      <c r="R187" t="n">
        <v>0.3499784483808566</v>
      </c>
      <c r="S187" t="n">
        <v>0</v>
      </c>
      <c r="T187" t="n">
        <v>104</v>
      </c>
      <c r="U187" t="n">
        <v>40</v>
      </c>
      <c r="V187" t="n">
        <v>104</v>
      </c>
      <c r="W187" t="n">
        <v>0</v>
      </c>
      <c r="X187" t="n">
        <v>0</v>
      </c>
      <c r="Y187" t="n">
        <v>0</v>
      </c>
      <c r="Z187" t="n">
        <v>0</v>
      </c>
      <c r="AA187" t="n">
        <v>0</v>
      </c>
      <c r="AB187" t="n">
        <v>0</v>
      </c>
      <c r="AC187" t="n">
        <v>0</v>
      </c>
      <c r="AD187" t="n">
        <v>0</v>
      </c>
      <c r="AE187" t="n">
        <v>1</v>
      </c>
      <c r="AF187" t="inlineStr">
        <is>
          <t>MAX-CLIMA ENGENHARIA TERMICA LTDA:ME</t>
        </is>
      </c>
      <c r="AH187" t="inlineStr">
        <is>
          <t>pontual</t>
        </is>
      </c>
      <c r="AI187" t="n">
        <v>12</v>
      </c>
      <c r="AJ187" t="n">
        <v>0</v>
      </c>
      <c r="AK187" t="n">
        <v>0</v>
      </c>
      <c r="AL187" t="n">
        <v>0</v>
      </c>
      <c r="AM187" t="n">
        <v>1</v>
      </c>
      <c r="AN187" t="n">
        <v>1</v>
      </c>
      <c r="AP187" t="inlineStr">
        <is>
          <t>stemas Split, por um período não inferior a 6 meses.  Será admitida, para fins de comprovação de quantitativo mínimo, a apresentação e o somatório de diferentes atestados executados de forma concomitante.  Os atestados de capacidade técnica poderão ser apresentados em nome da matriz ou da filia</t>
        </is>
      </c>
      <c r="AQ187" t="n">
        <v>0.4813984655791589</v>
      </c>
      <c r="AS187" t="inlineStr">
        <is>
          <t>manutencao preventiva/corretiva com pecas de reposicao por demanda (frac_material 48%); e servico, nao fornecimento de equipamento.</t>
        </is>
      </c>
      <c r="AT187" t="n">
        <v>0</v>
      </c>
      <c r="AU187" t="n">
        <v>1</v>
      </c>
    </row>
    <row r="188">
      <c r="A188" t="inlineStr">
        <is>
          <t>01541283000141_2026_21</t>
        </is>
      </c>
      <c r="B188" s="2" t="inlineStr">
        <is>
          <t>https://pncp.gov.br/app/editais/01541283000141/2026/21</t>
        </is>
      </c>
      <c r="C188" t="inlineStr">
        <is>
          <t>2026-09-27T14:34:06.615613+00:00</t>
        </is>
      </c>
      <c r="D188" t="inlineStr">
        <is>
          <t>GO</t>
        </is>
      </c>
      <c r="E188" t="inlineStr">
        <is>
          <t>GO</t>
        </is>
      </c>
      <c r="F188" t="inlineStr">
        <is>
          <t>Goiânia</t>
        </is>
      </c>
      <c r="G188" t="inlineStr">
        <is>
          <t>INDUSTRIA QUIMICA DO ESTADO DE GOIAS S A IQUEGO</t>
        </is>
      </c>
      <c r="H188" t="inlineStr">
        <is>
          <t>Não se aplica</t>
        </is>
      </c>
      <c r="I188" t="inlineStr">
        <is>
          <t>2026-07-27T10:40:39</t>
        </is>
      </c>
      <c r="J188" t="inlineStr">
        <is>
          <t>Pregão - Eletrônico</t>
        </is>
      </c>
      <c r="K188" t="inlineStr">
        <is>
          <t>Contratação de empresa especializada para execução de serviços de reforma, adequação, manutenção predial e afins, destinados à regularização de não conformidades sanitárias apontadas em fiscalização do bloco Glicosímetro da Indústria Química do Estado de Goiás - IQUEGO, com o fornecimento de mão-de-obra e os materiais necessários, de acordo com as especificações e quantidades estabelecidas no Termo de Referência.</t>
        </is>
      </c>
      <c r="L188" t="b">
        <v>0</v>
      </c>
      <c r="M188" t="inlineStr">
        <is>
          <t>manutencao_predial</t>
        </is>
      </c>
      <c r="N188" t="inlineStr">
        <is>
          <t>manutencao_predial</t>
        </is>
      </c>
      <c r="O188" t="n">
        <v>224905.41</v>
      </c>
      <c r="P188" t="n">
        <v>136000</v>
      </c>
      <c r="Q188" t="n">
        <v>224905.41</v>
      </c>
      <c r="R188" t="n">
        <v>0.395301340238992</v>
      </c>
      <c r="S188" t="n">
        <v>0</v>
      </c>
      <c r="T188" t="n">
        <v>1</v>
      </c>
      <c r="U188" t="n">
        <v>1</v>
      </c>
      <c r="V188" t="n">
        <v>1</v>
      </c>
      <c r="W188" t="n">
        <v>0</v>
      </c>
      <c r="X188" t="n">
        <v>0</v>
      </c>
      <c r="Y188" t="n">
        <v>0</v>
      </c>
      <c r="Z188" t="n">
        <v>0</v>
      </c>
      <c r="AA188" t="n">
        <v>0</v>
      </c>
      <c r="AB188" t="n">
        <v>0</v>
      </c>
      <c r="AC188" t="n">
        <v>0</v>
      </c>
      <c r="AD188" t="n">
        <v>0</v>
      </c>
      <c r="AE188" t="n">
        <v>1</v>
      </c>
      <c r="AF188" t="inlineStr">
        <is>
          <t>FFS CONSTRUCOES E REFORMAS LTDA:ME</t>
        </is>
      </c>
      <c r="AH188" t="inlineStr">
        <is>
          <t>pontual</t>
        </is>
      </c>
      <c r="AI188" t="n">
        <v>6</v>
      </c>
      <c r="AJ188" t="n">
        <v>0</v>
      </c>
      <c r="AK188" t="n">
        <v>0</v>
      </c>
      <c r="AL188" t="n">
        <v>0</v>
      </c>
      <c r="AM188" t="n">
        <v>1</v>
      </c>
      <c r="AN188" t="n">
        <v>1</v>
      </c>
      <c r="AQ188" t="n">
        <v>0</v>
      </c>
      <c r="AT188" t="n">
        <v>0</v>
      </c>
      <c r="AU188" t="n">
        <v>1</v>
      </c>
    </row>
    <row r="189">
      <c r="A189" t="inlineStr">
        <is>
          <t>01541283000141_2026_22</t>
        </is>
      </c>
      <c r="B189" s="2" t="inlineStr">
        <is>
          <t>https://pncp.gov.br/app/editais/01541283000141/2026/22</t>
        </is>
      </c>
      <c r="C189" t="inlineStr">
        <is>
          <t>2026-09-27T14:30:16.944025+00:00</t>
        </is>
      </c>
      <c r="D189" t="inlineStr">
        <is>
          <t>GO</t>
        </is>
      </c>
      <c r="E189" t="inlineStr">
        <is>
          <t>GO</t>
        </is>
      </c>
      <c r="F189" t="inlineStr">
        <is>
          <t>Goiânia</t>
        </is>
      </c>
      <c r="G189" t="inlineStr">
        <is>
          <t>INDUSTRIA QUIMICA DO ESTADO DE GOIAS S A IQUEGO</t>
        </is>
      </c>
      <c r="H189" t="inlineStr">
        <is>
          <t>Não se aplica</t>
        </is>
      </c>
      <c r="I189" t="inlineStr">
        <is>
          <t>2026-08-13T14:20:22</t>
        </is>
      </c>
      <c r="J189" t="inlineStr">
        <is>
          <t>Pregão - Eletrônico</t>
        </is>
      </c>
      <c r="K189" t="inlineStr">
        <is>
          <t>Contratação de empresa especializada para realizar a manutenção preventiva e preditiva dos grupos geradores de energia HIMOINSA e HEIMER, com fornecimento de materiais, peças e mão de obra especializada, conforme especificações técnicas do fabricante, de acordo com as especificações e quantidades estabelecidas no Termo de Referência.</t>
        </is>
      </c>
      <c r="L189" t="b">
        <v>0</v>
      </c>
      <c r="M189" t="inlineStr">
        <is>
          <t>eletrica_predial</t>
        </is>
      </c>
      <c r="N189" t="inlineStr">
        <is>
          <t>eletrica_predial</t>
        </is>
      </c>
      <c r="O189" t="n">
        <v>42659.48</v>
      </c>
      <c r="P189" t="n">
        <v>21384</v>
      </c>
      <c r="Q189" t="n">
        <v>42659.48</v>
      </c>
      <c r="R189" t="n">
        <v>0.4987280670087869</v>
      </c>
      <c r="S189" t="n">
        <v>0</v>
      </c>
      <c r="T189" t="n">
        <v>2</v>
      </c>
      <c r="U189" t="n">
        <v>2</v>
      </c>
      <c r="V189" t="n">
        <v>2</v>
      </c>
      <c r="W189" t="n">
        <v>0</v>
      </c>
      <c r="X189" t="n">
        <v>0</v>
      </c>
      <c r="Y189" t="n">
        <v>0</v>
      </c>
      <c r="Z189" t="n">
        <v>0</v>
      </c>
      <c r="AA189" t="n">
        <v>1</v>
      </c>
      <c r="AB189" t="n">
        <v>0</v>
      </c>
      <c r="AC189" t="n">
        <v>0</v>
      </c>
      <c r="AD189" t="n">
        <v>0</v>
      </c>
      <c r="AE189" t="n">
        <v>1</v>
      </c>
      <c r="AF189" t="inlineStr">
        <is>
          <t>SPRINTER COMERCIO E SERVICOS LTDA:ME</t>
        </is>
      </c>
      <c r="AH189" t="inlineStr">
        <is>
          <t>pontual</t>
        </is>
      </c>
      <c r="AI189" t="n">
        <v>12</v>
      </c>
      <c r="AJ189" t="n">
        <v>0</v>
      </c>
      <c r="AK189" t="n">
        <v>0</v>
      </c>
      <c r="AL189" t="n">
        <v>0</v>
      </c>
      <c r="AM189" t="n">
        <v>1</v>
      </c>
      <c r="AN189" t="n">
        <v>1</v>
      </c>
      <c r="AQ189" t="n">
        <v>0</v>
      </c>
      <c r="AS189" t="inlineStr">
        <is>
          <t>Revisão do coordenador: manutenção preventiva/corretiva de grupos geradores EXISTENTES (sem fornecimento de gerador novo); a exclusão do estudo vale só para fornecimento e instalação de geradores.</t>
        </is>
      </c>
      <c r="AT189" t="n">
        <v>0</v>
      </c>
      <c r="AU189" t="n">
        <v>1</v>
      </c>
    </row>
    <row r="190">
      <c r="A190" t="inlineStr">
        <is>
          <t>01561372000150_2026_2</t>
        </is>
      </c>
      <c r="B190" s="2" t="inlineStr">
        <is>
          <t>https://pncp.gov.br/app/editais/01561372000150/2026/2</t>
        </is>
      </c>
      <c r="C190" t="inlineStr">
        <is>
          <t>2026-09-27T05:29:49.991347+00:00</t>
        </is>
      </c>
      <c r="D190" t="inlineStr">
        <is>
          <t>MS</t>
        </is>
      </c>
      <c r="E190" t="inlineStr">
        <is>
          <t>vizinhos</t>
        </is>
      </c>
      <c r="F190" t="inlineStr">
        <is>
          <t>Santa Rita do Pardo</t>
        </is>
      </c>
      <c r="G190" t="inlineStr">
        <is>
          <t>MUNICIPIO DE SANTA RITA DO PARDO</t>
        </is>
      </c>
      <c r="H190" t="inlineStr">
        <is>
          <t>Municipal</t>
        </is>
      </c>
      <c r="I190" t="inlineStr">
        <is>
          <t>2026-01-26T12:26:02</t>
        </is>
      </c>
      <c r="J190" t="inlineStr">
        <is>
          <t>Concorrência - Eletrônica</t>
        </is>
      </c>
      <c r="K190" t="inlineStr">
        <is>
          <t>Contratação de Empresa especializada para executar a Obra de Implantação de Postes Ornamentais e Luminárias Solar de Led 100w com fornecimento de material e mão de obra no Paço Municipal no Município de Santa Rita do Pardo, Estado de Mato Grosso do Sul através de Emenda Parlamentar Federal nº 202441810009, conforme especificações, quantidades e condições do Projeto Básico e demais anexos.</t>
        </is>
      </c>
      <c r="L190" t="b">
        <v>0</v>
      </c>
      <c r="M190" t="inlineStr">
        <is>
          <t>munck</t>
        </is>
      </c>
      <c r="N190" t="inlineStr">
        <is>
          <t>munck</t>
        </is>
      </c>
      <c r="O190" t="n">
        <v>200585.37</v>
      </c>
      <c r="P190" t="n">
        <v>190554.53</v>
      </c>
      <c r="Q190" t="n">
        <v>200585.37</v>
      </c>
      <c r="R190" t="n">
        <v>0.05000783456939051</v>
      </c>
      <c r="S190" t="n">
        <v>0</v>
      </c>
      <c r="T190" t="n">
        <v>1</v>
      </c>
      <c r="U190" t="n">
        <v>1</v>
      </c>
      <c r="V190" t="n">
        <v>1</v>
      </c>
      <c r="W190" t="n">
        <v>0</v>
      </c>
      <c r="X190" t="n">
        <v>0</v>
      </c>
      <c r="Y190" t="n">
        <v>0</v>
      </c>
      <c r="Z190" t="n">
        <v>0</v>
      </c>
      <c r="AA190" t="n">
        <v>0</v>
      </c>
      <c r="AB190" t="n">
        <v>0</v>
      </c>
      <c r="AC190" t="n">
        <v>0</v>
      </c>
      <c r="AD190" t="n">
        <v>0</v>
      </c>
      <c r="AE190" t="n">
        <v>1</v>
      </c>
      <c r="AF190" t="inlineStr">
        <is>
          <t>LASER ILUMINAÇÃO LTDA.:ME</t>
        </is>
      </c>
      <c r="AH190" t="inlineStr">
        <is>
          <t>pontual</t>
        </is>
      </c>
      <c r="AJ190" t="n">
        <v>0</v>
      </c>
      <c r="AK190" t="n">
        <v>0</v>
      </c>
      <c r="AL190" t="n">
        <v>0</v>
      </c>
      <c r="AM190" t="n">
        <v>0</v>
      </c>
      <c r="AN190" t="n">
        <v>0</v>
      </c>
      <c r="AQ190" t="n">
        <v>1</v>
      </c>
      <c r="AS190" t="inlineStr">
        <is>
          <t>RECLASSIFICADO de fornecimento_puro: obra pequena (R$200 mil, abaixo do limiar de obra grande) de implantação de postes ornamentais com fornecimento de material E mão de obra (objeto expresso); mesmo padrão do caso GO Vila Propício, dentro do escopo explícito de 'implantação de postes'.</t>
        </is>
      </c>
      <c r="AT190" t="n">
        <v>0</v>
      </c>
      <c r="AU190" t="n">
        <v>1</v>
      </c>
    </row>
    <row r="191">
      <c r="A191" t="inlineStr">
        <is>
          <t>01567601000143_2024_326</t>
        </is>
      </c>
      <c r="B191" s="2" t="inlineStr">
        <is>
          <t>https://pncp.gov.br/app/editais/01567601000143/2024/326</t>
        </is>
      </c>
      <c r="C191" t="inlineStr">
        <is>
          <t>2026-09-27T04:48:36.280398+00:00</t>
        </is>
      </c>
      <c r="D191" t="inlineStr">
        <is>
          <t>GO</t>
        </is>
      </c>
      <c r="E191" t="inlineStr">
        <is>
          <t>GO</t>
        </is>
      </c>
      <c r="F191" t="inlineStr">
        <is>
          <t>Goiânia</t>
        </is>
      </c>
      <c r="G191" t="inlineStr">
        <is>
          <t>UNIVERSIDADE FEDERAL DE GOIAS</t>
        </is>
      </c>
      <c r="H191" t="inlineStr">
        <is>
          <t>Federal</t>
        </is>
      </c>
      <c r="I191" t="inlineStr">
        <is>
          <t>2024-12-30T07:06:46</t>
        </is>
      </c>
      <c r="J191" t="inlineStr">
        <is>
          <t>Pregão - Eletrônico</t>
        </is>
      </c>
      <c r="K191" t="inlineStr">
        <is>
          <t>Registro de preços para aquisição de gases, óleos, colas e tintas, trinchas, solventes para o uso exclusivo na  manutenção de equipamentos gerais e equipamentos de refrigeração, tais como compressor, mangueira, sensor, motor  compressor, torneira, tubo de corte, válvulas, aquisição de soldas e eletrodos, dentre outros existentes  na Universidade  Federal de Goiás (UFG),</t>
        </is>
      </c>
      <c r="L191" t="b">
        <v>1</v>
      </c>
      <c r="M191" t="inlineStr">
        <is>
          <t>refrigeracao</t>
        </is>
      </c>
      <c r="N191" t="inlineStr">
        <is>
          <t>refrigeracao</t>
        </is>
      </c>
      <c r="O191" t="n">
        <v>728566.11</v>
      </c>
      <c r="P191" t="n">
        <v>300981.8</v>
      </c>
      <c r="Q191" t="n">
        <v>347887.15</v>
      </c>
      <c r="R191" t="n">
        <v>0.1348292111393019</v>
      </c>
      <c r="S191" t="n">
        <v>0</v>
      </c>
      <c r="T191" t="n">
        <v>139</v>
      </c>
      <c r="U191" t="n">
        <v>40</v>
      </c>
      <c r="V191" t="n">
        <v>70</v>
      </c>
      <c r="W191" t="n">
        <v>0</v>
      </c>
      <c r="X191" t="n">
        <v>69</v>
      </c>
      <c r="Y191" t="n">
        <v>0</v>
      </c>
      <c r="Z191" t="n">
        <v>1</v>
      </c>
      <c r="AA191" t="n">
        <v>0</v>
      </c>
      <c r="AB191" t="n">
        <v>1</v>
      </c>
      <c r="AC191" t="n">
        <v>0</v>
      </c>
      <c r="AD191" t="n">
        <v>0</v>
      </c>
      <c r="AE191" t="n">
        <v>8</v>
      </c>
      <c r="AF191" t="inlineStr">
        <is>
          <t>JPC COMERCIO DE PECAS E PRESTACAO DE SERVICOS LTDA:ME; ALFA PAPELARIA LTDA:ME; NOVA VALLE COMERCIAL E ENGENHARIA LTDA:ME; PLANED COMERCIO E SERVICOS LTDA:ME; RPF COMERCIAL LTDA:ME; DMGR COMERCIO DE MAQUINAS E EQUIPAMENTOS INDUSTRIAIS LTDA:ME; ARMACO SOLUCAO PARA CONSTRUCAO LTDA:ME; NOEM MEDICAL IMPORTACAO E EXPORTACAO DE PRODUTOS MEDICOS-HOSPITALARES LTDA:ME</t>
        </is>
      </c>
      <c r="AH191" t="inlineStr">
        <is>
          <t>pontual</t>
        </is>
      </c>
      <c r="AJ191" t="n">
        <v>0</v>
      </c>
      <c r="AK191" t="n">
        <v>0</v>
      </c>
      <c r="AL191" t="n">
        <v>0</v>
      </c>
      <c r="AM191" t="n">
        <v>0</v>
      </c>
      <c r="AN191" t="n">
        <v>0</v>
      </c>
      <c r="AQ191" t="n">
        <v>1</v>
      </c>
      <c r="AR191" t="inlineStr">
        <is>
          <t>fornecimento_puro</t>
        </is>
      </c>
      <c r="AS191" t="inlineStr">
        <is>
          <t>Registro de precos para aquisicao de gases, oleos, colas, tintas e solventes de uso GERAL em manutencao (inclusive de terceiros) -- compra de insumos, a empresa nao presta o servico de manutencao em si.</t>
        </is>
      </c>
      <c r="AT191" t="n">
        <v>1</v>
      </c>
      <c r="AU191" t="n">
        <v>0</v>
      </c>
    </row>
    <row r="192">
      <c r="A192" t="inlineStr">
        <is>
          <t>01612551000179_2026_26</t>
        </is>
      </c>
      <c r="B192" s="2" t="inlineStr">
        <is>
          <t>https://pncp.gov.br/app/editais/01612551000179/2026/26</t>
        </is>
      </c>
      <c r="C192" t="inlineStr">
        <is>
          <t>2026-09-27T05:46:21.459220+00:00</t>
        </is>
      </c>
      <c r="D192" t="inlineStr">
        <is>
          <t>MG</t>
        </is>
      </c>
      <c r="E192" t="inlineStr">
        <is>
          <t>vizinhos</t>
        </is>
      </c>
      <c r="F192" t="inlineStr">
        <is>
          <t>Campo Azul</t>
        </is>
      </c>
      <c r="G192" t="inlineStr">
        <is>
          <t>MUNICIPIO DE CAMPO AZUL</t>
        </is>
      </c>
      <c r="H192" t="inlineStr">
        <is>
          <t>Municipal</t>
        </is>
      </c>
      <c r="I192" t="inlineStr">
        <is>
          <t>2026-07-06T08:04:39</t>
        </is>
      </c>
      <c r="J192" t="inlineStr">
        <is>
          <t>Pregão - Eletrônico</t>
        </is>
      </c>
      <c r="K192" t="inlineStr">
        <is>
          <t>CONTRATAÇÃO DE EMPRESA ESPECIALIZADA PARA INSTALAÇÃO, FORNECIMENTO DE PEÇAS DE REPOSIÇÃO EPRESTAÇÃO DE SERVIÇOS DE MANUTENÇÃO PREVENTIVA E CORRETIVA, COM FORNECIMENTO DE MÃO DE OBRA ESPECIALIZADA, EM APARELHOS DE AR-CONDICIONADO, CÂMARAS FRIAS, GELADEIRAS, FOGÕES INDUSTRIAIS E FREEZERS, VISANDO ATENDER ÀS NECESSIDADES DAS DIVERSAS SECRETARIAS DA PREFEITURA MUNICIPAL DE CAMPO AZULMG.</t>
        </is>
      </c>
      <c r="L192" t="b">
        <v>1</v>
      </c>
      <c r="M192" t="inlineStr">
        <is>
          <t>refrigeracao</t>
        </is>
      </c>
      <c r="N192" t="inlineStr">
        <is>
          <t>refrigeracao</t>
        </is>
      </c>
      <c r="O192" t="n">
        <v>498733.32</v>
      </c>
      <c r="P192" t="n">
        <v>221500</v>
      </c>
      <c r="Q192" t="n">
        <v>498733.324</v>
      </c>
      <c r="R192" t="n">
        <v>0.555874874725636</v>
      </c>
      <c r="S192" t="n">
        <v>0</v>
      </c>
      <c r="T192" t="n">
        <v>10</v>
      </c>
      <c r="U192" t="n">
        <v>10</v>
      </c>
      <c r="V192" t="n">
        <v>10</v>
      </c>
      <c r="W192" t="n">
        <v>0</v>
      </c>
      <c r="X192" t="n">
        <v>0</v>
      </c>
      <c r="Y192" t="n">
        <v>0</v>
      </c>
      <c r="Z192" t="n">
        <v>0</v>
      </c>
      <c r="AA192" t="n">
        <v>0</v>
      </c>
      <c r="AB192" t="n">
        <v>0</v>
      </c>
      <c r="AC192" t="n">
        <v>0</v>
      </c>
      <c r="AD192" t="n">
        <v>0</v>
      </c>
      <c r="AE192" t="n">
        <v>1</v>
      </c>
      <c r="AF192" t="inlineStr">
        <is>
          <t>HIGIENIZAR MANUTENCAO E SERVICOS LTDA:Demais</t>
        </is>
      </c>
      <c r="AH192" t="inlineStr">
        <is>
          <t>pontual</t>
        </is>
      </c>
      <c r="AJ192" t="n">
        <v>0</v>
      </c>
      <c r="AK192" t="n">
        <v>0</v>
      </c>
      <c r="AL192" t="n">
        <v>0</v>
      </c>
      <c r="AM192" t="n">
        <v>0</v>
      </c>
      <c r="AN192" t="n">
        <v>0</v>
      </c>
      <c r="AQ192" t="n">
        <v>0</v>
      </c>
      <c r="AS192" t="inlineStr">
        <is>
          <t>~28% do valor em itens relacionados a refrigeracao/pecas de reposicao, junto com ~72% de manutencao de ar-condicionado -- mantido incluido como caso misto com peso relevante de refrigeracao.</t>
        </is>
      </c>
      <c r="AT192" t="n">
        <v>0</v>
      </c>
      <c r="AU192" t="n">
        <v>1</v>
      </c>
    </row>
    <row r="193">
      <c r="A193" t="inlineStr">
        <is>
          <t>01612817000183_2025_830</t>
        </is>
      </c>
      <c r="B193" s="2" t="inlineStr">
        <is>
          <t>https://pncp.gov.br/app/editais/01612817000183/2025/830</t>
        </is>
      </c>
      <c r="C193" t="inlineStr">
        <is>
          <t>2026-09-27T04:46:06.579306+00:00</t>
        </is>
      </c>
      <c r="D193" t="inlineStr">
        <is>
          <t>GO</t>
        </is>
      </c>
      <c r="E193" t="inlineStr">
        <is>
          <t>GO</t>
        </is>
      </c>
      <c r="F193" t="inlineStr">
        <is>
          <t>Vila Propício</t>
        </is>
      </c>
      <c r="G193" t="inlineStr">
        <is>
          <t>MUNICIPIO DE VILA PROPICIO</t>
        </is>
      </c>
      <c r="H193" t="inlineStr">
        <is>
          <t>Municipal</t>
        </is>
      </c>
      <c r="I193" t="inlineStr">
        <is>
          <t>2025-10-20T09:12:12</t>
        </is>
      </c>
      <c r="J193" t="inlineStr">
        <is>
          <t>Concorrência - Eletrônica</t>
        </is>
      </c>
      <c r="K193" t="inlineStr">
        <is>
          <t>CONTRATAÇÃO DE PESSOA JURÍDICA PARA EXECUÇÃO DE OBRA DE IMPLATAÇÃO DE SISTEMA DE ILUMINAÇÃO PÚBLICA NA AV. LUIZ CAIADO DE GODOY E SUBSTITUIÇÃO DOS POSTES NO CANTEIRO CENTRAL DA ENTRADA DA CIDADE DE VILA PROPÍCIO.</t>
        </is>
      </c>
      <c r="L193" t="b">
        <v>0</v>
      </c>
      <c r="M193" t="inlineStr">
        <is>
          <t>iluminacao_publica</t>
        </is>
      </c>
      <c r="N193" t="inlineStr">
        <is>
          <t>iluminacao_publica</t>
        </is>
      </c>
      <c r="O193" t="n">
        <v>140520.31</v>
      </c>
      <c r="P193" t="n">
        <v>66044.5457</v>
      </c>
      <c r="Q193" t="n">
        <v>140520.31</v>
      </c>
      <c r="R193" t="n">
        <v>0.53</v>
      </c>
      <c r="S193" t="n">
        <v>0</v>
      </c>
      <c r="T193" t="n">
        <v>1</v>
      </c>
      <c r="U193" t="n">
        <v>1</v>
      </c>
      <c r="V193" t="n">
        <v>1</v>
      </c>
      <c r="W193" t="n">
        <v>0</v>
      </c>
      <c r="X193" t="n">
        <v>0</v>
      </c>
      <c r="Y193" t="n">
        <v>0</v>
      </c>
      <c r="Z193" t="n">
        <v>0</v>
      </c>
      <c r="AA193" t="n">
        <v>0</v>
      </c>
      <c r="AB193" t="n">
        <v>0</v>
      </c>
      <c r="AC193" t="n">
        <v>0</v>
      </c>
      <c r="AD193" t="n">
        <v>0</v>
      </c>
      <c r="AE193" t="n">
        <v>1</v>
      </c>
      <c r="AF193" t="inlineStr">
        <is>
          <t>V ORTIZ SERVICOS E COMERCIO LTDA:ME</t>
        </is>
      </c>
      <c r="AH193" t="inlineStr">
        <is>
          <t>pontual</t>
        </is>
      </c>
      <c r="AJ193" t="n">
        <v>0</v>
      </c>
      <c r="AK193" t="n">
        <v>0</v>
      </c>
      <c r="AL193" t="n">
        <v>0</v>
      </c>
      <c r="AM193" t="n">
        <v>1</v>
      </c>
      <c r="AN193" t="n">
        <v>1</v>
      </c>
      <c r="AP193" t="inlineStr">
        <is>
          <t>AÇÃO TÉCNICO-OPERACIONAL e T ÉCNICO- PROFISSIONAL será considerada a execução de obra envolvendo os quantitativos mínimos: ITENS CÓDIGO REFERÊNCIA ITEM UND. QTD. 3.2 70509 GOINFRA CABO FLEXÍVEL EPR/XLPE (90ºC), 0,6/1 KV 10 MM2 M TS. 895,35 4.1 100623 SINAPI POSTE DE AÇO CÔNICO CONTÍNUO CURVO DUP</t>
        </is>
      </c>
      <c r="AQ193" t="n">
        <v>0</v>
      </c>
      <c r="AS193" t="inlineStr">
        <is>
          <t>Nenhum dos 4 critérios de exclusão se aplica; objeto compatível com manutenção/pequena extensão de IP.</t>
        </is>
      </c>
      <c r="AT193" t="n">
        <v>0</v>
      </c>
      <c r="AU193" t="n">
        <v>1</v>
      </c>
    </row>
    <row r="194">
      <c r="A194" t="inlineStr">
        <is>
          <t>01613940000119_2025_149</t>
        </is>
      </c>
      <c r="B194" s="2" t="inlineStr">
        <is>
          <t>https://pncp.gov.br/app/editais/01613940000119/2025/149</t>
        </is>
      </c>
      <c r="C194" t="inlineStr">
        <is>
          <t>2026-09-27T04:07:53.528977+00:00</t>
        </is>
      </c>
      <c r="D194" t="inlineStr">
        <is>
          <t>GO</t>
        </is>
      </c>
      <c r="E194" t="inlineStr">
        <is>
          <t>GO</t>
        </is>
      </c>
      <c r="F194" t="inlineStr">
        <is>
          <t>Abadia de Goiás</t>
        </is>
      </c>
      <c r="G194" t="inlineStr">
        <is>
          <t>MUNICIPIO DE ABADIA DE GOIAS</t>
        </is>
      </c>
      <c r="H194" t="inlineStr">
        <is>
          <t>Municipal</t>
        </is>
      </c>
      <c r="I194" t="inlineStr">
        <is>
          <t>2025-08-28T15:52:28</t>
        </is>
      </c>
      <c r="J194" t="inlineStr">
        <is>
          <t>Pregão - Eletrônico</t>
        </is>
      </c>
      <c r="K194" t="inlineStr">
        <is>
          <t>Contratação de empresa para fornecimento de materiais elétricos em geral para expansão, manutenção e reparos da rede de iluminação e prédios públicos do Poder Executivo e demais órgãos da administração do Município de Abadia de Goiás/GO</t>
        </is>
      </c>
      <c r="L194" t="b">
        <v>1</v>
      </c>
      <c r="M194" t="inlineStr">
        <is>
          <t>iluminacao_publica</t>
        </is>
      </c>
      <c r="N194" t="inlineStr">
        <is>
          <t>iluminacao_publica</t>
        </is>
      </c>
      <c r="O194" t="n">
        <v>1168266.56</v>
      </c>
      <c r="P194" t="n">
        <v>587330.5600000001</v>
      </c>
      <c r="Q194" t="n">
        <v>1168266.56</v>
      </c>
      <c r="R194" t="n">
        <v>0.4972632273237368</v>
      </c>
      <c r="S194" t="n">
        <v>0</v>
      </c>
      <c r="T194" t="n">
        <v>15</v>
      </c>
      <c r="U194" t="n">
        <v>15</v>
      </c>
      <c r="V194" t="n">
        <v>15</v>
      </c>
      <c r="W194" t="n">
        <v>0</v>
      </c>
      <c r="X194" t="n">
        <v>0</v>
      </c>
      <c r="Y194" t="n">
        <v>0</v>
      </c>
      <c r="Z194" t="n">
        <v>0</v>
      </c>
      <c r="AA194" t="n">
        <v>0</v>
      </c>
      <c r="AB194" t="n">
        <v>0</v>
      </c>
      <c r="AC194" t="n">
        <v>0</v>
      </c>
      <c r="AD194" t="n">
        <v>0</v>
      </c>
      <c r="AE194" t="n">
        <v>2</v>
      </c>
      <c r="AF194" t="inlineStr">
        <is>
          <t>ELETRICA VARGAS LTDA:ME; BRASIL ILUMINAÇÃO E CONSTRUÇÃO EIRELI:ME</t>
        </is>
      </c>
      <c r="AH194" t="inlineStr">
        <is>
          <t>pontual</t>
        </is>
      </c>
      <c r="AJ194" t="n">
        <v>0</v>
      </c>
      <c r="AK194" t="n">
        <v>0</v>
      </c>
      <c r="AL194" t="n">
        <v>0</v>
      </c>
      <c r="AM194" t="n">
        <v>0</v>
      </c>
      <c r="AN194" t="n">
        <v>0</v>
      </c>
      <c r="AQ194" t="n">
        <v>1</v>
      </c>
      <c r="AR194" t="inlineStr">
        <is>
          <t>fornecimento_puro</t>
        </is>
      </c>
      <c r="AS194" t="inlineStr">
        <is>
          <t>Registro de preços/contratação de fornecimento de materiais, sem mão de obra de manutenção contratada.</t>
        </is>
      </c>
      <c r="AT194" t="n">
        <v>1</v>
      </c>
      <c r="AU194" t="n">
        <v>0</v>
      </c>
    </row>
    <row r="195">
      <c r="A195" t="inlineStr">
        <is>
          <t>01613940000119_2025_260</t>
        </is>
      </c>
      <c r="B195" s="2" t="inlineStr">
        <is>
          <t>https://pncp.gov.br/app/editais/01613940000119/2025/260</t>
        </is>
      </c>
      <c r="C195" t="inlineStr">
        <is>
          <t>2026-09-27T04:06:18.358110+00:00</t>
        </is>
      </c>
      <c r="D195" t="inlineStr">
        <is>
          <t>GO</t>
        </is>
      </c>
      <c r="E195" t="inlineStr">
        <is>
          <t>GO</t>
        </is>
      </c>
      <c r="F195" t="inlineStr">
        <is>
          <t>Abadia de Goiás</t>
        </is>
      </c>
      <c r="G195" t="inlineStr">
        <is>
          <t>MUNICIPIO DE ABADIA DE GOIAS</t>
        </is>
      </c>
      <c r="H195" t="inlineStr">
        <is>
          <t>Municipal</t>
        </is>
      </c>
      <c r="I195" t="inlineStr">
        <is>
          <t>2025-09-10T12:20:29</t>
        </is>
      </c>
      <c r="J195" t="inlineStr">
        <is>
          <t>Pregão - Eletrônico</t>
        </is>
      </c>
      <c r="K195" t="inlineStr">
        <is>
          <t>Contratação de empresa para fornecimento de equipamentos e materiais elétricos em geral para manutenção e reparos da rede de iluminação e prédios públicos do Poder Executivo e demais órgãos da administração do Município de Abadia de Goiás/GO.</t>
        </is>
      </c>
      <c r="L195" t="b">
        <v>1</v>
      </c>
      <c r="M195" t="inlineStr">
        <is>
          <t>iluminacao_publica</t>
        </is>
      </c>
      <c r="N195" t="inlineStr">
        <is>
          <t>iluminacao_publica</t>
        </is>
      </c>
      <c r="O195" t="n">
        <v>1438117.34</v>
      </c>
      <c r="P195" t="n">
        <v>886337.85</v>
      </c>
      <c r="Q195" t="n">
        <v>1232670.41</v>
      </c>
      <c r="R195" t="n">
        <v>0.2809736521568583</v>
      </c>
      <c r="S195" t="n">
        <v>0</v>
      </c>
      <c r="T195" t="n">
        <v>152</v>
      </c>
      <c r="U195" t="n">
        <v>40</v>
      </c>
      <c r="V195" t="n">
        <v>63</v>
      </c>
      <c r="W195" t="n">
        <v>0</v>
      </c>
      <c r="X195" t="n">
        <v>0</v>
      </c>
      <c r="Y195" t="n">
        <v>0</v>
      </c>
      <c r="Z195" t="n">
        <v>0</v>
      </c>
      <c r="AA195" t="n">
        <v>0</v>
      </c>
      <c r="AB195" t="n">
        <v>0</v>
      </c>
      <c r="AC195" t="n">
        <v>0</v>
      </c>
      <c r="AD195" t="n">
        <v>0</v>
      </c>
      <c r="AE195" t="n">
        <v>2</v>
      </c>
      <c r="AF195" t="inlineStr">
        <is>
          <t>BRASIL ILUMINACAO E CONSTRUCAO LTDA:EPP; LENDARIO COM E IMPORTACAO DE MATS ELETRICOS LTDA:EPP</t>
        </is>
      </c>
      <c r="AH195" t="inlineStr">
        <is>
          <t>pontual</t>
        </is>
      </c>
      <c r="AJ195" t="n">
        <v>0</v>
      </c>
      <c r="AK195" t="n">
        <v>0</v>
      </c>
      <c r="AL195" t="n">
        <v>0</v>
      </c>
      <c r="AM195" t="n">
        <v>0</v>
      </c>
      <c r="AN195" t="n">
        <v>0</v>
      </c>
      <c r="AQ195" t="n">
        <v>1</v>
      </c>
      <c r="AR195" t="inlineStr">
        <is>
          <t>fornecimento_puro</t>
        </is>
      </c>
      <c r="AS195" t="inlineStr">
        <is>
          <t>Registro de preços/contratação de fornecimento de materiais, sem mão de obra de manutenção contratada.</t>
        </is>
      </c>
      <c r="AT195" t="n">
        <v>1</v>
      </c>
      <c r="AU195" t="n">
        <v>0</v>
      </c>
    </row>
    <row r="196">
      <c r="A196" t="inlineStr">
        <is>
          <t>01613940000119_2025_281</t>
        </is>
      </c>
      <c r="B196" s="2" t="inlineStr">
        <is>
          <t>https://pncp.gov.br/app/editais/01613940000119/2025/281</t>
        </is>
      </c>
      <c r="C196" t="inlineStr">
        <is>
          <t>2026-09-27T04:05:27.845301+00:00</t>
        </is>
      </c>
      <c r="D196" t="inlineStr">
        <is>
          <t>GO</t>
        </is>
      </c>
      <c r="E196" t="inlineStr">
        <is>
          <t>GO</t>
        </is>
      </c>
      <c r="F196" t="inlineStr">
        <is>
          <t>Abadia de Goiás</t>
        </is>
      </c>
      <c r="G196" t="inlineStr">
        <is>
          <t>MUNICIPIO DE ABADIA DE GOIAS</t>
        </is>
      </c>
      <c r="H196" t="inlineStr">
        <is>
          <t>Municipal</t>
        </is>
      </c>
      <c r="I196" t="inlineStr">
        <is>
          <t>2025-09-23T08:38:26</t>
        </is>
      </c>
      <c r="J196" t="inlineStr">
        <is>
          <t>Pregão - Eletrônico</t>
        </is>
      </c>
      <c r="K196" t="inlineStr">
        <is>
          <t>Contratação de empresa para fornecimento de equipamentos e materiais elétricos em geral para manutenção e reparos da rede de iluminação e prédios públicos do Poder Executivo e demais órgãos da administração do Município de Abadia de Goiás/GO.</t>
        </is>
      </c>
      <c r="L196" t="b">
        <v>1</v>
      </c>
      <c r="M196" t="inlineStr">
        <is>
          <t>iluminacao_publica</t>
        </is>
      </c>
      <c r="N196" t="inlineStr">
        <is>
          <t>iluminacao_publica</t>
        </is>
      </c>
      <c r="O196" t="n">
        <v>3132243.35</v>
      </c>
      <c r="P196" t="n">
        <v>886337.85</v>
      </c>
      <c r="Q196" t="n">
        <v>1232670.4</v>
      </c>
      <c r="R196" t="n">
        <v>0.2809611961153606</v>
      </c>
      <c r="S196" t="n">
        <v>0</v>
      </c>
      <c r="T196" t="n">
        <v>152</v>
      </c>
      <c r="U196" t="n">
        <v>40</v>
      </c>
      <c r="V196" t="n">
        <v>146</v>
      </c>
      <c r="W196" t="n">
        <v>0</v>
      </c>
      <c r="X196" t="n">
        <v>6</v>
      </c>
      <c r="Y196" t="n">
        <v>0</v>
      </c>
      <c r="Z196" t="n">
        <v>1</v>
      </c>
      <c r="AA196" t="n">
        <v>0</v>
      </c>
      <c r="AB196" t="n">
        <v>0</v>
      </c>
      <c r="AC196" t="n">
        <v>0</v>
      </c>
      <c r="AD196" t="n">
        <v>0</v>
      </c>
      <c r="AE196" t="n">
        <v>2</v>
      </c>
      <c r="AF196" t="inlineStr">
        <is>
          <t>BRASIL ILUMINAÇÃO E CONSTRUÇÃO EIRELI:ME; LENDARIO COM E IMPORTACAO DE MATS ELETRICOS LTDA:ME</t>
        </is>
      </c>
      <c r="AH196" t="inlineStr">
        <is>
          <t>pontual</t>
        </is>
      </c>
      <c r="AJ196" t="n">
        <v>0</v>
      </c>
      <c r="AK196" t="n">
        <v>0</v>
      </c>
      <c r="AL196" t="n">
        <v>0</v>
      </c>
      <c r="AM196" t="n">
        <v>0</v>
      </c>
      <c r="AN196" t="n">
        <v>0</v>
      </c>
      <c r="AQ196" t="n">
        <v>1</v>
      </c>
      <c r="AR196" t="inlineStr">
        <is>
          <t>fornecimento_puro</t>
        </is>
      </c>
      <c r="AS196" t="inlineStr">
        <is>
          <t>Registro de preços/contratação de fornecimento de materiais, sem mão de obra de manutenção contratada.</t>
        </is>
      </c>
      <c r="AT196" t="n">
        <v>1</v>
      </c>
      <c r="AU196" t="n">
        <v>0</v>
      </c>
    </row>
    <row r="197">
      <c r="A197" t="inlineStr">
        <is>
          <t>01613940000119_2025_328</t>
        </is>
      </c>
      <c r="B197" s="2" t="inlineStr">
        <is>
          <t>https://pncp.gov.br/app/editais/01613940000119/2025/328</t>
        </is>
      </c>
      <c r="C197" t="inlineStr">
        <is>
          <t>2026-09-27T04:00:24.033709+00:00</t>
        </is>
      </c>
      <c r="D197" t="inlineStr">
        <is>
          <t>GO</t>
        </is>
      </c>
      <c r="E197" t="inlineStr">
        <is>
          <t>GO</t>
        </is>
      </c>
      <c r="F197" t="inlineStr">
        <is>
          <t>Abadia de Goiás</t>
        </is>
      </c>
      <c r="G197" t="inlineStr">
        <is>
          <t>MUNICIPIO DE ABADIA DE GOIAS</t>
        </is>
      </c>
      <c r="H197" t="inlineStr">
        <is>
          <t>Municipal</t>
        </is>
      </c>
      <c r="I197" t="inlineStr">
        <is>
          <t>2025-11-18T14:26:09</t>
        </is>
      </c>
      <c r="J197" t="inlineStr">
        <is>
          <t>Pregão - Eletrônico</t>
        </is>
      </c>
      <c r="K197" t="inlineStr">
        <is>
          <t>Contratação de empresa especializada para o fornecimento de materiais de construção, hidráulicos, elétricos, ferragens e ferramentas em geral, destinados à execução de serviços de manutenção e reparos em áreas e edificações públicas vinculadas ao Poder Executivo e demais órgãos da Administração Municipal de Abadia de Goiás/GO.</t>
        </is>
      </c>
      <c r="L197" t="b">
        <v>1</v>
      </c>
      <c r="M197" t="inlineStr">
        <is>
          <t>eletrica_predial</t>
        </is>
      </c>
      <c r="N197" t="inlineStr">
        <is>
          <t>eletrica_predial</t>
        </is>
      </c>
      <c r="O197" t="n">
        <v>971281.45</v>
      </c>
      <c r="P197" t="n">
        <v>196439.8</v>
      </c>
      <c r="Q197" t="n">
        <v>206929.9</v>
      </c>
      <c r="R197" t="n">
        <v>0.05074495239760658</v>
      </c>
      <c r="S197" t="n">
        <v>0</v>
      </c>
      <c r="T197" t="n">
        <v>172</v>
      </c>
      <c r="U197" t="n">
        <v>40</v>
      </c>
      <c r="V197" t="n">
        <v>162</v>
      </c>
      <c r="W197" t="n">
        <v>5</v>
      </c>
      <c r="X197" t="n">
        <v>5</v>
      </c>
      <c r="Y197" t="n">
        <v>0</v>
      </c>
      <c r="Z197" t="n">
        <v>1</v>
      </c>
      <c r="AA197" t="n">
        <v>0</v>
      </c>
      <c r="AB197" t="n">
        <v>0</v>
      </c>
      <c r="AC197" t="n">
        <v>0</v>
      </c>
      <c r="AD197" t="n">
        <v>0</v>
      </c>
      <c r="AE197" t="n">
        <v>2</v>
      </c>
      <c r="AF197" t="inlineStr">
        <is>
          <t>BRASIL ILUMINACAO E CONSTRUCAO LTDA:EPP; SALVIANO &amp; MENDONCA LTDA:EPP</t>
        </is>
      </c>
      <c r="AH197" t="inlineStr">
        <is>
          <t>pontual</t>
        </is>
      </c>
      <c r="AJ197" t="n">
        <v>0</v>
      </c>
      <c r="AK197" t="n">
        <v>0</v>
      </c>
      <c r="AL197" t="n">
        <v>0</v>
      </c>
      <c r="AM197" t="n">
        <v>0</v>
      </c>
      <c r="AN197" t="n">
        <v>0</v>
      </c>
      <c r="AQ197" t="n">
        <v>1</v>
      </c>
      <c r="AR197" t="inlineStr">
        <is>
          <t>fornecimento_puro</t>
        </is>
      </c>
      <c r="AS197" t="inlineStr">
        <is>
          <t>Confirmada exclusao automatica (fornecimento_puro): 172 item(ns), todos classificados como material (sem servico).</t>
        </is>
      </c>
      <c r="AT197" t="n">
        <v>1</v>
      </c>
      <c r="AU197" t="n">
        <v>0</v>
      </c>
    </row>
    <row r="198">
      <c r="A198" t="inlineStr">
        <is>
          <t>01613940000119_2025_366</t>
        </is>
      </c>
      <c r="B198" s="2" t="inlineStr">
        <is>
          <t>https://pncp.gov.br/app/editais/01613940000119/2025/366</t>
        </is>
      </c>
      <c r="C198" t="inlineStr">
        <is>
          <t>2026-09-27T03:59:36.805407+00:00</t>
        </is>
      </c>
      <c r="D198" t="inlineStr">
        <is>
          <t>GO</t>
        </is>
      </c>
      <c r="E198" t="inlineStr">
        <is>
          <t>GO</t>
        </is>
      </c>
      <c r="F198" t="inlineStr">
        <is>
          <t>Abadia de Goiás</t>
        </is>
      </c>
      <c r="G198" t="inlineStr">
        <is>
          <t>MUNICIPIO DE ABADIA DE GOIAS</t>
        </is>
      </c>
      <c r="H198" t="inlineStr">
        <is>
          <t>Municipal</t>
        </is>
      </c>
      <c r="I198" t="inlineStr">
        <is>
          <t>2025-12-04T08:22:49</t>
        </is>
      </c>
      <c r="J198" t="inlineStr">
        <is>
          <t>Pregão - Eletrônico</t>
        </is>
      </c>
      <c r="K198" t="inlineStr">
        <is>
          <t>Contratação de empresa especializada para o fornecimento de materiais de construção, hidráulicos, elétricos, ferragens e ferramentas em geral, destinados à execução de serviços de manutenção e reparos em áreas e edificações públicas vinculadas ao Poder Executivo e demais órgãos da Administração Municipal de Abadia de Goiás/GO.</t>
        </is>
      </c>
      <c r="L198" t="b">
        <v>1</v>
      </c>
      <c r="M198" t="inlineStr">
        <is>
          <t>eletrica_predial</t>
        </is>
      </c>
      <c r="N198" t="inlineStr">
        <is>
          <t>eletrica_predial</t>
        </is>
      </c>
      <c r="O198" t="n">
        <v>971281.45</v>
      </c>
      <c r="P198" t="n">
        <v>196439.8</v>
      </c>
      <c r="Q198" t="n">
        <v>206929.9</v>
      </c>
      <c r="R198" t="n">
        <v>0.05069397897548881</v>
      </c>
      <c r="S198" t="n">
        <v>0</v>
      </c>
      <c r="T198" t="n">
        <v>172</v>
      </c>
      <c r="U198" t="n">
        <v>40</v>
      </c>
      <c r="V198" t="n">
        <v>162</v>
      </c>
      <c r="W198" t="n">
        <v>5</v>
      </c>
      <c r="X198" t="n">
        <v>5</v>
      </c>
      <c r="Y198" t="n">
        <v>0</v>
      </c>
      <c r="Z198" t="n">
        <v>1</v>
      </c>
      <c r="AA198" t="n">
        <v>0</v>
      </c>
      <c r="AB198" t="n">
        <v>0</v>
      </c>
      <c r="AC198" t="n">
        <v>0</v>
      </c>
      <c r="AD198" t="n">
        <v>0</v>
      </c>
      <c r="AE198" t="n">
        <v>2</v>
      </c>
      <c r="AF198" t="inlineStr">
        <is>
          <t>BRASIL ILUMINAÇÃO E CONSTRUÇÃO EIRELI:ME; SALVIANO MENDONCA LTDA:ME</t>
        </is>
      </c>
      <c r="AH198" t="inlineStr">
        <is>
          <t>pontual</t>
        </is>
      </c>
      <c r="AJ198" t="n">
        <v>0</v>
      </c>
      <c r="AK198" t="n">
        <v>0</v>
      </c>
      <c r="AL198" t="n">
        <v>0</v>
      </c>
      <c r="AM198" t="n">
        <v>0</v>
      </c>
      <c r="AN198" t="n">
        <v>0</v>
      </c>
      <c r="AQ198" t="n">
        <v>1</v>
      </c>
      <c r="AR198" t="inlineStr">
        <is>
          <t>fornecimento_puro</t>
        </is>
      </c>
      <c r="AS198" t="inlineStr">
        <is>
          <t>Confirmada exclusao automatica (fornecimento_puro): 172 item(ns), todos classificados como material (sem servico).</t>
        </is>
      </c>
      <c r="AT198" t="n">
        <v>1</v>
      </c>
      <c r="AU198" t="n">
        <v>0</v>
      </c>
    </row>
    <row r="199">
      <c r="A199" t="inlineStr">
        <is>
          <t>01613940000119_2026_11</t>
        </is>
      </c>
      <c r="B199" s="2" t="inlineStr">
        <is>
          <t>https://pncp.gov.br/app/editais/01613940000119/2026/11</t>
        </is>
      </c>
      <c r="C199" t="inlineStr">
        <is>
          <t>2026-09-27T14:33:31.618958+00:00</t>
        </is>
      </c>
      <c r="D199" t="inlineStr">
        <is>
          <t>GO</t>
        </is>
      </c>
      <c r="E199" t="inlineStr">
        <is>
          <t>GO</t>
        </is>
      </c>
      <c r="F199" t="inlineStr">
        <is>
          <t>Abadia de Goiás</t>
        </is>
      </c>
      <c r="G199" t="inlineStr">
        <is>
          <t>MUNICIPIO DE ABADIA DE GOIAS</t>
        </is>
      </c>
      <c r="H199" t="inlineStr">
        <is>
          <t>Municipal</t>
        </is>
      </c>
      <c r="I199" t="inlineStr">
        <is>
          <t>2026-02-10T08:27:18</t>
        </is>
      </c>
      <c r="J199" t="inlineStr">
        <is>
          <t>Pregão - Eletrônico</t>
        </is>
      </c>
      <c r="K199" t="inlineStr">
        <is>
          <t>Contratação de empresa especializada para a prestação de serviços de locação de veículos, incluindo motorista, destinados a compor o quadro logístico do Município de Abadia de Goiás/GO .</t>
        </is>
      </c>
      <c r="L199" t="b">
        <v>0</v>
      </c>
      <c r="M199" t="inlineStr">
        <is>
          <t>eletrica_predial</t>
        </is>
      </c>
      <c r="N199" t="inlineStr">
        <is>
          <t>eletrica_predial</t>
        </is>
      </c>
      <c r="O199" t="n">
        <v>509871.24</v>
      </c>
      <c r="P199" t="n">
        <v>304800</v>
      </c>
      <c r="Q199" t="n">
        <v>509871.24</v>
      </c>
      <c r="R199" t="n">
        <v>0.4022020147674931</v>
      </c>
      <c r="S199" t="n">
        <v>0</v>
      </c>
      <c r="T199" t="n">
        <v>2</v>
      </c>
      <c r="U199" t="n">
        <v>2</v>
      </c>
      <c r="V199" t="n">
        <v>2</v>
      </c>
      <c r="W199" t="n">
        <v>0</v>
      </c>
      <c r="X199" t="n">
        <v>0</v>
      </c>
      <c r="Y199" t="n">
        <v>0</v>
      </c>
      <c r="Z199" t="n">
        <v>0</v>
      </c>
      <c r="AA199" t="n">
        <v>0</v>
      </c>
      <c r="AB199" t="n">
        <v>0</v>
      </c>
      <c r="AC199" t="n">
        <v>0</v>
      </c>
      <c r="AD199" t="n">
        <v>0</v>
      </c>
      <c r="AE199" t="n">
        <v>1</v>
      </c>
      <c r="AF199" t="inlineStr">
        <is>
          <t>L B DE OLIVEIRA SERVICOS DE LOCACOES:ME</t>
        </is>
      </c>
      <c r="AH199" t="inlineStr">
        <is>
          <t>continuado</t>
        </is>
      </c>
      <c r="AJ199" t="n">
        <v>0</v>
      </c>
      <c r="AK199" t="n">
        <v>0</v>
      </c>
      <c r="AL199" t="n">
        <v>0</v>
      </c>
      <c r="AM199" t="n">
        <v>0</v>
      </c>
      <c r="AN199" t="n">
        <v>0</v>
      </c>
      <c r="AQ199" t="n">
        <v>1</v>
      </c>
      <c r="AR199" t="inlineStr">
        <is>
          <t>mencao_passagem</t>
        </is>
      </c>
      <c r="AS199" t="inlineStr">
        <is>
          <t>Confirmada exclusao automatica (mencao_passagem): contratacao de empresa especializada para a prestacao de servicos de locacao de veiculos, incluindo motorista, destinados a compor o quadro logistico do municipio de abadia de goia</t>
        </is>
      </c>
      <c r="AT199" t="n">
        <v>0</v>
      </c>
      <c r="AU199" t="n">
        <v>0</v>
      </c>
    </row>
    <row r="200">
      <c r="A200" t="inlineStr">
        <is>
          <t>01613940000119_2026_167</t>
        </is>
      </c>
      <c r="B200" s="2" t="inlineStr">
        <is>
          <t>https://pncp.gov.br/app/editais/01613940000119/2026/167</t>
        </is>
      </c>
      <c r="C200" t="inlineStr">
        <is>
          <t>2026-09-27T03:40:26.094236+00:00</t>
        </is>
      </c>
      <c r="D200" t="inlineStr">
        <is>
          <t>GO</t>
        </is>
      </c>
      <c r="E200" t="inlineStr">
        <is>
          <t>GO</t>
        </is>
      </c>
      <c r="F200" t="inlineStr">
        <is>
          <t>Abadia de Goiás</t>
        </is>
      </c>
      <c r="G200" t="inlineStr">
        <is>
          <t>MUNICIPIO DE ABADIA DE GOIAS</t>
        </is>
      </c>
      <c r="H200" t="inlineStr">
        <is>
          <t>Municipal</t>
        </is>
      </c>
      <c r="I200" t="inlineStr">
        <is>
          <t>2026-05-25T17:54:53</t>
        </is>
      </c>
      <c r="J200" t="inlineStr">
        <is>
          <t>Pregão - Eletrônico</t>
        </is>
      </c>
      <c r="K200" t="inlineStr">
        <is>
          <t>Contratação de empresa especializada para o fornecimento de materiais de construção em geral, bem como ferramentas manuais e elétricas, destinados à execução de serviços de manutenção, conservação, reparos e pequenas obras em áreas, vias públicas e prédios pertencentes ao Poder Executivo e demais órgãos da Administração Municipal de Abadia de Goiás/GO.</t>
        </is>
      </c>
      <c r="L200" t="b">
        <v>1</v>
      </c>
      <c r="M200" t="inlineStr">
        <is>
          <t>eletrica_predial</t>
        </is>
      </c>
      <c r="N200" t="inlineStr">
        <is>
          <t>eletrica_predial</t>
        </is>
      </c>
      <c r="O200" t="n">
        <v>616674.59</v>
      </c>
      <c r="P200" t="n">
        <v>51292.8</v>
      </c>
      <c r="Q200" t="n">
        <v>54247.37</v>
      </c>
      <c r="R200" t="n">
        <v>0.05452231316392961</v>
      </c>
      <c r="S200" t="n">
        <v>0</v>
      </c>
      <c r="T200" t="n">
        <v>303</v>
      </c>
      <c r="U200" t="n">
        <v>40</v>
      </c>
      <c r="V200" t="n">
        <v>290</v>
      </c>
      <c r="W200" t="n">
        <v>8</v>
      </c>
      <c r="X200" t="n">
        <v>5</v>
      </c>
      <c r="Y200" t="n">
        <v>0</v>
      </c>
      <c r="Z200" t="n">
        <v>1</v>
      </c>
      <c r="AA200" t="n">
        <v>0</v>
      </c>
      <c r="AB200" t="n">
        <v>0</v>
      </c>
      <c r="AC200" t="n">
        <v>0</v>
      </c>
      <c r="AD200" t="n">
        <v>0</v>
      </c>
      <c r="AE200" t="n">
        <v>1</v>
      </c>
      <c r="AF200" t="inlineStr">
        <is>
          <t>SALVIANO &amp; MENDONCA LTDA:EPP</t>
        </is>
      </c>
      <c r="AH200" t="inlineStr">
        <is>
          <t>pontual</t>
        </is>
      </c>
      <c r="AJ200" t="n">
        <v>0</v>
      </c>
      <c r="AK200" t="n">
        <v>0</v>
      </c>
      <c r="AL200" t="n">
        <v>0</v>
      </c>
      <c r="AM200" t="n">
        <v>0</v>
      </c>
      <c r="AN200" t="n">
        <v>0</v>
      </c>
      <c r="AQ200" t="n">
        <v>1</v>
      </c>
      <c r="AR200" t="inlineStr">
        <is>
          <t>fornecimento_puro</t>
        </is>
      </c>
      <c r="AS200" t="inlineStr">
        <is>
          <t>Confirmada exclusao automatica (fornecimento_puro): 303 item(ns), todos classificados como material (sem servico).</t>
        </is>
      </c>
      <c r="AT200" t="n">
        <v>1</v>
      </c>
      <c r="AU200" t="n">
        <v>0</v>
      </c>
    </row>
    <row r="201">
      <c r="A201" t="inlineStr">
        <is>
          <t>01613940000119_2026_169</t>
        </is>
      </c>
      <c r="B201" s="2" t="inlineStr">
        <is>
          <t>https://pncp.gov.br/app/editais/01613940000119/2026/169</t>
        </is>
      </c>
      <c r="C201" t="inlineStr">
        <is>
          <t>2026-09-27T03:39:12.344356+00:00</t>
        </is>
      </c>
      <c r="D201" t="inlineStr">
        <is>
          <t>GO</t>
        </is>
      </c>
      <c r="E201" t="inlineStr">
        <is>
          <t>GO</t>
        </is>
      </c>
      <c r="F201" t="inlineStr">
        <is>
          <t>Abadia de Goiás</t>
        </is>
      </c>
      <c r="G201" t="inlineStr">
        <is>
          <t>MUNICIPIO DE ABADIA DE GOIAS</t>
        </is>
      </c>
      <c r="H201" t="inlineStr">
        <is>
          <t>Municipal</t>
        </is>
      </c>
      <c r="I201" t="inlineStr">
        <is>
          <t>2026-06-12T14:10:56</t>
        </is>
      </c>
      <c r="J201" t="inlineStr">
        <is>
          <t>Pregão - Eletrônico</t>
        </is>
      </c>
      <c r="K201" t="inlineStr">
        <is>
          <t>Contratação de empresa especializada para o fornecimento de equipamentos e materiais elétricos destinados à manutenção e aos reparos da rede de iluminação pública e dos prédios públicos pertencentes ao Poder Executivo e demais órgãos da Administração Municipal de Abadia de Goiás/GO.</t>
        </is>
      </c>
      <c r="L201" t="b">
        <v>1</v>
      </c>
      <c r="M201" t="inlineStr">
        <is>
          <t>iluminacao_publica</t>
        </is>
      </c>
      <c r="N201" t="inlineStr">
        <is>
          <t>iluminacao_publica</t>
        </is>
      </c>
      <c r="O201" t="n">
        <v>3414435.81</v>
      </c>
      <c r="P201" t="n">
        <v>343122.7</v>
      </c>
      <c r="Q201" t="n">
        <v>537795.35</v>
      </c>
      <c r="R201" t="n">
        <v>0.3620345853209201</v>
      </c>
      <c r="S201" t="n">
        <v>0</v>
      </c>
      <c r="T201" t="n">
        <v>204</v>
      </c>
      <c r="U201" t="n">
        <v>40</v>
      </c>
      <c r="V201" t="n">
        <v>197</v>
      </c>
      <c r="W201" t="n">
        <v>0</v>
      </c>
      <c r="X201" t="n">
        <v>0</v>
      </c>
      <c r="Y201" t="n">
        <v>0</v>
      </c>
      <c r="Z201" t="n">
        <v>0</v>
      </c>
      <c r="AA201" t="n">
        <v>0</v>
      </c>
      <c r="AB201" t="n">
        <v>0</v>
      </c>
      <c r="AC201" t="n">
        <v>0</v>
      </c>
      <c r="AD201" t="n">
        <v>0</v>
      </c>
      <c r="AE201" t="n">
        <v>1</v>
      </c>
      <c r="AF201" t="inlineStr">
        <is>
          <t>FORT COMERCIO, SERVICOS E LOCACOES LTDA:EPP</t>
        </is>
      </c>
      <c r="AH201" t="inlineStr">
        <is>
          <t>pontual</t>
        </is>
      </c>
      <c r="AI201" t="n">
        <v>12</v>
      </c>
      <c r="AJ201" t="n">
        <v>0</v>
      </c>
      <c r="AK201" t="n">
        <v>0</v>
      </c>
      <c r="AL201" t="n">
        <v>0</v>
      </c>
      <c r="AM201" t="n">
        <v>1</v>
      </c>
      <c r="AN201" t="n">
        <v>0</v>
      </c>
      <c r="AQ201" t="n">
        <v>1</v>
      </c>
      <c r="AR201" t="inlineStr">
        <is>
          <t>fornecimento_puro</t>
        </is>
      </c>
      <c r="AS201" t="inlineStr">
        <is>
          <t>Registro de preços/contratação de fornecimento de materiais, sem mão de obra de manutenção contratada.</t>
        </is>
      </c>
      <c r="AT201" t="n">
        <v>1</v>
      </c>
      <c r="AU201" t="n">
        <v>0</v>
      </c>
    </row>
    <row r="202">
      <c r="A202" t="inlineStr">
        <is>
          <t>01613940000119_2026_45</t>
        </is>
      </c>
      <c r="B202" s="2" t="inlineStr">
        <is>
          <t>https://pncp.gov.br/app/editais/01613940000119/2026/45</t>
        </is>
      </c>
      <c r="C202" t="inlineStr">
        <is>
          <t>2026-09-27T14:33:22.612769+00:00</t>
        </is>
      </c>
      <c r="D202" t="inlineStr">
        <is>
          <t>GO</t>
        </is>
      </c>
      <c r="E202" t="inlineStr">
        <is>
          <t>GO</t>
        </is>
      </c>
      <c r="F202" t="inlineStr">
        <is>
          <t>Abadia de Goiás</t>
        </is>
      </c>
      <c r="G202" t="inlineStr">
        <is>
          <t>MUNICIPIO DE ABADIA DE GOIAS</t>
        </is>
      </c>
      <c r="H202" t="inlineStr">
        <is>
          <t>Municipal</t>
        </is>
      </c>
      <c r="I202" t="inlineStr">
        <is>
          <t>2026-02-24T22:34:06</t>
        </is>
      </c>
      <c r="J202" t="inlineStr">
        <is>
          <t>Pregão - Eletrônico</t>
        </is>
      </c>
      <c r="K202" t="inlineStr">
        <is>
          <t>Contratação de empresa especializada para a prestação de serviços de locação de veículos, incluindo motorista, destinados a compor o quadro logístico do Município de Abadia de Goiás/GO .</t>
        </is>
      </c>
      <c r="L202" t="b">
        <v>1</v>
      </c>
      <c r="M202" t="inlineStr">
        <is>
          <t>eletrica_predial</t>
        </is>
      </c>
      <c r="N202" t="inlineStr">
        <is>
          <t>eletrica_predial</t>
        </is>
      </c>
      <c r="O202" t="n">
        <v>509871.24</v>
      </c>
      <c r="P202" t="n">
        <v>304800</v>
      </c>
      <c r="Q202" t="n">
        <v>509871.24</v>
      </c>
      <c r="R202" t="n">
        <v>0.4022020147674931</v>
      </c>
      <c r="S202" t="n">
        <v>0</v>
      </c>
      <c r="T202" t="n">
        <v>2</v>
      </c>
      <c r="U202" t="n">
        <v>2</v>
      </c>
      <c r="V202" t="n">
        <v>2</v>
      </c>
      <c r="W202" t="n">
        <v>0</v>
      </c>
      <c r="X202" t="n">
        <v>0</v>
      </c>
      <c r="Y202" t="n">
        <v>0</v>
      </c>
      <c r="Z202" t="n">
        <v>0</v>
      </c>
      <c r="AA202" t="n">
        <v>0</v>
      </c>
      <c r="AB202" t="n">
        <v>0</v>
      </c>
      <c r="AC202" t="n">
        <v>0</v>
      </c>
      <c r="AD202" t="n">
        <v>0</v>
      </c>
      <c r="AE202" t="n">
        <v>1</v>
      </c>
      <c r="AF202" t="inlineStr">
        <is>
          <t>L B DE OLIVEIRA SERVICOS DE LOCACOES:ME</t>
        </is>
      </c>
      <c r="AH202" t="inlineStr">
        <is>
          <t>continuado</t>
        </is>
      </c>
      <c r="AI202" t="n">
        <v>12</v>
      </c>
      <c r="AJ202" t="n">
        <v>0</v>
      </c>
      <c r="AK202" t="n">
        <v>0</v>
      </c>
      <c r="AL202" t="n">
        <v>0</v>
      </c>
      <c r="AM202" t="n">
        <v>0</v>
      </c>
      <c r="AN202" t="n">
        <v>0</v>
      </c>
      <c r="AQ202" t="n">
        <v>0</v>
      </c>
      <c r="AR202" t="inlineStr">
        <is>
          <t>mencao_passagem</t>
        </is>
      </c>
      <c r="AS202" t="inlineStr">
        <is>
          <t>Confirmada exclusao automatica (mencao_passagem): contratacao de empresa especializada para a prestacao de servicos de locacao de veiculos, incluindo motorista, destinados a compor o quadro logistico do municipio de abadia de goia</t>
        </is>
      </c>
      <c r="AT202" t="n">
        <v>0</v>
      </c>
      <c r="AU202" t="n">
        <v>0</v>
      </c>
    </row>
    <row r="203">
      <c r="A203" t="inlineStr">
        <is>
          <t>01614225000109_2026_129</t>
        </is>
      </c>
      <c r="B203" s="2" t="inlineStr">
        <is>
          <t>https://pncp.gov.br/app/editais/01614225000109/2026/129</t>
        </is>
      </c>
      <c r="C203" t="inlineStr">
        <is>
          <t>2026-09-27T05:14:44.250278+00:00</t>
        </is>
      </c>
      <c r="D203" t="inlineStr">
        <is>
          <t>MT</t>
        </is>
      </c>
      <c r="E203" t="inlineStr">
        <is>
          <t>vizinhos</t>
        </is>
      </c>
      <c r="F203" t="inlineStr">
        <is>
          <t>Sapezal</t>
        </is>
      </c>
      <c r="G203" t="inlineStr">
        <is>
          <t>MUNICIPIO DE SAPEZAL</t>
        </is>
      </c>
      <c r="H203" t="inlineStr">
        <is>
          <t>Municipal</t>
        </is>
      </c>
      <c r="I203" t="inlineStr">
        <is>
          <t>2026-05-26T10:21:01</t>
        </is>
      </c>
      <c r="J203" t="inlineStr">
        <is>
          <t>Pregão - Presencial</t>
        </is>
      </c>
      <c r="K203" t="inlineStr">
        <is>
          <t>FUTURA E EVENTUAL CONTRATAÇÃO DE EMPRESA ESPECIALIZADA EM PRESTAÇÃO DE SERVIÇO COM CAMINHÃO PIPA, ESCAVADEIRA HIDRAÚLICA, CAMINHÃO MUNCK E CAVALO MECÂNICO COM MOTORISTA E AJUDANTE, em atendimento as secretarias do município de Sapezal-MT.</t>
        </is>
      </c>
      <c r="L203" t="b">
        <v>1</v>
      </c>
      <c r="M203" t="inlineStr">
        <is>
          <t>munck</t>
        </is>
      </c>
      <c r="N203" t="inlineStr">
        <is>
          <t>munck</t>
        </is>
      </c>
      <c r="O203" t="n">
        <v>3150988.99</v>
      </c>
      <c r="P203" t="n">
        <v>3016160</v>
      </c>
      <c r="Q203" t="n">
        <v>3017986.99</v>
      </c>
      <c r="R203" t="n">
        <v>0.0006053670894055025</v>
      </c>
      <c r="S203" t="n">
        <v>0</v>
      </c>
      <c r="T203" t="n">
        <v>7</v>
      </c>
      <c r="U203" t="n">
        <v>5</v>
      </c>
      <c r="V203" t="n">
        <v>5</v>
      </c>
      <c r="W203" t="n">
        <v>0</v>
      </c>
      <c r="X203" t="n">
        <v>0</v>
      </c>
      <c r="Y203" t="n">
        <v>0</v>
      </c>
      <c r="Z203" t="n">
        <v>0</v>
      </c>
      <c r="AA203" t="n">
        <v>0</v>
      </c>
      <c r="AB203" t="n">
        <v>0</v>
      </c>
      <c r="AC203" t="n">
        <v>0</v>
      </c>
      <c r="AD203" t="n">
        <v>0</v>
      </c>
      <c r="AE203" t="n">
        <v>4</v>
      </c>
      <c r="AF203" t="inlineStr">
        <is>
          <t>JK BORRACHARIA LTDA:EPP; C D CANTEIRO TRANSPORTES:EPP; LUIDI CAPRINI CAMPOS LTDA:ME; MACHADO LOCADORA DE VEICULOS LTDA:Demais</t>
        </is>
      </c>
      <c r="AH203" t="inlineStr">
        <is>
          <t>continuado</t>
        </is>
      </c>
      <c r="AJ203" t="n">
        <v>0</v>
      </c>
      <c r="AK203" t="n">
        <v>0</v>
      </c>
      <c r="AL203" t="n">
        <v>0</v>
      </c>
      <c r="AM203" t="n">
        <v>0</v>
      </c>
      <c r="AN203" t="n">
        <v>0</v>
      </c>
      <c r="AQ203" t="n">
        <v>0</v>
      </c>
      <c r="AS203" t="inlineStr">
        <is>
          <t>Frota mista (pipa, escavadeira, cavalo mecânico), mas 2 itens são especificamente munck (locação por hora + deslocamento por km); ambos os itens de munck ficaram SEM vencedor (desertos), enquanto os demais itens da frota foram homologados -- sinal de dificuldade de oferta específica para munck neste edital.</t>
        </is>
      </c>
      <c r="AT203" t="n">
        <v>0</v>
      </c>
      <c r="AU203" t="n">
        <v>1</v>
      </c>
    </row>
    <row r="204">
      <c r="A204" t="inlineStr">
        <is>
          <t>01614225000109_2026_171</t>
        </is>
      </c>
      <c r="B204" s="2" t="inlineStr">
        <is>
          <t>https://pncp.gov.br/app/editais/01614225000109/2026/171</t>
        </is>
      </c>
      <c r="C204" t="inlineStr">
        <is>
          <t>2026-09-27T05:13:56.092484+00:00</t>
        </is>
      </c>
      <c r="D204" t="inlineStr">
        <is>
          <t>MT</t>
        </is>
      </c>
      <c r="E204" t="inlineStr">
        <is>
          <t>vizinhos</t>
        </is>
      </c>
      <c r="F204" t="inlineStr">
        <is>
          <t>Sapezal</t>
        </is>
      </c>
      <c r="G204" t="inlineStr">
        <is>
          <t>MUNICIPIO DE SAPEZAL</t>
        </is>
      </c>
      <c r="H204" t="inlineStr">
        <is>
          <t>Municipal</t>
        </is>
      </c>
      <c r="I204" t="inlineStr">
        <is>
          <t>2026-06-25T15:50:55</t>
        </is>
      </c>
      <c r="J204" t="inlineStr">
        <is>
          <t>Pregão - Presencial</t>
        </is>
      </c>
      <c r="K204" t="inlineStr">
        <is>
          <t>FUTURA E EVENTUAL CONTRATAÇÃO DE EMPRESA ESPECIALIZADA EM PRESTAÇÃO EM SERVIÇO DE CAMINHÃO MUNCK, em atendimento as secretárias do município de Sapezal-MT.</t>
        </is>
      </c>
      <c r="L204" t="b">
        <v>1</v>
      </c>
      <c r="M204" t="inlineStr">
        <is>
          <t>munck</t>
        </is>
      </c>
      <c r="N204" t="inlineStr">
        <is>
          <t>munck</t>
        </is>
      </c>
      <c r="O204" t="n">
        <v>133002</v>
      </c>
      <c r="P204" t="n">
        <v>118700</v>
      </c>
      <c r="Q204" t="n">
        <v>133002</v>
      </c>
      <c r="R204" t="n">
        <v>0.1075322175606382</v>
      </c>
      <c r="S204" t="n">
        <v>0</v>
      </c>
      <c r="T204" t="n">
        <v>2</v>
      </c>
      <c r="U204" t="n">
        <v>2</v>
      </c>
      <c r="V204" t="n">
        <v>2</v>
      </c>
      <c r="W204" t="n">
        <v>0</v>
      </c>
      <c r="X204" t="n">
        <v>0</v>
      </c>
      <c r="Y204" t="n">
        <v>0</v>
      </c>
      <c r="Z204" t="n">
        <v>0</v>
      </c>
      <c r="AA204" t="n">
        <v>0</v>
      </c>
      <c r="AB204" t="n">
        <v>0</v>
      </c>
      <c r="AC204" t="n">
        <v>0</v>
      </c>
      <c r="AD204" t="n">
        <v>0</v>
      </c>
      <c r="AE204" t="n">
        <v>2</v>
      </c>
      <c r="AF204" t="inlineStr">
        <is>
          <t>TOSSIEMENS COMERCIO E SERVICOS ELETRICOS LTDA:Demais; LISABETE GIRO:Demais</t>
        </is>
      </c>
      <c r="AH204" t="inlineStr">
        <is>
          <t>pontual</t>
        </is>
      </c>
      <c r="AJ204" t="n">
        <v>0</v>
      </c>
      <c r="AK204" t="n">
        <v>0</v>
      </c>
      <c r="AL204" t="n">
        <v>0</v>
      </c>
      <c r="AM204" t="n">
        <v>0</v>
      </c>
      <c r="AN204" t="n">
        <v>0</v>
      </c>
      <c r="AQ204" t="n">
        <v>0</v>
      </c>
      <c r="AS204" t="inlineStr">
        <is>
          <t>Contratação exclusiva de caminhão munck com cesto isolado, por hora, e deslocamento por km -- núcleo do escopo.</t>
        </is>
      </c>
      <c r="AT204" t="n">
        <v>0</v>
      </c>
      <c r="AU204" t="n">
        <v>1</v>
      </c>
    </row>
    <row r="205">
      <c r="A205" t="inlineStr">
        <is>
          <t>01614225000109_2026_197</t>
        </is>
      </c>
      <c r="B205" s="2" t="inlineStr">
        <is>
          <t>https://pncp.gov.br/app/editais/01614225000109/2026/197</t>
        </is>
      </c>
      <c r="C205" t="inlineStr">
        <is>
          <t>2026-09-27T05:00:37.442209+00:00</t>
        </is>
      </c>
      <c r="D205" t="inlineStr">
        <is>
          <t>MT</t>
        </is>
      </c>
      <c r="E205" t="inlineStr">
        <is>
          <t>vizinhos</t>
        </is>
      </c>
      <c r="F205" t="inlineStr">
        <is>
          <t>Sapezal</t>
        </is>
      </c>
      <c r="G205" t="inlineStr">
        <is>
          <t>MUNICIPIO DE SAPEZAL</t>
        </is>
      </c>
      <c r="H205" t="inlineStr">
        <is>
          <t>Municipal</t>
        </is>
      </c>
      <c r="I205" t="inlineStr">
        <is>
          <t>2026-07-16T09:17:59</t>
        </is>
      </c>
      <c r="J205" t="inlineStr">
        <is>
          <t>Pregão - Eletrônico</t>
        </is>
      </c>
      <c r="K205" t="inlineStr">
        <is>
          <t>[LICITANET] - FUTURA E EVENTUAL AQUISIÇÃO DE AR-CONDICIONADO, CLIMATIZADOR E BEBEDOUROS, em atendimento as secretarias do município de Sapezal-MT, conforme especificações do Anexo I - Termo de Referência deste Edital.</t>
        </is>
      </c>
      <c r="L205" t="b">
        <v>1</v>
      </c>
      <c r="M205" t="inlineStr">
        <is>
          <t>climatizacao</t>
        </is>
      </c>
      <c r="N205" t="inlineStr">
        <is>
          <t>climatizacao</t>
        </is>
      </c>
      <c r="O205" t="n">
        <v>1877850.3</v>
      </c>
      <c r="P205" t="n">
        <v>1324744.94</v>
      </c>
      <c r="Q205" t="n">
        <v>1682920.95</v>
      </c>
      <c r="R205" t="n">
        <v>0.2128299668501958</v>
      </c>
      <c r="S205" t="n">
        <v>0</v>
      </c>
      <c r="T205" t="n">
        <v>40</v>
      </c>
      <c r="U205" t="n">
        <v>16</v>
      </c>
      <c r="V205" t="n">
        <v>16</v>
      </c>
      <c r="W205" t="n">
        <v>0</v>
      </c>
      <c r="X205" t="n">
        <v>2</v>
      </c>
      <c r="Y205" t="n">
        <v>20</v>
      </c>
      <c r="Z205" t="n">
        <v>1</v>
      </c>
      <c r="AA205" t="n">
        <v>0</v>
      </c>
      <c r="AB205" t="n">
        <v>1</v>
      </c>
      <c r="AC205" t="n">
        <v>0</v>
      </c>
      <c r="AD205" t="n">
        <v>1</v>
      </c>
      <c r="AE205" t="n">
        <v>3</v>
      </c>
      <c r="AF205" t="inlineStr">
        <is>
          <t>OLMIR IORIS E CIA LTDA:EPP; FRIOVIX COMERCIO DE REFRIGERACAO LTDA:Demais; B2W INFORMATICA LTDA:EPP</t>
        </is>
      </c>
      <c r="AH205" t="inlineStr">
        <is>
          <t>pontual</t>
        </is>
      </c>
      <c r="AJ205" t="n">
        <v>0</v>
      </c>
      <c r="AK205" t="n">
        <v>0</v>
      </c>
      <c r="AL205" t="n">
        <v>0</v>
      </c>
      <c r="AM205" t="n">
        <v>0</v>
      </c>
      <c r="AN205" t="n">
        <v>0</v>
      </c>
      <c r="AQ205" t="n">
        <v>1</v>
      </c>
      <c r="AR205" t="inlineStr">
        <is>
          <t>fornecimento_puro</t>
        </is>
      </c>
      <c r="AS205" t="inlineStr">
        <is>
          <t>heuristica automatica confirmada (fornecimento_puro): 40 item(ns), todos classificados como material (sem servico).</t>
        </is>
      </c>
      <c r="AT205" t="n">
        <v>0</v>
      </c>
      <c r="AU205" t="n">
        <v>0</v>
      </c>
    </row>
    <row r="206">
      <c r="A206" t="inlineStr">
        <is>
          <t>01614225000109_2026_201</t>
        </is>
      </c>
      <c r="B206" s="2" t="inlineStr">
        <is>
          <t>https://pncp.gov.br/app/editais/01614225000109/2026/201</t>
        </is>
      </c>
      <c r="C206" t="inlineStr">
        <is>
          <t>2026-09-27T05:00:18.646115+00:00</t>
        </is>
      </c>
      <c r="D206" t="inlineStr">
        <is>
          <t>MT</t>
        </is>
      </c>
      <c r="E206" t="inlineStr">
        <is>
          <t>vizinhos</t>
        </is>
      </c>
      <c r="F206" t="inlineStr">
        <is>
          <t>Sapezal</t>
        </is>
      </c>
      <c r="G206" t="inlineStr">
        <is>
          <t>MUNICIPIO DE SAPEZAL</t>
        </is>
      </c>
      <c r="H206" t="inlineStr">
        <is>
          <t>Municipal</t>
        </is>
      </c>
      <c r="I206" t="inlineStr">
        <is>
          <t>2026-07-20T09:08:27</t>
        </is>
      </c>
      <c r="J206" t="inlineStr">
        <is>
          <t>Pregão - Eletrônico</t>
        </is>
      </c>
      <c r="K206" t="inlineStr">
        <is>
          <t>FUTURA E EVENTUAL AQUISIÇÃO DE AR-CONDICIONADO, CLIMATIZADOR E BEBEDOUROS, em atendimento as secretarias do município de Sapezal-MT.</t>
        </is>
      </c>
      <c r="L206" t="b">
        <v>1</v>
      </c>
      <c r="M206" t="inlineStr">
        <is>
          <t>climatizacao</t>
        </is>
      </c>
      <c r="N206" t="inlineStr">
        <is>
          <t>climatizacao</t>
        </is>
      </c>
      <c r="O206" t="n">
        <v>3257193.24</v>
      </c>
      <c r="P206" t="n">
        <v>1324744.94</v>
      </c>
      <c r="Q206" t="n">
        <v>3062263.89</v>
      </c>
      <c r="R206" t="n">
        <v>0.2023423036869628</v>
      </c>
      <c r="S206" t="n">
        <v>0</v>
      </c>
      <c r="T206" t="n">
        <v>20</v>
      </c>
      <c r="U206" t="n">
        <v>16</v>
      </c>
      <c r="V206" t="n">
        <v>16</v>
      </c>
      <c r="W206" t="n">
        <v>0</v>
      </c>
      <c r="X206" t="n">
        <v>0</v>
      </c>
      <c r="Y206" t="n">
        <v>0</v>
      </c>
      <c r="Z206" t="n">
        <v>0</v>
      </c>
      <c r="AA206" t="n">
        <v>0</v>
      </c>
      <c r="AB206" t="n">
        <v>0</v>
      </c>
      <c r="AC206" t="n">
        <v>1</v>
      </c>
      <c r="AD206" t="n">
        <v>0</v>
      </c>
      <c r="AE206" t="n">
        <v>15</v>
      </c>
      <c r="AF206" t="inlineStr">
        <is>
          <t>OLMIR IORIS &amp; CIA LTDA:EPP; STILUS MAQUINAS E EQUIPAMENTOS PARA ESCRITORIO LTDA:EPP; GO VENDAS ELETRONICAS LTDA:Demais; REFINAR EMPRESARIAL ASSESSORIA EM CONTROLES ADMINISTRATIVOS LTDA:ME; 66.507.250 MARCELINO BATISTA COSTA:Demais; FELIPE ALTAMIRO ESPINDOLA:ME; FRIOVIX COMERCIO DE REFRIGERACAO LTDA:Demais; DENTECK LTDA:Demais; ATENA COMERCIAL LTDA:Demais; LICITAINFO LTDA:ME; CH3 ELETRO E ELETRONICOS LTDA:EPP; B2W INFORMATICA LTDA:Demais; R L ELETRO COMERCIO DE ELETRODOMESTICO LTDA:Demais; DM SERVICOS DE CLIMATIZACAO E AQUECIMENTO LTDA:Demais; DIRCEU LONGO &amp; CIA LTDA:EPP</t>
        </is>
      </c>
      <c r="AH206" t="inlineStr">
        <is>
          <t>pontual</t>
        </is>
      </c>
      <c r="AJ206" t="n">
        <v>0</v>
      </c>
      <c r="AK206" t="n">
        <v>0</v>
      </c>
      <c r="AL206" t="n">
        <v>0</v>
      </c>
      <c r="AM206" t="n">
        <v>0</v>
      </c>
      <c r="AN206" t="n">
        <v>0</v>
      </c>
      <c r="AQ206" t="n">
        <v>1</v>
      </c>
      <c r="AR206" t="inlineStr">
        <is>
          <t>fornecimento_puro</t>
        </is>
      </c>
      <c r="AS206" t="inlineStr">
        <is>
          <t>heuristica automatica confirmada (fornecimento_puro): 20 item(ns), todos classificados como material (sem servico).</t>
        </is>
      </c>
      <c r="AT206" t="n">
        <v>0</v>
      </c>
      <c r="AU206" t="n">
        <v>0</v>
      </c>
    </row>
    <row r="207">
      <c r="A207" t="inlineStr">
        <is>
          <t>01614225000109_2026_225</t>
        </is>
      </c>
      <c r="B207" s="2" t="inlineStr">
        <is>
          <t>https://pncp.gov.br/app/editais/01614225000109/2026/225</t>
        </is>
      </c>
      <c r="C207" t="inlineStr">
        <is>
          <t>2026-09-27T05:12:26.697051+00:00</t>
        </is>
      </c>
      <c r="D207" t="inlineStr">
        <is>
          <t>MT</t>
        </is>
      </c>
      <c r="E207" t="inlineStr">
        <is>
          <t>vizinhos</t>
        </is>
      </c>
      <c r="F207" t="inlineStr">
        <is>
          <t>Sapezal</t>
        </is>
      </c>
      <c r="G207" t="inlineStr">
        <is>
          <t>MUNICIPIO DE SAPEZAL</t>
        </is>
      </c>
      <c r="H207" t="inlineStr">
        <is>
          <t>Municipal</t>
        </is>
      </c>
      <c r="I207" t="inlineStr">
        <is>
          <t>2026-08-07T10:49:18</t>
        </is>
      </c>
      <c r="J207" t="inlineStr">
        <is>
          <t>Pregão - Eletrônico</t>
        </is>
      </c>
      <c r="K207" t="inlineStr">
        <is>
          <t>[LICITANET] - FUTURA E EVENTUAL CONTRATAÇÃO DE EMPRESA ESPECIALIZADA NA PRESTAÇÃO DE SERVIÇOS DE SONORIZAÇÃO E ILUMINAÇÃO, BEM COMO NA LOCAÇÃO DE ESTRUTURA DE PALCO, CAMARINS E DEMAIS ITENS NECESSÁRIOS PARA A REALIZAÇÃO DE EVENTOS II, em atendimento às secretarias do município de Sapezal-MT, conforme especificações do Anexo I - Termo de Referência deste Edital.</t>
        </is>
      </c>
      <c r="L207" t="b">
        <v>1</v>
      </c>
      <c r="M207" t="inlineStr">
        <is>
          <t>iluminacao_publica</t>
        </is>
      </c>
      <c r="N207" t="inlineStr">
        <is>
          <t>iluminacao_publica</t>
        </is>
      </c>
      <c r="O207" t="n">
        <v>1777502.36</v>
      </c>
      <c r="P207" t="n">
        <v>1192787.92</v>
      </c>
      <c r="Q207" t="n">
        <v>1777502.36</v>
      </c>
      <c r="R207" t="n">
        <v>0.3289528346955331</v>
      </c>
      <c r="S207" t="n">
        <v>0</v>
      </c>
      <c r="T207" t="n">
        <v>15</v>
      </c>
      <c r="U207" t="n">
        <v>15</v>
      </c>
      <c r="V207" t="n">
        <v>15</v>
      </c>
      <c r="W207" t="n">
        <v>0</v>
      </c>
      <c r="X207" t="n">
        <v>0</v>
      </c>
      <c r="Y207" t="n">
        <v>0</v>
      </c>
      <c r="Z207" t="n">
        <v>0</v>
      </c>
      <c r="AA207" t="n">
        <v>0</v>
      </c>
      <c r="AB207" t="n">
        <v>0</v>
      </c>
      <c r="AC207" t="n">
        <v>0</v>
      </c>
      <c r="AD207" t="n">
        <v>1</v>
      </c>
      <c r="AE207" t="n">
        <v>3</v>
      </c>
      <c r="AF207" t="inlineStr">
        <is>
          <t>C.A.LEAL &amp; CIA LTDA ME:ME; EDI HENRIQUE DE FRANCA PEREIRA LTDA:EPP; JULYANA NATALLY TORQUATO LTDA:ME</t>
        </is>
      </c>
      <c r="AH207" t="inlineStr">
        <is>
          <t>pontual</t>
        </is>
      </c>
      <c r="AJ207" t="n">
        <v>0</v>
      </c>
      <c r="AK207" t="n">
        <v>0</v>
      </c>
      <c r="AL207" t="n">
        <v>0</v>
      </c>
      <c r="AM207" t="n">
        <v>0</v>
      </c>
      <c r="AN207" t="n">
        <v>0</v>
      </c>
      <c r="AQ207" t="n">
        <v>0</v>
      </c>
      <c r="AR207" t="inlineStr">
        <is>
          <t>mencao_passagem</t>
        </is>
      </c>
      <c r="AS207" t="inlineStr">
        <is>
          <t>Locação de sonorização/iluminação/estrutura de palco/camarins para eventos; não é manutenção de IP.</t>
        </is>
      </c>
      <c r="AT207" t="n">
        <v>0</v>
      </c>
      <c r="AU207" t="n">
        <v>0</v>
      </c>
    </row>
    <row r="208">
      <c r="A208" t="inlineStr">
        <is>
          <t>01614225000109_2026_228</t>
        </is>
      </c>
      <c r="B208" s="2" t="inlineStr">
        <is>
          <t>https://pncp.gov.br/app/editais/01614225000109/2026/228</t>
        </is>
      </c>
      <c r="C208" t="inlineStr">
        <is>
          <t>2026-09-27T05:12:08.392421+00:00</t>
        </is>
      </c>
      <c r="D208" t="inlineStr">
        <is>
          <t>MT</t>
        </is>
      </c>
      <c r="E208" t="inlineStr">
        <is>
          <t>vizinhos</t>
        </is>
      </c>
      <c r="F208" t="inlineStr">
        <is>
          <t>Sapezal</t>
        </is>
      </c>
      <c r="G208" t="inlineStr">
        <is>
          <t>MUNICIPIO DE SAPEZAL</t>
        </is>
      </c>
      <c r="H208" t="inlineStr">
        <is>
          <t>Municipal</t>
        </is>
      </c>
      <c r="I208" t="inlineStr">
        <is>
          <t>2026-08-11T10:24:46</t>
        </is>
      </c>
      <c r="J208" t="inlineStr">
        <is>
          <t>Pregão - Eletrônico</t>
        </is>
      </c>
      <c r="K208" t="inlineStr">
        <is>
          <t>FUTURA E EVENTUAL CONTRATAÇÃO DE EMPRESA ESPECIALIZADA NA PRESTAÇÃO DE SERVIÇOS DE SONORIZAÇÃO E ILUMINAÇÃO, BEM COMO NA LOCAÇÃO DE ESTRUTURA DE PALCO, CAMARINS E DEMAIS ITENS NECESSÁRIOS PARA A REALIZAÇÃO DE EVENTOS II, em atendimento às secretarias do município de Sapezal-MT.</t>
        </is>
      </c>
      <c r="L208" t="b">
        <v>1</v>
      </c>
      <c r="M208" t="inlineStr">
        <is>
          <t>iluminacao_publica</t>
        </is>
      </c>
      <c r="N208" t="inlineStr">
        <is>
          <t>iluminacao_publica</t>
        </is>
      </c>
      <c r="O208" t="n">
        <v>1777502.36</v>
      </c>
      <c r="P208" t="n">
        <v>1192787.92</v>
      </c>
      <c r="Q208" t="n">
        <v>1777502.36</v>
      </c>
      <c r="R208" t="n">
        <v>0.3289528346955331</v>
      </c>
      <c r="S208" t="n">
        <v>0</v>
      </c>
      <c r="T208" t="n">
        <v>15</v>
      </c>
      <c r="U208" t="n">
        <v>15</v>
      </c>
      <c r="V208" t="n">
        <v>15</v>
      </c>
      <c r="W208" t="n">
        <v>0</v>
      </c>
      <c r="X208" t="n">
        <v>0</v>
      </c>
      <c r="Y208" t="n">
        <v>0</v>
      </c>
      <c r="Z208" t="n">
        <v>0</v>
      </c>
      <c r="AA208" t="n">
        <v>0</v>
      </c>
      <c r="AB208" t="n">
        <v>0</v>
      </c>
      <c r="AC208" t="n">
        <v>0</v>
      </c>
      <c r="AD208" t="n">
        <v>0</v>
      </c>
      <c r="AE208" t="n">
        <v>8</v>
      </c>
      <c r="AF208" t="inlineStr">
        <is>
          <t>C. A. LEAL &amp; CIA LTDA:Demais; EVENTUAL LIVE MARKETING DIRETO EIRELI:Demais; JULYANA NATALLY TORQUATO LTDA:Demais; L R PIAZZA LTDA:Demais; ESTYLUS EVENTOS E LOCACAO DE ESTRUTURAS,SOM E LUZ LTDA:Demais; EDI HENRIQUE DE FRANCA PEREIRA LTDA:Demais; ELEVA COMERCIO E SERVICO DE MATERIAIS ELETRICOS LTDA:Demais; ENERGE ENERGIA E EVENTOS LTDA:Demais</t>
        </is>
      </c>
      <c r="AH208" t="inlineStr">
        <is>
          <t>pontual</t>
        </is>
      </c>
      <c r="AJ208" t="n">
        <v>0</v>
      </c>
      <c r="AK208" t="n">
        <v>0</v>
      </c>
      <c r="AL208" t="n">
        <v>0</v>
      </c>
      <c r="AM208" t="n">
        <v>0</v>
      </c>
      <c r="AN208" t="n">
        <v>0</v>
      </c>
      <c r="AQ208" t="n">
        <v>0</v>
      </c>
      <c r="AR208" t="inlineStr">
        <is>
          <t>mencao_passagem</t>
        </is>
      </c>
      <c r="AS208" t="inlineStr">
        <is>
          <t>Mesmo objeto do caso 225 (evento); não é manutenção de IP.</t>
        </is>
      </c>
      <c r="AT208" t="n">
        <v>0</v>
      </c>
      <c r="AU208" t="n">
        <v>0</v>
      </c>
    </row>
    <row r="209">
      <c r="A209" t="inlineStr">
        <is>
          <t>01614517000133_2026_68</t>
        </is>
      </c>
      <c r="B209" s="2" t="inlineStr">
        <is>
          <t>https://pncp.gov.br/app/editais/01614517000133/2026/68</t>
        </is>
      </c>
      <c r="C209" t="inlineStr">
        <is>
          <t>2026-09-27T05:10:57.446902+00:00</t>
        </is>
      </c>
      <c r="D209" t="inlineStr">
        <is>
          <t>MT</t>
        </is>
      </c>
      <c r="E209" t="inlineStr">
        <is>
          <t>vizinhos</t>
        </is>
      </c>
      <c r="F209" t="inlineStr">
        <is>
          <t>Novo Mundo</t>
        </is>
      </c>
      <c r="G209" t="inlineStr">
        <is>
          <t>MUNICIPIO DE NOVO MUNDO</t>
        </is>
      </c>
      <c r="H209" t="inlineStr">
        <is>
          <t>Municipal</t>
        </is>
      </c>
      <c r="I209" t="inlineStr">
        <is>
          <t>2026-09-18T08:36:02</t>
        </is>
      </c>
      <c r="J209" t="inlineStr">
        <is>
          <t>Concorrência - Eletrônica</t>
        </is>
      </c>
      <c r="K209" t="inlineStr">
        <is>
          <t>CONTRATAÇÃO DE EMPRESA DE ENGENHARIA ESPECIALIZADA PARA EXECUÇÃO DE OBRA DE ILUMINAÇÃO PÚBLICA DA AVENIDA AYRTON SENNA, NO MUNICÍPIO DE NOVO MUNDO – MT, SOB O REGIME DE EMPREITADA POR PREÇO GLOBAL, COM FORNECIMENTO DE MÃO DE OBRA, MATERIAIS, EQUIPAMENTOS, FERRAMENTAS E DEMAIS INSUMOS NECESSÁRIOS À COMPLETA EXECUÇÃO DOS SERVIÇOS, EM CONFORMIDADE COM OS PROJETOS, MEMORIAIS DESCRITIVOS, PLANILHAS ORÇAMENTÁRIAS, CRONOGRAMA FÍSICO-FINANCEIRO E DEMAIS DOCUMENTOS TÉCNICOS INTEGRANTES DO EDITAL E SEUS ANEXOS</t>
        </is>
      </c>
      <c r="L209" t="b">
        <v>0</v>
      </c>
      <c r="M209" t="inlineStr">
        <is>
          <t>iluminacao_publica</t>
        </is>
      </c>
      <c r="N209" t="inlineStr">
        <is>
          <t>iluminacao_publica</t>
        </is>
      </c>
      <c r="O209" t="n">
        <v>1123961.06</v>
      </c>
      <c r="P209" t="n">
        <v>948623.13</v>
      </c>
      <c r="Q209" t="n">
        <v>1123961.06</v>
      </c>
      <c r="R209" t="n">
        <v>0.156000004128257</v>
      </c>
      <c r="S209" t="n">
        <v>0</v>
      </c>
      <c r="T209" t="n">
        <v>1</v>
      </c>
      <c r="U209" t="n">
        <v>1</v>
      </c>
      <c r="V209" t="n">
        <v>1</v>
      </c>
      <c r="W209" t="n">
        <v>0</v>
      </c>
      <c r="X209" t="n">
        <v>0</v>
      </c>
      <c r="Y209" t="n">
        <v>0</v>
      </c>
      <c r="Z209" t="n">
        <v>0</v>
      </c>
      <c r="AA209" t="n">
        <v>0</v>
      </c>
      <c r="AB209" t="n">
        <v>0</v>
      </c>
      <c r="AC209" t="n">
        <v>0</v>
      </c>
      <c r="AD209" t="n">
        <v>0</v>
      </c>
      <c r="AE209" t="n">
        <v>1</v>
      </c>
      <c r="AF209" t="inlineStr">
        <is>
          <t>AS RODRIGUES ENGENHARIA E CONSTRUCOES LTDA:EPP</t>
        </is>
      </c>
      <c r="AH209" t="inlineStr">
        <is>
          <t>pontual</t>
        </is>
      </c>
      <c r="AJ209" t="n">
        <v>0</v>
      </c>
      <c r="AK209" t="n">
        <v>0</v>
      </c>
      <c r="AL209" t="n">
        <v>0</v>
      </c>
      <c r="AM209" t="n">
        <v>0</v>
      </c>
      <c r="AN209" t="n">
        <v>0</v>
      </c>
      <c r="AQ209" t="n">
        <v>0</v>
      </c>
      <c r="AS209" t="inlineStr">
        <is>
          <t>Nenhum dos 4 critérios de exclusão se aplica; objeto compatível com manutenção/pequena extensão de IP.</t>
        </is>
      </c>
      <c r="AT209" t="n">
        <v>0</v>
      </c>
      <c r="AU209" t="n">
        <v>1</v>
      </c>
    </row>
    <row r="210">
      <c r="A210" t="inlineStr">
        <is>
          <t>01614862000177_2026_62</t>
        </is>
      </c>
      <c r="B210" s="2" t="inlineStr">
        <is>
          <t>https://pncp.gov.br/app/editais/01614862000177/2026/62</t>
        </is>
      </c>
      <c r="C210" t="inlineStr">
        <is>
          <t>2026-09-27T05:44:15.237056+00:00</t>
        </is>
      </c>
      <c r="D210" t="inlineStr">
        <is>
          <t>MG</t>
        </is>
      </c>
      <c r="E210" t="inlineStr">
        <is>
          <t>vizinhos</t>
        </is>
      </c>
      <c r="F210" t="inlineStr">
        <is>
          <t>Córrego Fundo</t>
        </is>
      </c>
      <c r="G210" t="inlineStr">
        <is>
          <t>MUNICIPIO DE CORREGO FUNDO</t>
        </is>
      </c>
      <c r="H210" t="inlineStr">
        <is>
          <t>Municipal</t>
        </is>
      </c>
      <c r="I210" t="inlineStr">
        <is>
          <t>2026-08-13T13:20:27</t>
        </is>
      </c>
      <c r="J210" t="inlineStr">
        <is>
          <t>Pregão - Eletrônico</t>
        </is>
      </c>
      <c r="K210" t="inlineStr">
        <is>
          <t>[LICITANET] - Registro de preços para futura e eventual contratação de empresa especializada em prestação de serviços de instalação, manutenção preventiva e corretiva em equipamentos de ar condicionado, para atender as necessidades das secretarias municipais de Córrego Fundo/MG.</t>
        </is>
      </c>
      <c r="L210" t="b">
        <v>1</v>
      </c>
      <c r="M210" t="inlineStr">
        <is>
          <t>climatizacao</t>
        </is>
      </c>
      <c r="N210" t="inlineStr">
        <is>
          <t>climatizacao</t>
        </is>
      </c>
      <c r="O210" t="n">
        <v>82540.48</v>
      </c>
      <c r="P210" t="n">
        <v>62563</v>
      </c>
      <c r="Q210" t="n">
        <v>82540.48</v>
      </c>
      <c r="R210" t="n">
        <v>0.2420325154396969</v>
      </c>
      <c r="S210" t="n">
        <v>0</v>
      </c>
      <c r="T210" t="n">
        <v>3</v>
      </c>
      <c r="U210" t="n">
        <v>3</v>
      </c>
      <c r="V210" t="n">
        <v>3</v>
      </c>
      <c r="W210" t="n">
        <v>0</v>
      </c>
      <c r="X210" t="n">
        <v>0</v>
      </c>
      <c r="Y210" t="n">
        <v>0</v>
      </c>
      <c r="Z210" t="n">
        <v>0</v>
      </c>
      <c r="AA210" t="n">
        <v>1</v>
      </c>
      <c r="AB210" t="n">
        <v>0</v>
      </c>
      <c r="AC210" t="n">
        <v>0</v>
      </c>
      <c r="AD210" t="n">
        <v>0</v>
      </c>
      <c r="AE210" t="n">
        <v>2</v>
      </c>
      <c r="AF210" t="inlineStr">
        <is>
          <t>CLIMA BOM AR CONDICIONADO LTDA:ME; MORAIS ENGENHARIA CLIMATIZAÇÃO E REFRIGERAÇÃO:ME</t>
        </is>
      </c>
      <c r="AH210" t="inlineStr">
        <is>
          <t>continuado</t>
        </is>
      </c>
      <c r="AJ210" t="n">
        <v>0</v>
      </c>
      <c r="AK210" t="n">
        <v>0</v>
      </c>
      <c r="AL210" t="n">
        <v>0</v>
      </c>
      <c r="AM210" t="n">
        <v>0</v>
      </c>
      <c r="AN210" t="n">
        <v>0</v>
      </c>
      <c r="AQ210" t="n">
        <v>0</v>
      </c>
      <c r="AS210" t="inlineStr">
        <is>
          <t>Servico de instalacao e manutencao preventiva/corretiva de ar condicionado.</t>
        </is>
      </c>
      <c r="AT210" t="n">
        <v>0</v>
      </c>
      <c r="AU210" t="n">
        <v>1</v>
      </c>
    </row>
    <row r="211">
      <c r="A211" t="inlineStr">
        <is>
          <t>01616520000196_2025_188</t>
        </is>
      </c>
      <c r="B211" s="2" t="inlineStr">
        <is>
          <t>https://pncp.gov.br/app/editais/01616520000196/2025/188</t>
        </is>
      </c>
      <c r="C211" t="inlineStr">
        <is>
          <t>2026-09-27T04:03:15.910546+00:00</t>
        </is>
      </c>
      <c r="D211" t="inlineStr">
        <is>
          <t>GO</t>
        </is>
      </c>
      <c r="E211" t="inlineStr">
        <is>
          <t>GO</t>
        </is>
      </c>
      <c r="F211" t="inlineStr">
        <is>
          <t>Águas Lindas de Goiás</t>
        </is>
      </c>
      <c r="G211" t="inlineStr">
        <is>
          <t>MUNICIPIO DE AGUAS LINDAS DE GOIAS</t>
        </is>
      </c>
      <c r="H211" t="inlineStr">
        <is>
          <t>Municipal</t>
        </is>
      </c>
      <c r="I211" t="inlineStr">
        <is>
          <t>2025-10-29T08:46:01</t>
        </is>
      </c>
      <c r="J211" t="inlineStr">
        <is>
          <t>Pregão - Eletrônico</t>
        </is>
      </c>
      <c r="K211" t="inlineStr">
        <is>
          <t>CONTRATAÇÃO DE EMPRESA ESPECIALIZADA NO FORNECIMENTO DE MATERIAIS ELÉTRICOS DIVERSOS E SERVIÇOS EM REFERÊNCIA, A TÍTULO DE LOCAÇÃO, PARA SEREM UTILIZADOS NA ORNAMENTAÇÃO DO EVENTO ?NATAL LUZ 2025?, CONFORME ESPECIFICAÇÕES E QUANTITATIVOS ESTABELECIDOS NESTE TERMO DE REFERÊNCIA, EM ATENDIMENTO AS NECESSIDADES DA SECRETARIA MUNICIPAL DE CULTURA E TURISMO DE ÁGUAS LINDAS DO GOIÁS.</t>
        </is>
      </c>
      <c r="L211" t="b">
        <v>0</v>
      </c>
      <c r="M211" t="inlineStr">
        <is>
          <t>eletrica_predial</t>
        </is>
      </c>
      <c r="N211" t="inlineStr">
        <is>
          <t>eletrica_predial</t>
        </is>
      </c>
      <c r="O211" t="n">
        <v>2613711.23</v>
      </c>
      <c r="P211" t="n">
        <v>1380402.9</v>
      </c>
      <c r="Q211" t="n">
        <v>1458027.16</v>
      </c>
      <c r="R211" t="n">
        <v>0.05323924144183983</v>
      </c>
      <c r="S211" t="n">
        <v>0</v>
      </c>
      <c r="T211" t="n">
        <v>76</v>
      </c>
      <c r="U211" t="n">
        <v>40</v>
      </c>
      <c r="V211" t="n">
        <v>76</v>
      </c>
      <c r="W211" t="n">
        <v>0</v>
      </c>
      <c r="X211" t="n">
        <v>0</v>
      </c>
      <c r="Y211" t="n">
        <v>0</v>
      </c>
      <c r="Z211" t="n">
        <v>0</v>
      </c>
      <c r="AA211" t="n">
        <v>0</v>
      </c>
      <c r="AB211" t="n">
        <v>0</v>
      </c>
      <c r="AC211" t="n">
        <v>0</v>
      </c>
      <c r="AD211" t="n">
        <v>0</v>
      </c>
      <c r="AE211" t="n">
        <v>1</v>
      </c>
      <c r="AF211" t="inlineStr">
        <is>
          <t>ELETRICA RADIANTE MAT ELETRICOS LTDA:Demais</t>
        </is>
      </c>
      <c r="AH211" t="inlineStr">
        <is>
          <t>pontual</t>
        </is>
      </c>
      <c r="AJ211" t="n">
        <v>0</v>
      </c>
      <c r="AK211" t="n">
        <v>0</v>
      </c>
      <c r="AL211" t="n">
        <v>0</v>
      </c>
      <c r="AM211" t="n">
        <v>0</v>
      </c>
      <c r="AN211" t="n">
        <v>0</v>
      </c>
      <c r="AQ211" t="n">
        <v>0.5010994385940637</v>
      </c>
      <c r="AR211" t="inlineStr">
        <is>
          <t>equipamento_alto</t>
        </is>
      </c>
      <c r="AS211" t="inlineStr">
        <is>
          <t>Confirmada exclusao automatica (equipamento_alto): fracao estimada em itens de material = 50% (&gt; 40%).</t>
        </is>
      </c>
      <c r="AT211" t="n">
        <v>0</v>
      </c>
      <c r="AU211" t="n">
        <v>0</v>
      </c>
    </row>
    <row r="212">
      <c r="A212" t="inlineStr">
        <is>
          <t>01619022000105_2026_8</t>
        </is>
      </c>
      <c r="B212" s="2" t="inlineStr">
        <is>
          <t>https://pncp.gov.br/app/editais/01619022000105/2026/8</t>
        </is>
      </c>
      <c r="C212" t="inlineStr">
        <is>
          <t>2026-09-27T14:34:19.614672+00:00</t>
        </is>
      </c>
      <c r="D212" t="inlineStr">
        <is>
          <t>GO</t>
        </is>
      </c>
      <c r="E212" t="inlineStr">
        <is>
          <t>GO</t>
        </is>
      </c>
      <c r="F212" t="inlineStr">
        <is>
          <t>Goiás</t>
        </is>
      </c>
      <c r="G212" t="inlineStr">
        <is>
          <t>CONSELHO REGIONAL DE ENGENHARIA E AGRONOMIA DE GOIAS</t>
        </is>
      </c>
      <c r="H212" t="inlineStr">
        <is>
          <t>Federal</t>
        </is>
      </c>
      <c r="I212" t="inlineStr">
        <is>
          <t>2026-02-13T07:03:58</t>
        </is>
      </c>
      <c r="J212" t="inlineStr">
        <is>
          <t>Pregão - Eletrônico</t>
        </is>
      </c>
      <c r="K212" t="inlineStr">
        <is>
          <t>Contratação de empresa especializada na prestação de serviços de limpeza, conservação, copeiragem e apoio à manutenção predial, com fornecimento integral de materiais, equipamentos e insumos, a serem executados nas dependências internas e externas da sede administrativa do Crea-GO, do estacionamento e da Casa de Engenharia, todos localizados em Goiânia-GO, conforme especificações, quantitativos e exigências estabelecidas no edital e seus anexos.</t>
        </is>
      </c>
      <c r="L212" t="b">
        <v>0</v>
      </c>
      <c r="M212" t="inlineStr">
        <is>
          <t>manutencao_predial</t>
        </is>
      </c>
      <c r="N212" t="inlineStr">
        <is>
          <t>manutencao_predial</t>
        </is>
      </c>
      <c r="O212" t="n">
        <v>793547.17</v>
      </c>
      <c r="P212" t="n">
        <v>604317.17</v>
      </c>
      <c r="Q212" t="n">
        <v>793547.17</v>
      </c>
      <c r="R212" t="n">
        <v>0.2384609348427264</v>
      </c>
      <c r="S212" t="n">
        <v>0</v>
      </c>
      <c r="T212" t="n">
        <v>2</v>
      </c>
      <c r="U212" t="n">
        <v>2</v>
      </c>
      <c r="V212" t="n">
        <v>2</v>
      </c>
      <c r="W212" t="n">
        <v>0</v>
      </c>
      <c r="X212" t="n">
        <v>0</v>
      </c>
      <c r="Y212" t="n">
        <v>0</v>
      </c>
      <c r="Z212" t="n">
        <v>0</v>
      </c>
      <c r="AA212" t="n">
        <v>0</v>
      </c>
      <c r="AB212" t="n">
        <v>0</v>
      </c>
      <c r="AC212" t="n">
        <v>0</v>
      </c>
      <c r="AD212" t="n">
        <v>0</v>
      </c>
      <c r="AE212" t="n">
        <v>1</v>
      </c>
      <c r="AF212" t="inlineStr">
        <is>
          <t>CONSULGOV SOLUCOES INTEGRADAS LTDA:ME</t>
        </is>
      </c>
      <c r="AH212" t="inlineStr">
        <is>
          <t>continuado</t>
        </is>
      </c>
      <c r="AJ212" t="n">
        <v>0</v>
      </c>
      <c r="AK212" t="n">
        <v>0</v>
      </c>
      <c r="AL212" t="n">
        <v>0</v>
      </c>
      <c r="AM212" t="n">
        <v>0</v>
      </c>
      <c r="AN212" t="n">
        <v>0</v>
      </c>
      <c r="AQ212" t="n">
        <v>0</v>
      </c>
      <c r="AT212" t="n">
        <v>0</v>
      </c>
      <c r="AU212" t="n">
        <v>1</v>
      </c>
    </row>
    <row r="213">
      <c r="A213" t="inlineStr">
        <is>
          <t>01738772000198_2025_18</t>
        </is>
      </c>
      <c r="B213" s="2" t="inlineStr">
        <is>
          <t>https://pncp.gov.br/app/editais/01738772000198/2025/18</t>
        </is>
      </c>
      <c r="C213" t="inlineStr">
        <is>
          <t>2026-09-27T04:21:05.101362+00:00</t>
        </is>
      </c>
      <c r="D213" t="inlineStr">
        <is>
          <t>GO</t>
        </is>
      </c>
      <c r="E213" t="inlineStr">
        <is>
          <t>GO</t>
        </is>
      </c>
      <c r="F213" t="inlineStr">
        <is>
          <t>Cavalcante</t>
        </is>
      </c>
      <c r="G213" t="inlineStr">
        <is>
          <t>MUNICIPIO DE CAVALCANTE</t>
        </is>
      </c>
      <c r="H213" t="inlineStr">
        <is>
          <t>Municipal</t>
        </is>
      </c>
      <c r="I213" t="inlineStr">
        <is>
          <t>2025-05-29T16:35:37</t>
        </is>
      </c>
      <c r="J213" t="inlineStr">
        <is>
          <t>Pregão - Eletrônico</t>
        </is>
      </c>
      <c r="K213" t="inlineStr">
        <is>
          <t>AQUISIÇÃO DE MATERIAIS ELÉTRICOS E CONTRATAÇÃO DE MÃO DE OBRA, DESTINADOS À CONSERVAÇÃO, MANUTENÇÃO E MODERNIZAÇÃO DA ILUMINAÇÃO PÚBLICA DO MUNICÍPIO.</t>
        </is>
      </c>
      <c r="L213" t="b">
        <v>1</v>
      </c>
      <c r="M213" t="inlineStr">
        <is>
          <t>eletrica_predial</t>
        </is>
      </c>
      <c r="N213" t="inlineStr">
        <is>
          <t>eletrica_predial</t>
        </is>
      </c>
      <c r="O213" t="n">
        <v>1206206.03</v>
      </c>
      <c r="P213" t="n">
        <v>354838.51</v>
      </c>
      <c r="Q213" t="n">
        <v>1206206.03</v>
      </c>
      <c r="R213" t="n">
        <v>0.7058226362871026</v>
      </c>
      <c r="S213" t="n">
        <v>0</v>
      </c>
      <c r="T213" t="n">
        <v>13</v>
      </c>
      <c r="U213" t="n">
        <v>13</v>
      </c>
      <c r="V213" t="n">
        <v>13</v>
      </c>
      <c r="W213" t="n">
        <v>0</v>
      </c>
      <c r="X213" t="n">
        <v>0</v>
      </c>
      <c r="Y213" t="n">
        <v>0</v>
      </c>
      <c r="Z213" t="n">
        <v>0</v>
      </c>
      <c r="AA213" t="n">
        <v>0</v>
      </c>
      <c r="AB213" t="n">
        <v>0</v>
      </c>
      <c r="AC213" t="n">
        <v>0</v>
      </c>
      <c r="AD213" t="n">
        <v>0</v>
      </c>
      <c r="AE213" t="n">
        <v>7</v>
      </c>
      <c r="AF213" t="inlineStr">
        <is>
          <t>TW2K ELETROELETRONICA LTDA:Demais; SUNLED INDUSTRIA E COMERCIO DE MATERIAIS ELETRICOS LTDA:Demais; DOUGLAS ALVES P. BARBOSA:Demais; TRIUNFO ILUMINACAO LTDA:Demais; BRASIL ILUMINACAO E CONSTRUCAO LTDA:Demais; CONSTRUVITA COMERCIO E SERVICOS LTDA:Demais; ART COMERCIO E SERVICOS LTDA:Demais</t>
        </is>
      </c>
      <c r="AH213" t="inlineStr">
        <is>
          <t>pontual</t>
        </is>
      </c>
      <c r="AJ213" t="n">
        <v>0</v>
      </c>
      <c r="AK213" t="n">
        <v>0</v>
      </c>
      <c r="AL213" t="n">
        <v>0</v>
      </c>
      <c r="AM213" t="n">
        <v>0</v>
      </c>
      <c r="AN213" t="n">
        <v>0</v>
      </c>
      <c r="AQ213" t="n">
        <v>1</v>
      </c>
      <c r="AR213" t="inlineStr">
        <is>
          <t>fornecimento_puro</t>
        </is>
      </c>
      <c r="AS213" t="inlineStr">
        <is>
          <t>Confirmada exclusao automatica (fornecimento_puro): 13 item(ns), todos classificados como material (sem servico).</t>
        </is>
      </c>
      <c r="AT213" t="n">
        <v>1</v>
      </c>
      <c r="AU213" t="n">
        <v>0</v>
      </c>
    </row>
    <row r="214">
      <c r="A214" t="inlineStr">
        <is>
          <t>01738772000198_2025_87</t>
        </is>
      </c>
      <c r="B214" s="2" t="inlineStr">
        <is>
          <t>https://pncp.gov.br/app/editais/01738772000198/2025/87</t>
        </is>
      </c>
      <c r="C214" t="inlineStr">
        <is>
          <t>2026-09-27T04:46:02.541479+00:00</t>
        </is>
      </c>
      <c r="D214" t="inlineStr">
        <is>
          <t>GO</t>
        </is>
      </c>
      <c r="E214" t="inlineStr">
        <is>
          <t>GO</t>
        </is>
      </c>
      <c r="F214" t="inlineStr">
        <is>
          <t>Cavalcante</t>
        </is>
      </c>
      <c r="G214" t="inlineStr">
        <is>
          <t>MUNICIPIO DE CAVALCANTE</t>
        </is>
      </c>
      <c r="H214" t="inlineStr">
        <is>
          <t>Municipal</t>
        </is>
      </c>
      <c r="I214" t="inlineStr">
        <is>
          <t>2025-10-23T17:55:05</t>
        </is>
      </c>
      <c r="J214" t="inlineStr">
        <is>
          <t>Pregão - Eletrônico</t>
        </is>
      </c>
      <c r="K214" t="inlineStr">
        <is>
          <t>REGISTRO DE PREÇOS PARA EVENTUAL E PARCELADA AQUISIÇÃO DE MATERIAIS E EQUIPAMENTOS DE ILUMINAÇÃO PÚBLICA.</t>
        </is>
      </c>
      <c r="L214" t="b">
        <v>1</v>
      </c>
      <c r="M214" t="inlineStr">
        <is>
          <t>iluminacao_publica</t>
        </is>
      </c>
      <c r="N214" t="inlineStr">
        <is>
          <t>iluminacao_publica</t>
        </is>
      </c>
      <c r="O214" t="n">
        <v>1015989.5</v>
      </c>
      <c r="P214" t="n">
        <v>478950</v>
      </c>
      <c r="Q214" t="n">
        <v>1015989.5</v>
      </c>
      <c r="R214" t="n">
        <v>0.5285876478054153</v>
      </c>
      <c r="S214" t="n">
        <v>0</v>
      </c>
      <c r="T214" t="n">
        <v>4</v>
      </c>
      <c r="U214" t="n">
        <v>4</v>
      </c>
      <c r="V214" t="n">
        <v>3</v>
      </c>
      <c r="W214" t="n">
        <v>0</v>
      </c>
      <c r="X214" t="n">
        <v>0</v>
      </c>
      <c r="Y214" t="n">
        <v>0</v>
      </c>
      <c r="Z214" t="n">
        <v>0</v>
      </c>
      <c r="AA214" t="n">
        <v>0</v>
      </c>
      <c r="AB214" t="n">
        <v>0</v>
      </c>
      <c r="AC214" t="n">
        <v>0</v>
      </c>
      <c r="AD214" t="n">
        <v>0</v>
      </c>
      <c r="AE214" t="n">
        <v>2</v>
      </c>
      <c r="AF214" t="inlineStr">
        <is>
          <t>ZAGONEL ILUMINACAO S.A.:Demais; VM COMERCIO LTDA:Demais</t>
        </is>
      </c>
      <c r="AH214" t="inlineStr">
        <is>
          <t>pontual</t>
        </is>
      </c>
      <c r="AJ214" t="n">
        <v>0</v>
      </c>
      <c r="AK214" t="n">
        <v>0</v>
      </c>
      <c r="AL214" t="n">
        <v>0</v>
      </c>
      <c r="AM214" t="n">
        <v>0</v>
      </c>
      <c r="AN214" t="n">
        <v>0</v>
      </c>
      <c r="AQ214" t="n">
        <v>1</v>
      </c>
      <c r="AR214" t="inlineStr">
        <is>
          <t>fornecimento_puro</t>
        </is>
      </c>
      <c r="AS214" t="inlineStr">
        <is>
          <t>Registro de preços/contratação de fornecimento de materiais, sem mão de obra de manutenção contratada.</t>
        </is>
      </c>
      <c r="AT214" t="n">
        <v>0</v>
      </c>
      <c r="AU214" t="n">
        <v>0</v>
      </c>
    </row>
    <row r="215">
      <c r="A215" t="inlineStr">
        <is>
          <t>01738772000198_2026_154</t>
        </is>
      </c>
      <c r="B215" s="2" t="inlineStr">
        <is>
          <t>https://pncp.gov.br/app/editais/01738772000198/2026/154</t>
        </is>
      </c>
      <c r="C215" t="inlineStr">
        <is>
          <t>2026-09-27T04:22:29.396073+00:00</t>
        </is>
      </c>
      <c r="D215" t="inlineStr">
        <is>
          <t>GO</t>
        </is>
      </c>
      <c r="E215" t="inlineStr">
        <is>
          <t>GO</t>
        </is>
      </c>
      <c r="F215" t="inlineStr">
        <is>
          <t>Cavalcante</t>
        </is>
      </c>
      <c r="G215" t="inlineStr">
        <is>
          <t>MUNICIPIO DE CAVALCANTE</t>
        </is>
      </c>
      <c r="H215" t="inlineStr">
        <is>
          <t>Municipal</t>
        </is>
      </c>
      <c r="I215" t="inlineStr">
        <is>
          <t>2026-08-10T09:13:58</t>
        </is>
      </c>
      <c r="J215" t="inlineStr">
        <is>
          <t>Concorrência - Eletrônica</t>
        </is>
      </c>
      <c r="K215" t="inlineStr">
        <is>
          <t>EXECUÇÃO DE OBRAS DE REVITALIZAÇÃO DA PRAÇA DIOGO TELES, NO MUNICÍPIO DE CAVALCANTE/GO, CONTEMPLANDO SERVIÇOS DE DEMOLIÇÃO, PAVIMENTAÇÃO, ACESSIBILIDADE, ILUMINAÇÃO PÚBLICA, PAISAGISMO, IMPLANTAÇÃO MOBILIÁRIOS URBANO, EQUIPAMENTOS PÚBLICOS E DEMAIS MELHORIAS URBANÍSTICAS DESTINADAS À REQUALIFICAÇÃO E MODERNIZAÇÃO DO ESPAÇO PÚBLICO</t>
        </is>
      </c>
      <c r="L215" t="b">
        <v>0</v>
      </c>
      <c r="M215" t="inlineStr">
        <is>
          <t>iluminacao_publica</t>
        </is>
      </c>
      <c r="N215" t="inlineStr">
        <is>
          <t>iluminacao_publica</t>
        </is>
      </c>
      <c r="O215" t="n">
        <v>555865.74</v>
      </c>
      <c r="P215" t="n">
        <v>470000</v>
      </c>
      <c r="Q215" t="n">
        <v>555865.74</v>
      </c>
      <c r="R215" t="n">
        <v>0.1544720852916749</v>
      </c>
      <c r="S215" t="n">
        <v>0</v>
      </c>
      <c r="T215" t="n">
        <v>1</v>
      </c>
      <c r="U215" t="n">
        <v>1</v>
      </c>
      <c r="V215" t="n">
        <v>0</v>
      </c>
      <c r="W215" t="n">
        <v>0</v>
      </c>
      <c r="X215" t="n">
        <v>0</v>
      </c>
      <c r="Y215" t="n">
        <v>0</v>
      </c>
      <c r="Z215" t="n">
        <v>0</v>
      </c>
      <c r="AA215" t="n">
        <v>0</v>
      </c>
      <c r="AB215" t="n">
        <v>0</v>
      </c>
      <c r="AC215" t="n">
        <v>0</v>
      </c>
      <c r="AD215" t="n">
        <v>0</v>
      </c>
      <c r="AE215" t="n">
        <v>1</v>
      </c>
      <c r="AF215" t="inlineStr">
        <is>
          <t>FF SOLUCOES CONSTRUTIVAS LTDA:Demais</t>
        </is>
      </c>
      <c r="AH215" t="inlineStr">
        <is>
          <t>indefinido</t>
        </is>
      </c>
      <c r="AJ215" t="n">
        <v>0</v>
      </c>
      <c r="AK215" t="n">
        <v>0</v>
      </c>
      <c r="AL215" t="n">
        <v>0</v>
      </c>
      <c r="AM215" t="n">
        <v>0</v>
      </c>
      <c r="AN215" t="n">
        <v>0</v>
      </c>
      <c r="AQ215" t="n">
        <v>0</v>
      </c>
      <c r="AR215" t="inlineStr">
        <is>
          <t>mencao_passagem</t>
        </is>
      </c>
      <c r="AS215" t="inlineStr">
        <is>
          <t>Obra de requalificação urbanística geral de praça (demolição, pavimentação, paisagismo, acessibilidade); IP é um entre muitos serviços, não o núcleo do objeto.</t>
        </is>
      </c>
      <c r="AT215" t="n">
        <v>0</v>
      </c>
      <c r="AU215" t="n">
        <v>0</v>
      </c>
    </row>
    <row r="216">
      <c r="A216" t="inlineStr">
        <is>
          <t>01740422000166_2026_69</t>
        </is>
      </c>
      <c r="B216" s="2" t="inlineStr">
        <is>
          <t>https://pncp.gov.br/app/editais/01740422000166/2026/69</t>
        </is>
      </c>
      <c r="C216" t="inlineStr">
        <is>
          <t>2026-09-27T02:31:04.602610+00:00</t>
        </is>
      </c>
      <c r="D216" t="inlineStr">
        <is>
          <t>GO</t>
        </is>
      </c>
      <c r="E216" t="inlineStr">
        <is>
          <t>GO</t>
        </is>
      </c>
      <c r="F216" t="inlineStr">
        <is>
          <t>Planaltina</t>
        </is>
      </c>
      <c r="G216" t="inlineStr">
        <is>
          <t>MUNICIPIO DE PLANALTINA</t>
        </is>
      </c>
      <c r="H216" t="inlineStr">
        <is>
          <t>Municipal</t>
        </is>
      </c>
      <c r="I216" t="inlineStr">
        <is>
          <t>2026-07-24T14:07:20</t>
        </is>
      </c>
      <c r="J216" t="inlineStr">
        <is>
          <t>Pregão - Eletrônico</t>
        </is>
      </c>
      <c r="K216" t="inlineStr">
        <is>
          <t>[Portal de Compras Públicas] - Contratação de empresa especializada em serviços de manutenção de ar-condicionado e refrigeradores</t>
        </is>
      </c>
      <c r="L216" t="b">
        <v>0</v>
      </c>
      <c r="M216" t="inlineStr">
        <is>
          <t>climatizacao</t>
        </is>
      </c>
      <c r="N216" t="inlineStr">
        <is>
          <t>climatizacao</t>
        </is>
      </c>
      <c r="O216" t="n">
        <v>1672329</v>
      </c>
      <c r="P216" t="n">
        <v>1337865.32</v>
      </c>
      <c r="Q216" t="n">
        <v>1672329</v>
      </c>
      <c r="R216" t="n">
        <v>0.1999987323068607</v>
      </c>
      <c r="S216" t="n">
        <v>0</v>
      </c>
      <c r="T216" t="n">
        <v>27</v>
      </c>
      <c r="U216" t="n">
        <v>27</v>
      </c>
      <c r="V216" t="n">
        <v>27</v>
      </c>
      <c r="W216" t="n">
        <v>0</v>
      </c>
      <c r="X216" t="n">
        <v>0</v>
      </c>
      <c r="Y216" t="n">
        <v>0</v>
      </c>
      <c r="Z216" t="n">
        <v>0</v>
      </c>
      <c r="AA216" t="n">
        <v>0</v>
      </c>
      <c r="AB216" t="n">
        <v>0</v>
      </c>
      <c r="AC216" t="n">
        <v>0</v>
      </c>
      <c r="AD216" t="n">
        <v>0</v>
      </c>
      <c r="AE216" t="n">
        <v>1</v>
      </c>
      <c r="AF216" t="inlineStr">
        <is>
          <t>HPL SISTEMA DE SEGURANCA EIRELI:Demais</t>
        </is>
      </c>
      <c r="AH216" t="inlineStr">
        <is>
          <t>pontual</t>
        </is>
      </c>
      <c r="AI216" t="n">
        <v>12</v>
      </c>
      <c r="AJ216" t="n">
        <v>0</v>
      </c>
      <c r="AK216" t="n">
        <v>0</v>
      </c>
      <c r="AL216" t="n">
        <v>0</v>
      </c>
      <c r="AM216" t="n">
        <v>1</v>
      </c>
      <c r="AN216" t="n">
        <v>1</v>
      </c>
      <c r="AP216" t="inlineStr">
        <is>
          <t>9.14.3 Comprovação de aptidão do desempenho de atividade com a apresentação de no mínimo 01 (um) atestado de capacidade técnica para cada lote, fornecidos por pessoas jurídicas de direito público ou privado com características semelhantes às do objeto deste termo de referência, executadas a qualquer…</t>
        </is>
      </c>
      <c r="AQ216" t="n">
        <v>1</v>
      </c>
      <c r="AS216" t="inlineStr">
        <is>
          <t>objeto e apenas 'servicos de manutencao de ar-condicionado e refrigeradores', servico puro mal cadastrado como Material.</t>
        </is>
      </c>
      <c r="AT216" t="n">
        <v>1</v>
      </c>
      <c r="AU216" t="n">
        <v>1</v>
      </c>
    </row>
    <row r="217">
      <c r="A217" t="inlineStr">
        <is>
          <t>01740430000102_2026_71</t>
        </is>
      </c>
      <c r="B217" s="2" t="inlineStr">
        <is>
          <t>https://pncp.gov.br/app/editais/01740430000102/2026/71</t>
        </is>
      </c>
      <c r="C217" t="inlineStr">
        <is>
          <t>2026-09-27T04:32:00.829960+00:00</t>
        </is>
      </c>
      <c r="D217" t="inlineStr">
        <is>
          <t>GO</t>
        </is>
      </c>
      <c r="E217" t="inlineStr">
        <is>
          <t>GO</t>
        </is>
      </c>
      <c r="F217" t="inlineStr">
        <is>
          <t>Cabeceiras</t>
        </is>
      </c>
      <c r="G217" t="inlineStr">
        <is>
          <t>MUNICIPIO DE CABECEIRAS</t>
        </is>
      </c>
      <c r="H217" t="inlineStr">
        <is>
          <t>Municipal</t>
        </is>
      </c>
      <c r="I217" t="inlineStr">
        <is>
          <t>2026-05-20T09:15:59</t>
        </is>
      </c>
      <c r="J217" t="inlineStr">
        <is>
          <t>Pregão - Eletrônico</t>
        </is>
      </c>
      <c r="K217" t="inlineStr">
        <is>
          <t>REGISTRO DE PREÇO PARA AQUISIÇÃO FUTURA E PARCELADA DE MATERIAIS ELÉTRICOS, DESTINADOS A ILUMINAÇÃO PÚBLICA, MANUTENÇÃO E CONSERVAÇÃO DOS PRÉDIOS E LOGRADOUROS PÚBLICOS E CEMITÉRIO MUNICIPAL PARA USO DA SECRETARIA MUNICIPAL DE ILUMINANAÇÃO PÚBLICA.</t>
        </is>
      </c>
      <c r="L217" t="b">
        <v>1</v>
      </c>
      <c r="M217" t="inlineStr">
        <is>
          <t>iluminacao_publica</t>
        </is>
      </c>
      <c r="N217" t="inlineStr">
        <is>
          <t>iluminacao_publica</t>
        </is>
      </c>
      <c r="O217" t="n">
        <v>946930.67</v>
      </c>
      <c r="P217" t="n">
        <v>276634</v>
      </c>
      <c r="Q217" t="n">
        <v>946930.6655999998</v>
      </c>
      <c r="R217" t="n">
        <v>0.7078624549298788</v>
      </c>
      <c r="S217" t="n">
        <v>0</v>
      </c>
      <c r="T217" t="n">
        <v>37</v>
      </c>
      <c r="U217" t="n">
        <v>37</v>
      </c>
      <c r="V217" t="n">
        <v>37</v>
      </c>
      <c r="W217" t="n">
        <v>0</v>
      </c>
      <c r="X217" t="n">
        <v>0</v>
      </c>
      <c r="Y217" t="n">
        <v>0</v>
      </c>
      <c r="Z217" t="n">
        <v>0</v>
      </c>
      <c r="AA217" t="n">
        <v>0</v>
      </c>
      <c r="AB217" t="n">
        <v>0</v>
      </c>
      <c r="AC217" t="n">
        <v>0</v>
      </c>
      <c r="AD217" t="n">
        <v>0</v>
      </c>
      <c r="AE217" t="n">
        <v>3</v>
      </c>
      <c r="AF217" t="inlineStr">
        <is>
          <t>OUROLUZ MATERIAIS ELETRICOS E ILUMINACAO LTDA:ME; CBX COMERCIAL IMPORTADORA LTDA:ME; J &amp; M ESPIGARES GESTAO E SUPRIMENTOS LTDA:ME</t>
        </is>
      </c>
      <c r="AH217" t="inlineStr">
        <is>
          <t>pontual</t>
        </is>
      </c>
      <c r="AJ217" t="n">
        <v>0</v>
      </c>
      <c r="AK217" t="n">
        <v>0</v>
      </c>
      <c r="AL217" t="n">
        <v>0</v>
      </c>
      <c r="AM217" t="n">
        <v>0</v>
      </c>
      <c r="AN217" t="n">
        <v>0</v>
      </c>
      <c r="AQ217" t="n">
        <v>1</v>
      </c>
      <c r="AR217" t="inlineStr">
        <is>
          <t>fornecimento_puro</t>
        </is>
      </c>
      <c r="AS217" t="inlineStr">
        <is>
          <t>Registro de preços/contratação de fornecimento de materiais, sem mão de obra de manutenção contratada.</t>
        </is>
      </c>
      <c r="AT217" t="n">
        <v>1</v>
      </c>
      <c r="AU217" t="n">
        <v>0</v>
      </c>
    </row>
    <row r="218">
      <c r="A218" t="inlineStr">
        <is>
          <t>01740463000152_2025_312</t>
        </is>
      </c>
      <c r="B218" s="2" t="inlineStr">
        <is>
          <t>https://pncp.gov.br/app/editais/01740463000152/2025/312</t>
        </is>
      </c>
      <c r="C218" t="inlineStr">
        <is>
          <t>2026-09-27T04:41:56.268473+00:00</t>
        </is>
      </c>
      <c r="D218" t="inlineStr">
        <is>
          <t>GO</t>
        </is>
      </c>
      <c r="E218" t="inlineStr">
        <is>
          <t>GO</t>
        </is>
      </c>
      <c r="F218" t="inlineStr">
        <is>
          <t>Mambaí</t>
        </is>
      </c>
      <c r="G218" t="inlineStr">
        <is>
          <t>MUNICIPIO DE MAMBAI</t>
        </is>
      </c>
      <c r="H218" t="inlineStr">
        <is>
          <t>Municipal</t>
        </is>
      </c>
      <c r="I218" t="inlineStr">
        <is>
          <t>2025-12-21T19:43:12</t>
        </is>
      </c>
      <c r="J218" t="inlineStr">
        <is>
          <t>Pregão - Presencial</t>
        </is>
      </c>
      <c r="K218" t="inlineStr">
        <is>
          <t>ADESÃO de 50% (cinquenta por cento), da Ata de Registro de Preço: nº 023/2025, Processo Licitatório Nº: 42/2025, Processo Adm. Nº: 12818/2025, oriunda do pregão presencial nº 42/2025, firmado com a empresa OUROLUZ MATERIAIS ELÉTRICOS E ILUMINAÇÃO LTDA, CNPJ nº 45.845.571/0001-65, REGISTRAR PREÇOS PARA FUTURA E EVENTUAL AQUISIÇÃO DE MATERIAL ELÉTRICO E ELETRONICO PARA MANUTENÇÃO DA ILUMINAÇÃO PUBLICA E PREDIOS PUBLICOS DO MUNICÍPIO DE CRIXÁS - GO, CONFORME QUANTIDADES E ESPECIFICAÇÕES DO TERMO DE REFERÊNCIA – ANEXO I DO EDITAL.</t>
        </is>
      </c>
      <c r="L218" t="b">
        <v>1</v>
      </c>
      <c r="M218" t="inlineStr">
        <is>
          <t>iluminacao_publica</t>
        </is>
      </c>
      <c r="N218" t="inlineStr">
        <is>
          <t>iluminacao_publica</t>
        </is>
      </c>
      <c r="O218" t="n">
        <v>826888.05</v>
      </c>
      <c r="P218" t="n">
        <v>251973.7</v>
      </c>
      <c r="Q218" t="n">
        <v>251973.7</v>
      </c>
      <c r="R218" t="n">
        <v>0</v>
      </c>
      <c r="S218" t="n">
        <v>0</v>
      </c>
      <c r="T218" t="n">
        <v>60</v>
      </c>
      <c r="U218" t="n">
        <v>40</v>
      </c>
      <c r="V218" t="n">
        <v>60</v>
      </c>
      <c r="W218" t="n">
        <v>0</v>
      </c>
      <c r="X218" t="n">
        <v>0</v>
      </c>
      <c r="Y218" t="n">
        <v>0</v>
      </c>
      <c r="Z218" t="n">
        <v>0</v>
      </c>
      <c r="AA218" t="n">
        <v>0</v>
      </c>
      <c r="AB218" t="n">
        <v>0</v>
      </c>
      <c r="AC218" t="n">
        <v>0</v>
      </c>
      <c r="AD218" t="n">
        <v>0</v>
      </c>
      <c r="AE218" t="n">
        <v>1</v>
      </c>
      <c r="AF218" t="inlineStr">
        <is>
          <t>OUROLUZ MATERIAIS ELETRICOS E ILUMINACAO LTDA:ME</t>
        </is>
      </c>
      <c r="AH218" t="inlineStr">
        <is>
          <t>pontual</t>
        </is>
      </c>
      <c r="AJ218" t="n">
        <v>0</v>
      </c>
      <c r="AK218" t="n">
        <v>0</v>
      </c>
      <c r="AL218" t="n">
        <v>0</v>
      </c>
      <c r="AM218" t="n">
        <v>0</v>
      </c>
      <c r="AN218" t="n">
        <v>0</v>
      </c>
      <c r="AQ218" t="n">
        <v>1</v>
      </c>
      <c r="AR218" t="inlineStr">
        <is>
          <t>fornecimento_puro</t>
        </is>
      </c>
      <c r="AS218" t="inlineStr">
        <is>
          <t>Registro de preços/contratação de fornecimento de materiais, sem mão de obra de manutenção contratada.</t>
        </is>
      </c>
      <c r="AT218" t="n">
        <v>1</v>
      </c>
      <c r="AU218" t="n">
        <v>0</v>
      </c>
    </row>
    <row r="219">
      <c r="A219" t="inlineStr">
        <is>
          <t>01740463000152_2026_104</t>
        </is>
      </c>
      <c r="B219" s="2" t="inlineStr">
        <is>
          <t>https://pncp.gov.br/app/editais/01740463000152/2026/104</t>
        </is>
      </c>
      <c r="C219" t="inlineStr">
        <is>
          <t>2026-09-27T14:32:54.593312+00:00</t>
        </is>
      </c>
      <c r="D219" t="inlineStr">
        <is>
          <t>GO</t>
        </is>
      </c>
      <c r="E219" t="inlineStr">
        <is>
          <t>GO</t>
        </is>
      </c>
      <c r="F219" t="inlineStr">
        <is>
          <t>Mambaí</t>
        </is>
      </c>
      <c r="G219" t="inlineStr">
        <is>
          <t>MUNICIPIO DE MAMBAI</t>
        </is>
      </c>
      <c r="H219" t="inlineStr">
        <is>
          <t>Municipal</t>
        </is>
      </c>
      <c r="I219" t="inlineStr">
        <is>
          <t>2026-04-16T09:19:45</t>
        </is>
      </c>
      <c r="J219" t="inlineStr">
        <is>
          <t>Concorrência - Eletrônica</t>
        </is>
      </c>
      <c r="K219" t="inlineStr">
        <is>
          <t>Contratação de empresa especializada para execução de obra de reforma do Ginásio de Esportes do Município de Mambaí-GO, contemplando serviços de demolição, execução de novo piso esportivo com acabamento em pintura epóxi, substituição da cobertura, reforma completa das instalações elétricas, hidráulicas e sanitárias, adequação às normas de acessibilidade com implantação de sanitários PCD, adequação ao projeto de prevenção e combate a incêndio aprovado, reforma de vestiários, sanitários e área administrativa, além de pintura geral e substituição de esquadrias, louças, metais e aquisição de equipamentos esportivos, conforme projetos, planilhas e demais documentos técnicos que integram o presente processo.</t>
        </is>
      </c>
      <c r="L219" t="b">
        <v>0</v>
      </c>
      <c r="M219" t="inlineStr">
        <is>
          <t>eletrica_predial</t>
        </is>
      </c>
      <c r="N219" t="inlineStr">
        <is>
          <t>eletrica_predial</t>
        </is>
      </c>
      <c r="O219" t="n">
        <v>649119.83</v>
      </c>
      <c r="P219" t="n">
        <v>585000</v>
      </c>
      <c r="Q219" t="n">
        <v>649119.83</v>
      </c>
      <c r="R219" t="n">
        <v>0.0987796505924029</v>
      </c>
      <c r="S219" t="n">
        <v>0</v>
      </c>
      <c r="T219" t="n">
        <v>1</v>
      </c>
      <c r="U219" t="n">
        <v>1</v>
      </c>
      <c r="V219" t="n">
        <v>1</v>
      </c>
      <c r="W219" t="n">
        <v>0</v>
      </c>
      <c r="X219" t="n">
        <v>0</v>
      </c>
      <c r="Y219" t="n">
        <v>0</v>
      </c>
      <c r="Z219" t="n">
        <v>0</v>
      </c>
      <c r="AA219" t="n">
        <v>0</v>
      </c>
      <c r="AB219" t="n">
        <v>0</v>
      </c>
      <c r="AC219" t="n">
        <v>0</v>
      </c>
      <c r="AD219" t="n">
        <v>0</v>
      </c>
      <c r="AE219" t="n">
        <v>1</v>
      </c>
      <c r="AF219" t="inlineStr">
        <is>
          <t>ROMA E SERRANO ENGENHARIA LTDA:ME</t>
        </is>
      </c>
      <c r="AH219" t="inlineStr">
        <is>
          <t>pontual</t>
        </is>
      </c>
      <c r="AI219" t="n">
        <v>3</v>
      </c>
      <c r="AJ219" t="n">
        <v>0</v>
      </c>
      <c r="AK219" t="n">
        <v>0</v>
      </c>
      <c r="AL219" t="n">
        <v>0</v>
      </c>
      <c r="AM219" t="n">
        <v>1</v>
      </c>
      <c r="AN219" t="n">
        <v>1</v>
      </c>
      <c r="AQ219" t="n">
        <v>0</v>
      </c>
      <c r="AR219" t="inlineStr">
        <is>
          <t>fora_de_escopo</t>
        </is>
      </c>
      <c r="AS219" t="inlineStr">
        <is>
          <t>Reforma de ginasio de esportes (demolicao, piso esportivo, cobertura, acessibilidade, combate a incendio, vestiarios) -- obra civil geral, eletrica e 1 item entre dezenas.</t>
        </is>
      </c>
      <c r="AT219" t="n">
        <v>0</v>
      </c>
      <c r="AU219" t="n">
        <v>0</v>
      </c>
    </row>
    <row r="220">
      <c r="A220" t="inlineStr">
        <is>
          <t>01740463000152_2026_118</t>
        </is>
      </c>
      <c r="B220" s="2" t="inlineStr">
        <is>
          <t>https://pncp.gov.br/app/editais/01740463000152/2026/118</t>
        </is>
      </c>
      <c r="C220" t="inlineStr">
        <is>
          <t>2026-09-27T04:46:48.548250+00:00</t>
        </is>
      </c>
      <c r="D220" t="inlineStr">
        <is>
          <t>GO</t>
        </is>
      </c>
      <c r="E220" t="inlineStr">
        <is>
          <t>GO</t>
        </is>
      </c>
      <c r="F220" t="inlineStr">
        <is>
          <t>Mambaí</t>
        </is>
      </c>
      <c r="G220" t="inlineStr">
        <is>
          <t>MUNICIPIO DE MAMBAI</t>
        </is>
      </c>
      <c r="H220" t="inlineStr">
        <is>
          <t>Municipal</t>
        </is>
      </c>
      <c r="I220" t="inlineStr">
        <is>
          <t>2026-04-23T11:12:01</t>
        </is>
      </c>
      <c r="J220" t="inlineStr">
        <is>
          <t>Pregão - Presencial</t>
        </is>
      </c>
      <c r="K220" t="inlineStr">
        <is>
          <t>Contratação de empresa especializada para a prestação de serviços de manutenção preventiva e corretiva, bem como limpeza de aparelhos de ar-condicionado e bebedouros, incluindo instalação, substituição de componentes, recarga de gás, higienização, reparos e demais serviços necessários ao pleno e adequado funcionamento dos equipamentos pertencentes às Secretarias Municipais de Mambaí-GO</t>
        </is>
      </c>
      <c r="L220" t="b">
        <v>1</v>
      </c>
      <c r="M220" t="inlineStr">
        <is>
          <t>refrigeracao</t>
        </is>
      </c>
      <c r="N220" t="inlineStr">
        <is>
          <t>refrigeracao</t>
        </is>
      </c>
      <c r="O220" t="n">
        <v>329768.73</v>
      </c>
      <c r="P220" t="n">
        <v>330968.75</v>
      </c>
      <c r="Q220" t="n">
        <v>329768.7255000001</v>
      </c>
      <c r="R220" t="n">
        <v>-0.0036389881975027</v>
      </c>
      <c r="S220" t="n">
        <v>1</v>
      </c>
      <c r="T220" t="n">
        <v>16</v>
      </c>
      <c r="U220" t="n">
        <v>16</v>
      </c>
      <c r="V220" t="n">
        <v>16</v>
      </c>
      <c r="W220" t="n">
        <v>0</v>
      </c>
      <c r="X220" t="n">
        <v>0</v>
      </c>
      <c r="Y220" t="n">
        <v>0</v>
      </c>
      <c r="Z220" t="n">
        <v>0</v>
      </c>
      <c r="AA220" t="n">
        <v>0</v>
      </c>
      <c r="AB220" t="n">
        <v>0</v>
      </c>
      <c r="AC220" t="n">
        <v>0</v>
      </c>
      <c r="AD220" t="n">
        <v>0</v>
      </c>
      <c r="AE220" t="n">
        <v>1</v>
      </c>
      <c r="AF220" t="inlineStr">
        <is>
          <t>SOARES REFRIGERACAO E COMERCIO LTDA:ME</t>
        </is>
      </c>
      <c r="AH220" t="inlineStr">
        <is>
          <t>indefinido</t>
        </is>
      </c>
      <c r="AJ220" t="n">
        <v>0</v>
      </c>
      <c r="AK220" t="n">
        <v>0</v>
      </c>
      <c r="AL220" t="n">
        <v>0</v>
      </c>
      <c r="AM220" t="n">
        <v>0</v>
      </c>
      <c r="AN220" t="n">
        <v>0</v>
      </c>
      <c r="AQ220" t="n">
        <v>0</v>
      </c>
      <c r="AS220" t="inlineStr">
        <is>
          <t>Objeto e itens cobrem ar-condicionado (~74% do valor) e bebedouros (~26%) de forma explicita e relevante; vencedora e 'SOARES REFRIGERACAO E COMERCIO LTDA' (ME). Mantido incluido como caso misto, com peso relevante de refrigeracao comercial.</t>
        </is>
      </c>
      <c r="AT220" t="n">
        <v>0</v>
      </c>
      <c r="AU220" t="n">
        <v>1</v>
      </c>
    </row>
    <row r="221">
      <c r="A221" t="inlineStr">
        <is>
          <t>01740463000152_2026_169</t>
        </is>
      </c>
      <c r="B221" s="2" t="inlineStr">
        <is>
          <t>https://pncp.gov.br/app/editais/01740463000152/2026/169</t>
        </is>
      </c>
      <c r="C221" t="inlineStr">
        <is>
          <t>2026-09-27T04:28:23.121170+00:00</t>
        </is>
      </c>
      <c r="D221" t="inlineStr">
        <is>
          <t>GO</t>
        </is>
      </c>
      <c r="E221" t="inlineStr">
        <is>
          <t>GO</t>
        </is>
      </c>
      <c r="F221" t="inlineStr">
        <is>
          <t>Mambaí</t>
        </is>
      </c>
      <c r="G221" t="inlineStr">
        <is>
          <t>MUNICIPIO DE MAMBAI</t>
        </is>
      </c>
      <c r="H221" t="inlineStr">
        <is>
          <t>Municipal</t>
        </is>
      </c>
      <c r="I221" t="inlineStr">
        <is>
          <t>2026-06-12T17:20:21</t>
        </is>
      </c>
      <c r="J221" t="inlineStr">
        <is>
          <t>Concorrência - Eletrônica</t>
        </is>
      </c>
      <c r="K221" t="inlineStr">
        <is>
          <t>Contratação de empresa especializada em engenharia elétrica para execução de obra de melhoria, eficientização e modernização da iluminação pública do Município de Mambaí – GO, compreendendo o fornecimento e instalação de luminárias públicas com tecnologia LED de potência entre 181W e 239W, braços de aço galvanizado, relés fotoelétricos com base, abraçadeiras de fixação, conectores, cabos elétricos, ferragens e demais componentes necessários à completa execução dos serviços, a serem executados nas vias públicas urbanas do Município de Mambaí – GO, conforme condições, especificações técnicas, quantitativos e exigências constantes no Memorial Descritivo, Projeto Elétrico, Planilha Orçamentária, Cronograma Físico-Financeiro, Plano de Trabalho, Termo de Referência e demais documentos técnicos integrantes do procedimento administrativo, conforme previsto no Plano de Ação nº 09032025-085056 – Emenda Parlamentar nº 202543990001 – JEFERSON RODRIGUES</t>
        </is>
      </c>
      <c r="L221" t="b">
        <v>1</v>
      </c>
      <c r="M221" t="inlineStr">
        <is>
          <t>iluminacao_publica</t>
        </is>
      </c>
      <c r="N221" t="inlineStr">
        <is>
          <t>iluminacao_publica</t>
        </is>
      </c>
      <c r="O221" t="n">
        <v>1440778.53</v>
      </c>
      <c r="P221" t="n">
        <v>1430000</v>
      </c>
      <c r="Q221" t="n">
        <v>1440778.53</v>
      </c>
      <c r="R221" t="n">
        <v>0.007481045681601017</v>
      </c>
      <c r="S221" t="n">
        <v>0</v>
      </c>
      <c r="T221" t="n">
        <v>1</v>
      </c>
      <c r="U221" t="n">
        <v>1</v>
      </c>
      <c r="V221" t="n">
        <v>1</v>
      </c>
      <c r="W221" t="n">
        <v>0</v>
      </c>
      <c r="X221" t="n">
        <v>0</v>
      </c>
      <c r="Y221" t="n">
        <v>0</v>
      </c>
      <c r="Z221" t="n">
        <v>0</v>
      </c>
      <c r="AA221" t="n">
        <v>0</v>
      </c>
      <c r="AB221" t="n">
        <v>0</v>
      </c>
      <c r="AC221" t="n">
        <v>0</v>
      </c>
      <c r="AD221" t="n">
        <v>0</v>
      </c>
      <c r="AE221" t="n">
        <v>1</v>
      </c>
      <c r="AF221" t="inlineStr">
        <is>
          <t>V ORTIZ SERVICOS E COMERCIO LTDA:ME</t>
        </is>
      </c>
      <c r="AH221" t="inlineStr">
        <is>
          <t>pontual</t>
        </is>
      </c>
      <c r="AI221" t="n">
        <v>3</v>
      </c>
      <c r="AJ221" t="n">
        <v>0</v>
      </c>
      <c r="AK221" t="n">
        <v>0</v>
      </c>
      <c r="AL221" t="n">
        <v>0</v>
      </c>
      <c r="AM221" t="n">
        <v>1</v>
      </c>
      <c r="AN221" t="n">
        <v>1</v>
      </c>
      <c r="AQ221" t="n">
        <v>0</v>
      </c>
      <c r="AR221" t="inlineStr">
        <is>
          <t>equipamento_alto</t>
        </is>
      </c>
      <c r="AS221" t="inlineStr">
        <is>
          <t>Fornecimento e instalação em massa de luminárias LED 181-239W (empreitada de R$1,44 mi); modernização/eficientização, não manutenção corretiva.</t>
        </is>
      </c>
      <c r="AT221" t="n">
        <v>0</v>
      </c>
      <c r="AU221" t="n">
        <v>0</v>
      </c>
    </row>
    <row r="222">
      <c r="A222" t="inlineStr">
        <is>
          <t>01743335000162_2026_102</t>
        </is>
      </c>
      <c r="B222" s="2" t="inlineStr">
        <is>
          <t>https://pncp.gov.br/app/editais/01743335000162/2026/102</t>
        </is>
      </c>
      <c r="C222" t="inlineStr">
        <is>
          <t>2026-09-27T02:35:31.099971+00:00</t>
        </is>
      </c>
      <c r="D222" t="inlineStr">
        <is>
          <t>GO</t>
        </is>
      </c>
      <c r="E222" t="inlineStr">
        <is>
          <t>GO</t>
        </is>
      </c>
      <c r="F222" t="inlineStr">
        <is>
          <t>Posse</t>
        </is>
      </c>
      <c r="G222" t="inlineStr">
        <is>
          <t>MUNICIPIO DE POSSE</t>
        </is>
      </c>
      <c r="H222" t="inlineStr">
        <is>
          <t>Municipal</t>
        </is>
      </c>
      <c r="I222" t="inlineStr">
        <is>
          <t>2026-05-27T14:54:59</t>
        </is>
      </c>
      <c r="J222" t="inlineStr">
        <is>
          <t>Pregão - Eletrônico</t>
        </is>
      </c>
      <c r="K222" t="inlineStr">
        <is>
          <t>REGISTRO DE PREÇOS PARA FUTURA E EVENTUAL AQUISIÇÃO DE EQUIPAMENTOS DE CLIMATIZAÇÃO E VENTILAÇÃO, COMPREENDENDO CLIMATIZADORES EVAPORATIVOS, VENTILADORES E APARELHOS DE AR-CONDICIONADO TIPO SPLIT INVERTER, EM DIFERENTES CAPACIDADES TÉCNICAS, DESTINADOS AO ATENDIMENTO DAS NECESSIDADES DAS SECRETARIAS, FUNDOS, DEPARTAMENTOS E DEMAIS UNIDADES ADMINISTRATIVAS INTEGRANTES DO PODER EXECUTIVO DO MUNICÍPIO DE POSSE – GO</t>
        </is>
      </c>
      <c r="L222" t="b">
        <v>1</v>
      </c>
      <c r="M222" t="inlineStr">
        <is>
          <t>climatizacao</t>
        </is>
      </c>
      <c r="N222" t="inlineStr">
        <is>
          <t>climatizacao</t>
        </is>
      </c>
      <c r="O222" t="n">
        <v>1914162.8</v>
      </c>
      <c r="P222" t="n">
        <v>970774.45</v>
      </c>
      <c r="Q222" t="n">
        <v>1914162.8</v>
      </c>
      <c r="R222" t="n">
        <v>0.4928464548574447</v>
      </c>
      <c r="S222" t="n">
        <v>0</v>
      </c>
      <c r="T222" t="n">
        <v>13</v>
      </c>
      <c r="U222" t="n">
        <v>13</v>
      </c>
      <c r="V222" t="n">
        <v>13</v>
      </c>
      <c r="W222" t="n">
        <v>0</v>
      </c>
      <c r="X222" t="n">
        <v>0</v>
      </c>
      <c r="Y222" t="n">
        <v>0</v>
      </c>
      <c r="Z222" t="n">
        <v>0</v>
      </c>
      <c r="AA222" t="n">
        <v>0</v>
      </c>
      <c r="AB222" t="n">
        <v>0</v>
      </c>
      <c r="AC222" t="n">
        <v>0</v>
      </c>
      <c r="AD222" t="n">
        <v>0</v>
      </c>
      <c r="AE222" t="n">
        <v>7</v>
      </c>
      <c r="AF222" t="inlineStr">
        <is>
          <t>VMLX ELETRONICOS EIRELI EPP:ME; 54.045.261 GISIANE EICHELBERGER DOS SANTOS:ME; MM DISTRIBUIDORA. INDUSTRIA E COMERCIO LTDA:ME; V4 COMERCIO E SERVICOS LTDA:ME; VENTISOL DA AMAZONIA INDUSTRIAL DE APARELHOS ELÉTRICOS:ME; CONSTRULUZ COMERCIO E IMPORTAÇÃO DE MATERIAIS DE CONSTRUÇÃO E ILUMINAÇÃO LTDA:ME; B2W INFORMATICA LTDA:ME</t>
        </is>
      </c>
      <c r="AH222" t="inlineStr">
        <is>
          <t>continuado</t>
        </is>
      </c>
      <c r="AI222" t="n">
        <v>12</v>
      </c>
      <c r="AJ222" t="n">
        <v>0</v>
      </c>
      <c r="AK222" t="n">
        <v>0</v>
      </c>
      <c r="AL222" t="n">
        <v>0</v>
      </c>
      <c r="AM222" t="n">
        <v>0</v>
      </c>
      <c r="AN222" t="n">
        <v>0</v>
      </c>
      <c r="AQ222" t="n">
        <v>1</v>
      </c>
      <c r="AR222" t="inlineStr">
        <is>
          <t>fornecimento_puro</t>
        </is>
      </c>
      <c r="AS222" t="inlineStr">
        <is>
          <t>heuristica automatica confirmada (fornecimento_puro): 13 item(ns), todos classificados como material (sem servico).</t>
        </is>
      </c>
      <c r="AT222" t="n">
        <v>0</v>
      </c>
      <c r="AU222" t="n">
        <v>0</v>
      </c>
    </row>
    <row r="223">
      <c r="A223" t="inlineStr">
        <is>
          <t>01753722000180_2026_232</t>
        </is>
      </c>
      <c r="B223" s="2" t="inlineStr">
        <is>
          <t>https://pncp.gov.br/app/editais/01753722000180/2026/232</t>
        </is>
      </c>
      <c r="C223" t="inlineStr">
        <is>
          <t>2026-09-27T03:43:26.463975+00:00</t>
        </is>
      </c>
      <c r="D223" t="inlineStr">
        <is>
          <t>GO</t>
        </is>
      </c>
      <c r="E223" t="inlineStr">
        <is>
          <t>GO</t>
        </is>
      </c>
      <c r="F223" t="inlineStr">
        <is>
          <t>Goiatuba</t>
        </is>
      </c>
      <c r="G223" t="inlineStr">
        <is>
          <t>MUNICIPIO DE GOIATUBA</t>
        </is>
      </c>
      <c r="H223" t="inlineStr">
        <is>
          <t>Municipal</t>
        </is>
      </c>
      <c r="I223" t="inlineStr">
        <is>
          <t>2026-05-11T14:47:28</t>
        </is>
      </c>
      <c r="J223" t="inlineStr">
        <is>
          <t>Pregão - Eletrônico</t>
        </is>
      </c>
      <c r="K223" t="inlineStr">
        <is>
          <t>CONTRATAÇÃO DE EMPRESA PARA FUTURO E EVENTUAL FORNECIMENTO DE MATERIAIS ELÉTRICOS DESTINADOS À MANUTENÇÃO DA ILUMINAÇÃO PÚBLICA, ATENDENDO ÀS NECESSIDADES DA PREFEITURA MUNICIPAL DE GOIATUBA, CONFORME DOCUMENTOS ANEXOS.</t>
        </is>
      </c>
      <c r="L223" t="b">
        <v>1</v>
      </c>
      <c r="M223" t="inlineStr">
        <is>
          <t>iluminacao_publica</t>
        </is>
      </c>
      <c r="N223" t="inlineStr">
        <is>
          <t>iluminacao_publica</t>
        </is>
      </c>
      <c r="O223" t="n">
        <v>3405545.5</v>
      </c>
      <c r="P223" t="n">
        <v>616135.5</v>
      </c>
      <c r="Q223" t="n">
        <v>616135.5</v>
      </c>
      <c r="R223" t="n">
        <v>0</v>
      </c>
      <c r="S223" t="n">
        <v>0</v>
      </c>
      <c r="T223" t="n">
        <v>139</v>
      </c>
      <c r="U223" t="n">
        <v>40</v>
      </c>
      <c r="V223" t="n">
        <v>139</v>
      </c>
      <c r="W223" t="n">
        <v>0</v>
      </c>
      <c r="X223" t="n">
        <v>0</v>
      </c>
      <c r="Y223" t="n">
        <v>0</v>
      </c>
      <c r="Z223" t="n">
        <v>0</v>
      </c>
      <c r="AA223" t="n">
        <v>0</v>
      </c>
      <c r="AB223" t="n">
        <v>0</v>
      </c>
      <c r="AC223" t="n">
        <v>0</v>
      </c>
      <c r="AD223" t="n">
        <v>0</v>
      </c>
      <c r="AE223" t="n">
        <v>1</v>
      </c>
      <c r="AF223" t="inlineStr">
        <is>
          <t>BRASIL ILUMINAÇÃO E CONSTRUÇÃO EIRELI ME:Demais</t>
        </is>
      </c>
      <c r="AH223" t="inlineStr">
        <is>
          <t>pontual</t>
        </is>
      </c>
      <c r="AJ223" t="n">
        <v>0</v>
      </c>
      <c r="AK223" t="n">
        <v>0</v>
      </c>
      <c r="AL223" t="n">
        <v>0</v>
      </c>
      <c r="AM223" t="n">
        <v>0</v>
      </c>
      <c r="AN223" t="n">
        <v>0</v>
      </c>
      <c r="AQ223" t="n">
        <v>1</v>
      </c>
      <c r="AR223" t="inlineStr">
        <is>
          <t>fornecimento_puro</t>
        </is>
      </c>
      <c r="AS223" t="inlineStr">
        <is>
          <t>Registro de preços/contratação de fornecimento de materiais, sem mão de obra de manutenção contratada.</t>
        </is>
      </c>
      <c r="AT223" t="n">
        <v>1</v>
      </c>
      <c r="AU223" t="n">
        <v>0</v>
      </c>
    </row>
    <row r="224">
      <c r="A224" t="inlineStr">
        <is>
          <t>01763614000198_2025_155</t>
        </is>
      </c>
      <c r="B224" s="2" t="inlineStr">
        <is>
          <t>https://pncp.gov.br/app/editais/01763614000198/2025/155</t>
        </is>
      </c>
      <c r="C224" t="inlineStr">
        <is>
          <t>2026-09-27T03:57:27.911216+00:00</t>
        </is>
      </c>
      <c r="D224" t="inlineStr">
        <is>
          <t>GO</t>
        </is>
      </c>
      <c r="E224" t="inlineStr">
        <is>
          <t>GO</t>
        </is>
      </c>
      <c r="F224" t="inlineStr">
        <is>
          <t>Campo Alegre de Goiás</t>
        </is>
      </c>
      <c r="G224" t="inlineStr">
        <is>
          <t>MUNICIPIO DE CAMPO ALEGRE DE GOIAS</t>
        </is>
      </c>
      <c r="H224" t="inlineStr">
        <is>
          <t>Municipal</t>
        </is>
      </c>
      <c r="I224" t="inlineStr">
        <is>
          <t>2025-12-22T14:57:20</t>
        </is>
      </c>
      <c r="J224" t="inlineStr">
        <is>
          <t>Pregão - Eletrônico</t>
        </is>
      </c>
      <c r="K224" t="inlineStr">
        <is>
          <t>CONTRATAÇÃO DE EMPRESA PARA PRESTAÇÃO DE SERVIÇOS DE LOCAÇÃO, INSTALAÇÃO, MANUTENÇÃO E RETIRADA DE TENDAS, DISCIPLINADOR, PALCO, TRIO ELÉTRICO, PAINEL DE LED, GERADOR DE ENERGIA, PLACAS DE FECHAMENTO, SISTEMA DE ILUMINAÇÃO PARA O PALCO PRINCIPAL, DESTINADOS AO ATENDIMENTO DE EVENTOS DIVERSOS DO MUNICÍPIO DE CAMPO ALEGRE DE GOIÁS - GO</t>
        </is>
      </c>
      <c r="L224" t="b">
        <v>1</v>
      </c>
      <c r="M224" t="inlineStr">
        <is>
          <t>eletrica_predial</t>
        </is>
      </c>
      <c r="N224" t="inlineStr">
        <is>
          <t>eletrica_predial</t>
        </is>
      </c>
      <c r="O224" t="n">
        <v>4124206</v>
      </c>
      <c r="P224" t="n">
        <v>3956477.5</v>
      </c>
      <c r="Q224" t="n">
        <v>4124206</v>
      </c>
      <c r="R224" t="n">
        <v>0.04066928276618577</v>
      </c>
      <c r="S224" t="n">
        <v>0</v>
      </c>
      <c r="T224" t="n">
        <v>16</v>
      </c>
      <c r="U224" t="n">
        <v>16</v>
      </c>
      <c r="V224" t="n">
        <v>16</v>
      </c>
      <c r="W224" t="n">
        <v>0</v>
      </c>
      <c r="X224" t="n">
        <v>0</v>
      </c>
      <c r="Y224" t="n">
        <v>0</v>
      </c>
      <c r="Z224" t="n">
        <v>0</v>
      </c>
      <c r="AA224" t="n">
        <v>0</v>
      </c>
      <c r="AB224" t="n">
        <v>0</v>
      </c>
      <c r="AC224" t="n">
        <v>0</v>
      </c>
      <c r="AD224" t="n">
        <v>0</v>
      </c>
      <c r="AE224" t="n">
        <v>1</v>
      </c>
      <c r="AF224" t="inlineStr">
        <is>
          <t>THORR MUSIC E EVENTOS LTDA:ME</t>
        </is>
      </c>
      <c r="AH224" t="inlineStr">
        <is>
          <t>indefinido</t>
        </is>
      </c>
      <c r="AJ224" t="n">
        <v>0</v>
      </c>
      <c r="AK224" t="n">
        <v>0</v>
      </c>
      <c r="AL224" t="n">
        <v>0</v>
      </c>
      <c r="AM224" t="n">
        <v>0</v>
      </c>
      <c r="AN224" t="n">
        <v>0</v>
      </c>
      <c r="AQ224" t="n">
        <v>0</v>
      </c>
      <c r="AR224" t="inlineStr">
        <is>
          <t>equipamento_alto</t>
        </is>
      </c>
      <c r="AS224" t="inlineStr">
        <is>
          <t>Confirmada exclusao automatica (equipamento_alto): o, instalacao, manutencao e retirada de tendas, disciplinador, palco, trio eletrico, painel de led, gerador de energia, placas de fechamento, sistema de iluminacao para o palco pri</t>
        </is>
      </c>
      <c r="AT224" t="n">
        <v>0</v>
      </c>
      <c r="AU224" t="n">
        <v>0</v>
      </c>
    </row>
    <row r="225">
      <c r="A225" t="inlineStr">
        <is>
          <t>01787506000155_2025_107</t>
        </is>
      </c>
      <c r="B225" s="2" t="inlineStr">
        <is>
          <t>https://pncp.gov.br/app/editais/01787506000155/2025/107</t>
        </is>
      </c>
      <c r="C225" t="inlineStr">
        <is>
          <t>2026-09-27T03:00:27.132657+00:00</t>
        </is>
      </c>
      <c r="D225" t="inlineStr">
        <is>
          <t>GO</t>
        </is>
      </c>
      <c r="E225" t="inlineStr">
        <is>
          <t>GO</t>
        </is>
      </c>
      <c r="F225" t="inlineStr">
        <is>
          <t>Caldas Novas</t>
        </is>
      </c>
      <c r="G225" t="inlineStr">
        <is>
          <t>MUNICIPIO DE CALDAS NOVAS</t>
        </is>
      </c>
      <c r="H225" t="inlineStr">
        <is>
          <t>Municipal</t>
        </is>
      </c>
      <c r="I225" t="inlineStr">
        <is>
          <t>2025-06-25T08:13:58</t>
        </is>
      </c>
      <c r="J225" t="inlineStr">
        <is>
          <t>Pregão - Eletrônico</t>
        </is>
      </c>
      <c r="K225" t="inlineStr">
        <is>
          <t>REGISTRO DE PREÇO PARA FUTURA E EVENTUAL   CONTRATAÇÃO DE EMPRESA ESPECIALIZADA EM SERVIÇOS DE MANUTENÇÃO CORRETIVA E PREVENTIVA DOS APARELHOS DE AR CONDICIONADO ATENDER AS DEMANDAS DA SECRETARIA MUNICIPAL DE AÇÃO SOCIAL E OS PROGRAMAS PERTENCENTES À SECRETARIA.</t>
        </is>
      </c>
      <c r="L225" t="b">
        <v>1</v>
      </c>
      <c r="M225" t="inlineStr">
        <is>
          <t>climatizacao</t>
        </is>
      </c>
      <c r="N225" t="inlineStr">
        <is>
          <t>climatizacao</t>
        </is>
      </c>
      <c r="O225" t="n">
        <v>163550.4</v>
      </c>
      <c r="P225" t="n">
        <v>81795</v>
      </c>
      <c r="Q225" t="n">
        <v>163550.4</v>
      </c>
      <c r="R225" t="n">
        <v>0.4998789364012561</v>
      </c>
      <c r="S225" t="n">
        <v>0</v>
      </c>
      <c r="T225" t="n">
        <v>1</v>
      </c>
      <c r="U225" t="n">
        <v>1</v>
      </c>
      <c r="V225" t="n">
        <v>1</v>
      </c>
      <c r="W225" t="n">
        <v>0</v>
      </c>
      <c r="X225" t="n">
        <v>0</v>
      </c>
      <c r="Y225" t="n">
        <v>0</v>
      </c>
      <c r="Z225" t="n">
        <v>0</v>
      </c>
      <c r="AA225" t="n">
        <v>0</v>
      </c>
      <c r="AB225" t="n">
        <v>0</v>
      </c>
      <c r="AC225" t="n">
        <v>0</v>
      </c>
      <c r="AD225" t="n">
        <v>0</v>
      </c>
      <c r="AE225" t="n">
        <v>1</v>
      </c>
      <c r="AF225" t="inlineStr">
        <is>
          <t>IMPERIO SERVICOS LTDA:ME</t>
        </is>
      </c>
      <c r="AH225" t="inlineStr">
        <is>
          <t>pontual</t>
        </is>
      </c>
      <c r="AJ225" t="n">
        <v>0</v>
      </c>
      <c r="AK225" t="n">
        <v>0</v>
      </c>
      <c r="AL225" t="n">
        <v>0</v>
      </c>
      <c r="AM225" t="n">
        <v>0</v>
      </c>
      <c r="AN225" t="n">
        <v>0</v>
      </c>
      <c r="AQ225" t="n">
        <v>1</v>
      </c>
      <c r="AS225" t="inlineStr">
        <is>
          <t>servico de manutencao corretiva/preventiva de AC; item unico mal cadastrado como Material.</t>
        </is>
      </c>
      <c r="AT225" t="n">
        <v>1</v>
      </c>
      <c r="AU225" t="n">
        <v>1</v>
      </c>
    </row>
    <row r="226">
      <c r="A226" t="inlineStr">
        <is>
          <t>01787506000155_2025_119</t>
        </is>
      </c>
      <c r="B226" s="2" t="inlineStr">
        <is>
          <t>https://pncp.gov.br/app/editais/01787506000155/2025/119</t>
        </is>
      </c>
      <c r="C226" t="inlineStr">
        <is>
          <t>2026-09-27T02:59:52.211814+00:00</t>
        </is>
      </c>
      <c r="D226" t="inlineStr">
        <is>
          <t>GO</t>
        </is>
      </c>
      <c r="E226" t="inlineStr">
        <is>
          <t>GO</t>
        </is>
      </c>
      <c r="F226" t="inlineStr">
        <is>
          <t>Caldas Novas</t>
        </is>
      </c>
      <c r="G226" t="inlineStr">
        <is>
          <t>MUNICIPIO DE CALDAS NOVAS</t>
        </is>
      </c>
      <c r="H226" t="inlineStr">
        <is>
          <t>Municipal</t>
        </is>
      </c>
      <c r="I226" t="inlineStr">
        <is>
          <t>2025-07-11T09:10:00</t>
        </is>
      </c>
      <c r="J226" t="inlineStr">
        <is>
          <t>Pregão - Eletrônico</t>
        </is>
      </c>
      <c r="K226" t="inlineStr">
        <is>
          <t xml:space="preserve">REGISTRO DE PREÇO PARA FUTURA E EVENTUAL CONTRATAÇÃO DE EMPRESA ESPECIALIZADA NA PRESTAÇÃO DE SERVIÇOS DE MANUTENÇÃO PREVENTIVA E CORRETIVA DOS SISTEMAS CENTRAIS DE AR CONDICIONADO E CLIMATIZADORES NAS UNIDADES DE ENSINO E SETORES ADMINISTRATIVOS DA SECRETARIA MUNICIPAL DE EDUCAÇÃO DE CALDAS NOVAS – GO. </t>
        </is>
      </c>
      <c r="L226" t="b">
        <v>1</v>
      </c>
      <c r="M226" t="inlineStr">
        <is>
          <t>climatizacao</t>
        </is>
      </c>
      <c r="N226" t="inlineStr">
        <is>
          <t>climatizacao</t>
        </is>
      </c>
      <c r="O226" t="n">
        <v>1407290.72</v>
      </c>
      <c r="P226" t="n">
        <v>1049900</v>
      </c>
      <c r="Q226" t="n">
        <v>1407290.72</v>
      </c>
      <c r="R226" t="n">
        <v>0.2539565669842547</v>
      </c>
      <c r="S226" t="n">
        <v>0</v>
      </c>
      <c r="T226" t="n">
        <v>2</v>
      </c>
      <c r="U226" t="n">
        <v>2</v>
      </c>
      <c r="V226" t="n">
        <v>2</v>
      </c>
      <c r="W226" t="n">
        <v>0</v>
      </c>
      <c r="X226" t="n">
        <v>0</v>
      </c>
      <c r="Y226" t="n">
        <v>0</v>
      </c>
      <c r="Z226" t="n">
        <v>0</v>
      </c>
      <c r="AA226" t="n">
        <v>0</v>
      </c>
      <c r="AB226" t="n">
        <v>0</v>
      </c>
      <c r="AC226" t="n">
        <v>0</v>
      </c>
      <c r="AD226" t="n">
        <v>0</v>
      </c>
      <c r="AE226" t="n">
        <v>1</v>
      </c>
      <c r="AF226" t="inlineStr">
        <is>
          <t>PHB COMERCIO, IMPORTAÇÃO E  PRESTAÇÃO DE SERVIÇOS LTDA:ME</t>
        </is>
      </c>
      <c r="AH226" t="inlineStr">
        <is>
          <t>pontual</t>
        </is>
      </c>
      <c r="AJ226" t="n">
        <v>0</v>
      </c>
      <c r="AK226" t="n">
        <v>0</v>
      </c>
      <c r="AL226" t="n">
        <v>0</v>
      </c>
      <c r="AM226" t="n">
        <v>0</v>
      </c>
      <c r="AN226" t="n">
        <v>0</v>
      </c>
      <c r="AQ226" t="n">
        <v>0</v>
      </c>
      <c r="AS226" t="inlineStr">
        <is>
          <t>heuristica automatica confirmada: servico real de climatizacao, sem sinais de exclusao.</t>
        </is>
      </c>
      <c r="AT226" t="n">
        <v>0</v>
      </c>
      <c r="AU226" t="n">
        <v>1</v>
      </c>
    </row>
    <row r="227">
      <c r="A227" t="inlineStr">
        <is>
          <t>01787506000155_2026_103</t>
        </is>
      </c>
      <c r="B227" s="2" t="inlineStr">
        <is>
          <t>https://pncp.gov.br/app/editais/01787506000155/2026/103</t>
        </is>
      </c>
      <c r="C227" t="inlineStr">
        <is>
          <t>2026-09-27T14:31:39.713911+00:00</t>
        </is>
      </c>
      <c r="D227" t="inlineStr">
        <is>
          <t>GO</t>
        </is>
      </c>
      <c r="E227" t="inlineStr">
        <is>
          <t>GO</t>
        </is>
      </c>
      <c r="F227" t="inlineStr">
        <is>
          <t>Caldas Novas</t>
        </is>
      </c>
      <c r="G227" t="inlineStr">
        <is>
          <t>MUNICIPIO DE CALDAS NOVAS</t>
        </is>
      </c>
      <c r="H227" t="inlineStr">
        <is>
          <t>Municipal</t>
        </is>
      </c>
      <c r="I227" t="inlineStr">
        <is>
          <t>2026-05-27T10:24:49</t>
        </is>
      </c>
      <c r="J227" t="inlineStr">
        <is>
          <t>Pregão - Eletrônico</t>
        </is>
      </c>
      <c r="K227" t="inlineStr">
        <is>
          <t>REGISTRO DE PREÇO PARA FUTURA E EVENTUAL AQUISIÇÃO DE MATERIAIS DE MANUTENÇÃO, COMPREENDENDO FERRAMENTAS, EQUIPAMENTOS E MATERIAIS DE REPARO, DESTINADOS À MANUTENÇÃO DA FROTA (VEÍCULOS), PREDIAL, ELÉTRICA, HIDRÁULICA E DE MOBILIÁRIO DAS UNIDADES ESCOLARES E DEMAIS DEPENDÊNCIAS VINCULADAS À SECRETARIA MUNICIPAL DE EDUCAÇÃO DE CALDAS NOVAS</t>
        </is>
      </c>
      <c r="L227" t="b">
        <v>1</v>
      </c>
      <c r="M227" t="inlineStr">
        <is>
          <t>eletrica_predial</t>
        </is>
      </c>
      <c r="N227" t="inlineStr">
        <is>
          <t>eletrica_predial</t>
        </is>
      </c>
      <c r="O227" t="n">
        <v>190429.78</v>
      </c>
      <c r="P227" t="n">
        <v>11889.02</v>
      </c>
      <c r="Q227" t="n">
        <v>11889.97</v>
      </c>
      <c r="R227" t="n">
        <v>7.568116458010329e-05</v>
      </c>
      <c r="S227" t="n">
        <v>0</v>
      </c>
      <c r="T227" t="n">
        <v>146</v>
      </c>
      <c r="U227" t="n">
        <v>20</v>
      </c>
      <c r="V227" t="n">
        <v>57</v>
      </c>
      <c r="W227" t="n">
        <v>64</v>
      </c>
      <c r="X227" t="n">
        <v>25</v>
      </c>
      <c r="Y227" t="n">
        <v>0</v>
      </c>
      <c r="Z227" t="n">
        <v>1</v>
      </c>
      <c r="AA227" t="n">
        <v>1</v>
      </c>
      <c r="AB227" t="n">
        <v>0</v>
      </c>
      <c r="AC227" t="n">
        <v>0</v>
      </c>
      <c r="AD227" t="n">
        <v>1</v>
      </c>
      <c r="AE227" t="n">
        <v>1</v>
      </c>
      <c r="AF227" t="inlineStr">
        <is>
          <t>COMERCIAL D e V LTDA:EPP</t>
        </is>
      </c>
      <c r="AH227" t="inlineStr">
        <is>
          <t>pontual</t>
        </is>
      </c>
      <c r="AI227" t="n">
        <v>3</v>
      </c>
      <c r="AJ227" t="n">
        <v>0</v>
      </c>
      <c r="AK227" t="n">
        <v>0</v>
      </c>
      <c r="AL227" t="n">
        <v>0</v>
      </c>
      <c r="AM227" t="n">
        <v>0</v>
      </c>
      <c r="AN227" t="n">
        <v>0</v>
      </c>
      <c r="AP227" t="inlineStr">
        <is>
          <t>preços, ou revogar a licitação. 6.9 QUALIFICAÇÃO TÉCNICA 6.9.1 Apresentação de no mínimo 01 (um) atestado de capacidade técnica, que comprove já ter fornecido os produtos constantes do objeto desta licitação, bem como se foram cumpridos os prazos estabelecidos e o grau de satisfação. Tal atestado de…</t>
        </is>
      </c>
      <c r="AQ227" t="n">
        <v>1</v>
      </c>
      <c r="AR227" t="inlineStr">
        <is>
          <t>mencao_passagem</t>
        </is>
      </c>
      <c r="AS227" t="inlineStr">
        <is>
          <t xml:space="preserve">Confirmada exclusao automatica (mencao_passagem): o, compreendendo ferramentas, equipamentos e materiais de reparo, destinados a manutencao da frota (veiculos), predial, eletrica, hidraulica e de mobiliario das unidades escolares </t>
        </is>
      </c>
      <c r="AT227" t="n">
        <v>0</v>
      </c>
      <c r="AU227" t="n">
        <v>0</v>
      </c>
    </row>
    <row r="228">
      <c r="A228" t="inlineStr">
        <is>
          <t>01788082000143_2026_22</t>
        </is>
      </c>
      <c r="B228" s="2" t="inlineStr">
        <is>
          <t>https://pncp.gov.br/app/editais/01788082000143/2026/22</t>
        </is>
      </c>
      <c r="C228" t="inlineStr">
        <is>
          <t>2026-09-27T04:31:09.252264+00:00</t>
        </is>
      </c>
      <c r="D228" t="inlineStr">
        <is>
          <t>GO</t>
        </is>
      </c>
      <c r="E228" t="inlineStr">
        <is>
          <t>GO</t>
        </is>
      </c>
      <c r="F228" t="inlineStr">
        <is>
          <t>Edéia</t>
        </is>
      </c>
      <c r="G228" t="inlineStr">
        <is>
          <t>MUNICIPIO DE EDEIA</t>
        </is>
      </c>
      <c r="H228" t="inlineStr">
        <is>
          <t>Municipal</t>
        </is>
      </c>
      <c r="I228" t="inlineStr">
        <is>
          <t>2026-05-22T15:16:57</t>
        </is>
      </c>
      <c r="J228" t="inlineStr">
        <is>
          <t>Pregão - Eletrônico</t>
        </is>
      </c>
      <c r="K228" t="inlineStr">
        <is>
          <t>REGISTRO DE PREÇOS PARA FUTURA E EVENTUAL CONTRATAÇÃO DE EMPRESA ESPECIALIZADA PARA O FORNECIMENTO PARCELADO DE MATERIAIS ELÉTRICOS, DESTINADOS À MANUTENÇÃO PREVENTIVA E CORRETIVA DA ILUMINAÇÃO PÚBLICA, PRÉDIOS PÚBLICOS, UNIDADES ADMINISTRATIVAS, ESCOLAS, UNIDADES DE SAÚDE E DEMAIS ÓRGÃOS VINCULADOS À PREFEITURA MUNICIPAL DE EDÉIA, CONFORME ESPECIFICAÇÕES E CONDIÇÕES CONSTANTES NESTE EDITAL E SEUS ANEXOS.</t>
        </is>
      </c>
      <c r="L228" t="b">
        <v>1</v>
      </c>
      <c r="M228" t="inlineStr">
        <is>
          <t>iluminacao_publica</t>
        </is>
      </c>
      <c r="N228" t="inlineStr">
        <is>
          <t>iluminacao_publica</t>
        </is>
      </c>
      <c r="O228" t="n">
        <v>1252119.5</v>
      </c>
      <c r="P228" t="n">
        <v>340716.5</v>
      </c>
      <c r="Q228" t="n">
        <v>1252119.5</v>
      </c>
      <c r="R228" t="n">
        <v>0.7278881927803217</v>
      </c>
      <c r="S228" t="n">
        <v>0</v>
      </c>
      <c r="T228" t="n">
        <v>17</v>
      </c>
      <c r="U228" t="n">
        <v>17</v>
      </c>
      <c r="V228" t="n">
        <v>17</v>
      </c>
      <c r="W228" t="n">
        <v>0</v>
      </c>
      <c r="X228" t="n">
        <v>0</v>
      </c>
      <c r="Y228" t="n">
        <v>0</v>
      </c>
      <c r="Z228" t="n">
        <v>0</v>
      </c>
      <c r="AA228" t="n">
        <v>0</v>
      </c>
      <c r="AB228" t="n">
        <v>0</v>
      </c>
      <c r="AC228" t="n">
        <v>0</v>
      </c>
      <c r="AD228" t="n">
        <v>0</v>
      </c>
      <c r="AE228" t="n">
        <v>5</v>
      </c>
      <c r="AF228" t="inlineStr">
        <is>
          <t>ADRIANA LEME ALVES MATERIAIS ELETRICOS ME:ME; PREDIAL EDEIA MADEIRA E MATERIAIS PARA CONSTRUCAO LTDA:ME; CBX COMERCIAL IMPORTADORA LTDA:ME; GLOBEXX DO BRASIL IMPORTAÇÃO E EXPORTAÇÃO  LTDA:ME; DANTAS &amp; ALENCAR SOLUCOES E SERVICOS LTDA:ME</t>
        </is>
      </c>
      <c r="AH228" t="inlineStr">
        <is>
          <t>pontual</t>
        </is>
      </c>
      <c r="AJ228" t="n">
        <v>0</v>
      </c>
      <c r="AK228" t="n">
        <v>0</v>
      </c>
      <c r="AL228" t="n">
        <v>0</v>
      </c>
      <c r="AM228" t="n">
        <v>0</v>
      </c>
      <c r="AN228" t="n">
        <v>0</v>
      </c>
      <c r="AQ228" t="n">
        <v>0.9976280219260223</v>
      </c>
      <c r="AR228" t="inlineStr">
        <is>
          <t>fornecimento_puro</t>
        </is>
      </c>
      <c r="AS228" t="inlineStr">
        <is>
          <t>Registro de preços de fornecimento parcelado de materiais elétricos (99,8% material) para manutenção de IP/prédios/escolas; é aquisição de material, sem contratação de mão de obra (a heurística automática rotulou como equipamento_alto por cruzar o limiar de 40% em material; reclassificado para fornecimento_puro, que descreve melhor a natureza do caso, mas a decisão de exclusão permanece).</t>
        </is>
      </c>
      <c r="AT228" t="n">
        <v>0</v>
      </c>
      <c r="AU228" t="n">
        <v>0</v>
      </c>
    </row>
    <row r="229">
      <c r="A229" t="inlineStr">
        <is>
          <t>01788082000143_2026_24</t>
        </is>
      </c>
      <c r="B229" s="2" t="inlineStr">
        <is>
          <t>https://pncp.gov.br/app/editais/01788082000143/2026/24</t>
        </is>
      </c>
      <c r="C229" t="inlineStr">
        <is>
          <t>2026-09-27T14:31:11.528689+00:00</t>
        </is>
      </c>
      <c r="D229" t="inlineStr">
        <is>
          <t>GO</t>
        </is>
      </c>
      <c r="E229" t="inlineStr">
        <is>
          <t>GO</t>
        </is>
      </c>
      <c r="F229" t="inlineStr">
        <is>
          <t>Edéia</t>
        </is>
      </c>
      <c r="G229" t="inlineStr">
        <is>
          <t>MUNICIPIO DE EDEIA</t>
        </is>
      </c>
      <c r="H229" t="inlineStr">
        <is>
          <t>Municipal</t>
        </is>
      </c>
      <c r="I229" t="inlineStr">
        <is>
          <t>2026-06-01T16:26:53</t>
        </is>
      </c>
      <c r="J229" t="inlineStr">
        <is>
          <t>Pregão - Presencial</t>
        </is>
      </c>
      <c r="K229" t="inlineStr">
        <is>
          <t>CONTRATAÇÃO DE EMPRESA ESPECIALIZADA PARA FUTURA E EVENTUAL PRESTAÇÃO DE SERVIÇOS DE AUTO ELÉTRICA, DESTINADOS AO REPARO, MANUTENÇÃO PREVENTIVA E CORRETIVA DOS VEÍCULOS PERTENCENTES À FROTA DAS DIVERSAS SECRETARIAS MUNICIPAIS DE EDÉIA/GO, MEDIANTE SISTEMA DE REGISTRO DE PREÇOS – SRP, CONFORME CONDIÇÕES, QUANTIDADES E EXIGÊNCIAS ESTABELECIDAS NESTE INSTRUMENTO.</t>
        </is>
      </c>
      <c r="L229" t="b">
        <v>1</v>
      </c>
      <c r="M229" t="inlineStr">
        <is>
          <t>eletrica_predial</t>
        </is>
      </c>
      <c r="N229" t="inlineStr">
        <is>
          <t>eletrica_predial</t>
        </is>
      </c>
      <c r="O229" t="n">
        <v>409560</v>
      </c>
      <c r="P229" t="n">
        <v>360000</v>
      </c>
      <c r="Q229" t="n">
        <v>409560</v>
      </c>
      <c r="R229" t="n">
        <v>0.1210079109288017</v>
      </c>
      <c r="S229" t="n">
        <v>0</v>
      </c>
      <c r="T229" t="n">
        <v>1</v>
      </c>
      <c r="U229" t="n">
        <v>1</v>
      </c>
      <c r="V229" t="n">
        <v>1</v>
      </c>
      <c r="W229" t="n">
        <v>0</v>
      </c>
      <c r="X229" t="n">
        <v>0</v>
      </c>
      <c r="Y229" t="n">
        <v>0</v>
      </c>
      <c r="Z229" t="n">
        <v>0</v>
      </c>
      <c r="AA229" t="n">
        <v>0</v>
      </c>
      <c r="AB229" t="n">
        <v>0</v>
      </c>
      <c r="AC229" t="n">
        <v>0</v>
      </c>
      <c r="AD229" t="n">
        <v>0</v>
      </c>
      <c r="AE229" t="n">
        <v>1</v>
      </c>
      <c r="AF229" t="inlineStr">
        <is>
          <t>LUIZ FERNANDO LOPES SILVA 03199367160:ME</t>
        </is>
      </c>
      <c r="AH229" t="inlineStr">
        <is>
          <t>continuado</t>
        </is>
      </c>
      <c r="AI229" t="n">
        <v>12</v>
      </c>
      <c r="AJ229" t="n">
        <v>0</v>
      </c>
      <c r="AK229" t="n">
        <v>0</v>
      </c>
      <c r="AL229" t="n">
        <v>0</v>
      </c>
      <c r="AM229" t="n">
        <v>0</v>
      </c>
      <c r="AN229" t="n">
        <v>0</v>
      </c>
      <c r="AP229" t="inlineStr">
        <is>
          <t>de forma expressa, de forma conjunta ou de forma individual. 7.5. QUALIFICAÇÃO TÉCNICA a) Atestado de capacidade técnica emitido por pessoa jurídica de direi to público ou privado, comprovando aptidão para execução de serviços compatíveis com o objeto da presente contratação. 7.6. OUTROS DOCUMENTOS…</t>
        </is>
      </c>
      <c r="AQ229" t="n">
        <v>0</v>
      </c>
      <c r="AR229" t="inlineStr">
        <is>
          <t>mencao_passagem</t>
        </is>
      </c>
      <c r="AS229" t="inlineStr">
        <is>
          <t>Confirmada exclusao automatica (mencao_passagem): prestacao de servicos de auto eletrica, destinados ao reparo, manutencao preventiva e corretiva dos veiculos pertencentes a frota das diversas secretarias municipais de edeia/go, m</t>
        </is>
      </c>
      <c r="AT229" t="n">
        <v>0</v>
      </c>
      <c r="AU229" t="n">
        <v>0</v>
      </c>
    </row>
    <row r="230">
      <c r="A230" t="inlineStr">
        <is>
          <t>01789551000149_2026_389</t>
        </is>
      </c>
      <c r="B230" s="2" t="inlineStr">
        <is>
          <t>https://pncp.gov.br/app/editais/01789551000149/2026/389</t>
        </is>
      </c>
      <c r="C230" t="inlineStr">
        <is>
          <t>2026-09-27T04:29:06.131393+00:00</t>
        </is>
      </c>
      <c r="D230" t="inlineStr">
        <is>
          <t>GO</t>
        </is>
      </c>
      <c r="E230" t="inlineStr">
        <is>
          <t>GO</t>
        </is>
      </c>
      <c r="F230" t="inlineStr">
        <is>
          <t>Morrinhos</t>
        </is>
      </c>
      <c r="G230" t="inlineStr">
        <is>
          <t>MUNICIPIO DE MORRINHOS</t>
        </is>
      </c>
      <c r="H230" t="inlineStr">
        <is>
          <t>Municipal</t>
        </is>
      </c>
      <c r="I230" t="inlineStr">
        <is>
          <t>2026-06-11T10:40:42</t>
        </is>
      </c>
      <c r="J230" t="inlineStr">
        <is>
          <t>Pregão - Eletrônico</t>
        </is>
      </c>
      <c r="K230" t="inlineStr">
        <is>
          <t>CONTRATAÇÃO, POR MEIO DE ADESÃO À ATA DE REGISTRO DE PREÇOS, DE EMPRESA ESPECIALIZADA NO FORNECIMENTO DE MATERIAIS ELÉTRICOS DESTINADOS À ILUMINAÇÃO PÚBLICA, VISANDO ATENDER ÀS DEMANDAS DA ASSESSORIA DE PLANEJAMENTO E COORDENAÇÃO DO MUNICÍPIO.</t>
        </is>
      </c>
      <c r="L230" t="b">
        <v>1</v>
      </c>
      <c r="M230" t="inlineStr">
        <is>
          <t>iluminacao_publica</t>
        </is>
      </c>
      <c r="N230" t="inlineStr">
        <is>
          <t>iluminacao_publica</t>
        </is>
      </c>
      <c r="O230" t="n">
        <v>3286554.76</v>
      </c>
      <c r="P230" t="n">
        <v>643288.0699999999</v>
      </c>
      <c r="Q230" t="n">
        <v>707374.9346</v>
      </c>
      <c r="R230" t="n">
        <v>0.09059815589343613</v>
      </c>
      <c r="S230" t="n">
        <v>0</v>
      </c>
      <c r="T230" t="n">
        <v>65</v>
      </c>
      <c r="U230" t="n">
        <v>40</v>
      </c>
      <c r="V230" t="n">
        <v>65</v>
      </c>
      <c r="W230" t="n">
        <v>0</v>
      </c>
      <c r="X230" t="n">
        <v>0</v>
      </c>
      <c r="Y230" t="n">
        <v>0</v>
      </c>
      <c r="Z230" t="n">
        <v>0</v>
      </c>
      <c r="AA230" t="n">
        <v>0</v>
      </c>
      <c r="AB230" t="n">
        <v>0</v>
      </c>
      <c r="AC230" t="n">
        <v>0</v>
      </c>
      <c r="AD230" t="n">
        <v>0</v>
      </c>
      <c r="AE230" t="n">
        <v>1</v>
      </c>
      <c r="AF230" t="inlineStr">
        <is>
          <t>LEDLUZ INDÚSTRIA E COMÉRCIO LTDA - EPP:Demais</t>
        </is>
      </c>
      <c r="AH230" t="inlineStr">
        <is>
          <t>pontual</t>
        </is>
      </c>
      <c r="AJ230" t="n">
        <v>0</v>
      </c>
      <c r="AK230" t="n">
        <v>0</v>
      </c>
      <c r="AL230" t="n">
        <v>0</v>
      </c>
      <c r="AM230" t="n">
        <v>0</v>
      </c>
      <c r="AN230" t="n">
        <v>0</v>
      </c>
      <c r="AQ230" t="n">
        <v>1</v>
      </c>
      <c r="AR230" t="inlineStr">
        <is>
          <t>fornecimento_puro</t>
        </is>
      </c>
      <c r="AS230" t="inlineStr">
        <is>
          <t>Registro de preços/contratação de fornecimento de materiais, sem mão de obra de manutenção contratada.</t>
        </is>
      </c>
      <c r="AT230" t="n">
        <v>0</v>
      </c>
      <c r="AU230" t="n">
        <v>0</v>
      </c>
    </row>
    <row r="231">
      <c r="A231" t="inlineStr">
        <is>
          <t>01791276000106_2025_12</t>
        </is>
      </c>
      <c r="B231" s="2" t="inlineStr">
        <is>
          <t>https://pncp.gov.br/app/editais/01791276000106/2025/12</t>
        </is>
      </c>
      <c r="C231" t="inlineStr">
        <is>
          <t>2026-09-27T03:06:21.755109+00:00</t>
        </is>
      </c>
      <c r="D231" t="inlineStr">
        <is>
          <t>GO</t>
        </is>
      </c>
      <c r="E231" t="inlineStr">
        <is>
          <t>GO</t>
        </is>
      </c>
      <c r="F231" t="inlineStr">
        <is>
          <t>Pontalina</t>
        </is>
      </c>
      <c r="G231" t="inlineStr">
        <is>
          <t>MUNICIPIO DE PONTALINA</t>
        </is>
      </c>
      <c r="H231" t="inlineStr">
        <is>
          <t>Municipal</t>
        </is>
      </c>
      <c r="I231" t="inlineStr">
        <is>
          <t>2025-01-31T14:58:19</t>
        </is>
      </c>
      <c r="J231" t="inlineStr">
        <is>
          <t>Pregão - Presencial</t>
        </is>
      </c>
      <c r="K231" t="inlineStr">
        <is>
          <t>REGISTRO DE PREÇOS PARA EVENTUAL E FUTURA CONTRATAÇÃO DE EMPRESA ESPECIALIZADA NA MANUTENÇÃO PREVENTIVA E REPARADORA DE APARELHOS DE AR CONDICIONADO, EM ATENDIMENTO ÀS NECESSIDADES DA PREFEITURA MUN. DE PONTALINA.</t>
        </is>
      </c>
      <c r="L231" t="b">
        <v>1</v>
      </c>
      <c r="M231" t="inlineStr">
        <is>
          <t>climatizacao</t>
        </is>
      </c>
      <c r="N231" t="inlineStr">
        <is>
          <t>climatizacao</t>
        </is>
      </c>
      <c r="O231" t="n">
        <v>469881</v>
      </c>
      <c r="P231" t="n">
        <v>164600</v>
      </c>
      <c r="Q231" t="n">
        <v>469881</v>
      </c>
      <c r="R231" t="n">
        <v>0.649698540694346</v>
      </c>
      <c r="S231" t="n">
        <v>0</v>
      </c>
      <c r="T231" t="n">
        <v>4</v>
      </c>
      <c r="U231" t="n">
        <v>4</v>
      </c>
      <c r="V231" t="n">
        <v>4</v>
      </c>
      <c r="W231" t="n">
        <v>0</v>
      </c>
      <c r="X231" t="n">
        <v>0</v>
      </c>
      <c r="Y231" t="n">
        <v>0</v>
      </c>
      <c r="Z231" t="n">
        <v>0</v>
      </c>
      <c r="AA231" t="n">
        <v>0</v>
      </c>
      <c r="AB231" t="n">
        <v>0</v>
      </c>
      <c r="AC231" t="n">
        <v>0</v>
      </c>
      <c r="AD231" t="n">
        <v>0</v>
      </c>
      <c r="AE231" t="n">
        <v>1</v>
      </c>
      <c r="AF231" t="inlineStr">
        <is>
          <t>MEGA CLIMA ENGENHARIA TERMICA LTDA:ME</t>
        </is>
      </c>
      <c r="AH231" t="inlineStr">
        <is>
          <t>pontual</t>
        </is>
      </c>
      <c r="AJ231" t="n">
        <v>0</v>
      </c>
      <c r="AK231" t="n">
        <v>0</v>
      </c>
      <c r="AL231" t="n">
        <v>0</v>
      </c>
      <c r="AM231" t="n">
        <v>0</v>
      </c>
      <c r="AN231" t="n">
        <v>0</v>
      </c>
      <c r="AQ231" t="n">
        <v>0</v>
      </c>
      <c r="AS231" t="inlineStr">
        <is>
          <t>heuristica automatica confirmada: servico real de climatizacao, sem sinais de exclusao.</t>
        </is>
      </c>
      <c r="AT231" t="n">
        <v>0</v>
      </c>
      <c r="AU231" t="n">
        <v>1</v>
      </c>
    </row>
    <row r="232">
      <c r="A232" t="inlineStr">
        <is>
          <t>01791276000106_2026_62</t>
        </is>
      </c>
      <c r="B232" s="2" t="inlineStr">
        <is>
          <t>https://pncp.gov.br/app/editais/01791276000106/2026/62</t>
        </is>
      </c>
      <c r="C232" t="inlineStr">
        <is>
          <t>2026-09-27T04:30:45.240455+00:00</t>
        </is>
      </c>
      <c r="D232" t="inlineStr">
        <is>
          <t>GO</t>
        </is>
      </c>
      <c r="E232" t="inlineStr">
        <is>
          <t>GO</t>
        </is>
      </c>
      <c r="F232" t="inlineStr">
        <is>
          <t>Pontalina</t>
        </is>
      </c>
      <c r="G232" t="inlineStr">
        <is>
          <t>MUNICIPIO DE PONTALINA</t>
        </is>
      </c>
      <c r="H232" t="inlineStr">
        <is>
          <t>Municipal</t>
        </is>
      </c>
      <c r="I232" t="inlineStr">
        <is>
          <t>2026-06-02T16:10:23</t>
        </is>
      </c>
      <c r="J232" t="inlineStr">
        <is>
          <t>Pregão - Presencial</t>
        </is>
      </c>
      <c r="K232" t="inlineStr">
        <is>
          <t>Locação de caminhão com escada giratória e cesto aéreo para manutenção da rede de iluminação pública em atendimento das necessidades da Prefeitura de Pontalina, conforme condições, descrições, quantidades e exigências estabelecidas neste Termo de Referência.</t>
        </is>
      </c>
      <c r="L232" t="b">
        <v>0</v>
      </c>
      <c r="M232" t="inlineStr">
        <is>
          <t>iluminacao_publica</t>
        </is>
      </c>
      <c r="N232" t="inlineStr">
        <is>
          <t>iluminacao_publica</t>
        </is>
      </c>
      <c r="O232" t="n">
        <v>90740.03999999999</v>
      </c>
      <c r="P232" t="n">
        <v>90732</v>
      </c>
      <c r="Q232" t="n">
        <v>90740.03999999999</v>
      </c>
      <c r="R232" t="n">
        <v>8.860476587846387e-05</v>
      </c>
      <c r="S232" t="n">
        <v>0</v>
      </c>
      <c r="T232" t="n">
        <v>1</v>
      </c>
      <c r="U232" t="n">
        <v>1</v>
      </c>
      <c r="V232" t="n">
        <v>1</v>
      </c>
      <c r="W232" t="n">
        <v>0</v>
      </c>
      <c r="X232" t="n">
        <v>0</v>
      </c>
      <c r="Y232" t="n">
        <v>0</v>
      </c>
      <c r="Z232" t="n">
        <v>0</v>
      </c>
      <c r="AA232" t="n">
        <v>0</v>
      </c>
      <c r="AB232" t="n">
        <v>0</v>
      </c>
      <c r="AC232" t="n">
        <v>0</v>
      </c>
      <c r="AD232" t="n">
        <v>0</v>
      </c>
      <c r="AE232" t="n">
        <v>1</v>
      </c>
      <c r="AF232" t="inlineStr">
        <is>
          <t>ALEMAR VIEIRA DOS SANTOS:ME</t>
        </is>
      </c>
      <c r="AH232" t="inlineStr">
        <is>
          <t>continuado</t>
        </is>
      </c>
      <c r="AJ232" t="n">
        <v>1</v>
      </c>
      <c r="AK232" t="n">
        <v>0</v>
      </c>
      <c r="AL232" t="n">
        <v>0</v>
      </c>
      <c r="AM232" t="n">
        <v>0</v>
      </c>
      <c r="AN232" t="n">
        <v>0</v>
      </c>
      <c r="AP232" t="inlineStr">
        <is>
          <t>021, art. 69, caput, inciso II); 8.4.4. QUALIFICAÇÃO TÉCNICA 8.4.4.1. Apresentar, no mínimo, um Atestado de Capacidade Técnica , em nome da licitante, expedido por pessoa jurídica de direito público ou privado, que comprove ter o licitante executado, de forma satisfatória, contrato de locação de veí…</t>
        </is>
      </c>
      <c r="AQ232" t="n">
        <v>1</v>
      </c>
      <c r="AS232" t="inlineStr">
        <is>
          <t>Locação de caminhão com escada giratória e cesto aéreo para manutenção da rede de IP; é serviço de locação de veículo (mão de obra/equipamento), não fornecimento de material — o único item foi mal-codificado como 'Material' no PNCP. Reclassificado por revisão manual.</t>
        </is>
      </c>
      <c r="AT232" t="n">
        <v>1</v>
      </c>
      <c r="AU232" t="n">
        <v>1</v>
      </c>
    </row>
    <row r="233">
      <c r="A233" t="inlineStr">
        <is>
          <t>01795483000120_2026_17</t>
        </is>
      </c>
      <c r="B233" s="2" t="inlineStr">
        <is>
          <t>https://pncp.gov.br/app/editais/01795483000120/2026/17</t>
        </is>
      </c>
      <c r="C233" t="inlineStr">
        <is>
          <t>2026-09-27T05:33:22.202840+00:00</t>
        </is>
      </c>
      <c r="D233" t="inlineStr">
        <is>
          <t>TO</t>
        </is>
      </c>
      <c r="E233" t="inlineStr">
        <is>
          <t>vizinhos</t>
        </is>
      </c>
      <c r="F233" t="inlineStr">
        <is>
          <t>Colinas do Tocantins</t>
        </is>
      </c>
      <c r="G233" t="inlineStr">
        <is>
          <t>MUNICIPIO DE COLINAS DO TOCANTINS</t>
        </is>
      </c>
      <c r="H233" t="inlineStr">
        <is>
          <t>Municipal</t>
        </is>
      </c>
      <c r="I233" t="inlineStr">
        <is>
          <t>2026-03-30T10:22:29</t>
        </is>
      </c>
      <c r="J233" t="inlineStr">
        <is>
          <t>Pregão - Eletrônico</t>
        </is>
      </c>
      <c r="K233" t="inlineStr">
        <is>
          <t>Contratação sob Registro de Preço na prestação de serviços continuados de manutenção preventiva e corretiva das instalações, sistemas, equipamentos e aparelhos de ar condicionado, incluindo o fornecimento de mão de obra, materiais, gás e serviços afins para atendimento da Prefeitura Municipal de Colinas do Tocantins no período de 12 (doze) meses</t>
        </is>
      </c>
      <c r="L233" t="b">
        <v>1</v>
      </c>
      <c r="M233" t="inlineStr">
        <is>
          <t>climatizacao</t>
        </is>
      </c>
      <c r="N233" t="inlineStr">
        <is>
          <t>climatizacao</t>
        </is>
      </c>
      <c r="O233" t="n">
        <v>379690.56</v>
      </c>
      <c r="P233" t="n">
        <v>82868</v>
      </c>
      <c r="Q233" t="n">
        <v>192222.29</v>
      </c>
      <c r="R233" t="n">
        <v>0.5688949496960005</v>
      </c>
      <c r="S233" t="n">
        <v>0</v>
      </c>
      <c r="T233" t="n">
        <v>78</v>
      </c>
      <c r="U233" t="n">
        <v>40</v>
      </c>
      <c r="V233" t="n">
        <v>78</v>
      </c>
      <c r="W233" t="n">
        <v>0</v>
      </c>
      <c r="X233" t="n">
        <v>0</v>
      </c>
      <c r="Y233" t="n">
        <v>0</v>
      </c>
      <c r="Z233" t="n">
        <v>0</v>
      </c>
      <c r="AA233" t="n">
        <v>0</v>
      </c>
      <c r="AB233" t="n">
        <v>0</v>
      </c>
      <c r="AC233" t="n">
        <v>0</v>
      </c>
      <c r="AD233" t="n">
        <v>0</v>
      </c>
      <c r="AE233" t="n">
        <v>1</v>
      </c>
      <c r="AF233" t="inlineStr">
        <is>
          <t>ALL EMPREENDIMENTOS LTDA:Demais</t>
        </is>
      </c>
      <c r="AH233" t="inlineStr">
        <is>
          <t>continuado</t>
        </is>
      </c>
      <c r="AI233" t="n">
        <v>12</v>
      </c>
      <c r="AJ233" t="n">
        <v>0</v>
      </c>
      <c r="AK233" t="n">
        <v>0</v>
      </c>
      <c r="AL233" t="n">
        <v>0</v>
      </c>
      <c r="AM233" t="n">
        <v>0</v>
      </c>
      <c r="AN233" t="n">
        <v>0</v>
      </c>
      <c r="AQ233" t="n">
        <v>0</v>
      </c>
      <c r="AS233" t="inlineStr">
        <is>
          <t>Servico continuado (12 meses) de manutencao preventiva/corretiva de AC com mao de obra, materiais e gas.</t>
        </is>
      </c>
      <c r="AT233" t="n">
        <v>0</v>
      </c>
      <c r="AU233" t="n">
        <v>1</v>
      </c>
    </row>
    <row r="234">
      <c r="A234" t="inlineStr">
        <is>
          <t>01799683000151_2025_582</t>
        </is>
      </c>
      <c r="B234" s="2" t="inlineStr">
        <is>
          <t>https://pncp.gov.br/app/editais/01799683000151/2025/582</t>
        </is>
      </c>
      <c r="C234" t="inlineStr">
        <is>
          <t>2026-09-27T04:45:37.575590+00:00</t>
        </is>
      </c>
      <c r="D234" t="inlineStr">
        <is>
          <t>GO</t>
        </is>
      </c>
      <c r="E234" t="inlineStr">
        <is>
          <t>GO</t>
        </is>
      </c>
      <c r="F234" t="inlineStr">
        <is>
          <t>Mutunópolis</t>
        </is>
      </c>
      <c r="G234" t="inlineStr">
        <is>
          <t>MUNICIPIO DE MUTUNOPOLIS</t>
        </is>
      </c>
      <c r="H234" t="inlineStr">
        <is>
          <t>Municipal</t>
        </is>
      </c>
      <c r="I234" t="inlineStr">
        <is>
          <t>2025-11-14T10:57:24</t>
        </is>
      </c>
      <c r="J234" t="inlineStr">
        <is>
          <t>Pregão - Eletrônico</t>
        </is>
      </c>
      <c r="K234" t="inlineStr">
        <is>
          <t>Registro de Preços para contratação, sob demanda, de empresa especializada na prestação de serviços de locação de estruturas, sonorização, palco e iluminação para realização de evento cultural no Município de Mutunópolis, conforme especificações constantes nas planilhas e Termo de Referência.</t>
        </is>
      </c>
      <c r="L234" t="b">
        <v>1</v>
      </c>
      <c r="M234" t="inlineStr">
        <is>
          <t>iluminacao_publica</t>
        </is>
      </c>
      <c r="N234" t="inlineStr">
        <is>
          <t>iluminacao_publica</t>
        </is>
      </c>
      <c r="O234" t="n">
        <v>292481.93</v>
      </c>
      <c r="P234" t="n">
        <v>249999.99</v>
      </c>
      <c r="Q234" t="n">
        <v>292481.925</v>
      </c>
      <c r="R234" t="n">
        <v>0.1452463600955853</v>
      </c>
      <c r="S234" t="n">
        <v>0</v>
      </c>
      <c r="T234" t="n">
        <v>10</v>
      </c>
      <c r="U234" t="n">
        <v>10</v>
      </c>
      <c r="V234" t="n">
        <v>10</v>
      </c>
      <c r="W234" t="n">
        <v>0</v>
      </c>
      <c r="X234" t="n">
        <v>0</v>
      </c>
      <c r="Y234" t="n">
        <v>0</v>
      </c>
      <c r="Z234" t="n">
        <v>0</v>
      </c>
      <c r="AA234" t="n">
        <v>0</v>
      </c>
      <c r="AB234" t="n">
        <v>0</v>
      </c>
      <c r="AC234" t="n">
        <v>0</v>
      </c>
      <c r="AD234" t="n">
        <v>0</v>
      </c>
      <c r="AE234" t="n">
        <v>1</v>
      </c>
      <c r="AF234" t="inlineStr">
        <is>
          <t>TAY COMERCIO E SERVICOS LTDA:ME</t>
        </is>
      </c>
      <c r="AH234" t="inlineStr">
        <is>
          <t>pontual</t>
        </is>
      </c>
      <c r="AJ234" t="n">
        <v>0</v>
      </c>
      <c r="AK234" t="n">
        <v>0</v>
      </c>
      <c r="AL234" t="n">
        <v>0</v>
      </c>
      <c r="AM234" t="n">
        <v>0</v>
      </c>
      <c r="AN234" t="n">
        <v>0</v>
      </c>
      <c r="AQ234" t="n">
        <v>0</v>
      </c>
      <c r="AR234" t="inlineStr">
        <is>
          <t>mencao_passagem</t>
        </is>
      </c>
      <c r="AS234" t="inlineStr">
        <is>
          <t>Locação de estruturas para evento cultural (palco, som, iluminação); não é manutenção de IP.</t>
        </is>
      </c>
      <c r="AT234" t="n">
        <v>0</v>
      </c>
      <c r="AU234" t="n">
        <v>0</v>
      </c>
    </row>
    <row r="235">
      <c r="A235" t="inlineStr">
        <is>
          <t>01799683000151_2026_143</t>
        </is>
      </c>
      <c r="B235" s="2" t="inlineStr">
        <is>
          <t>https://pncp.gov.br/app/editais/01799683000151/2026/143</t>
        </is>
      </c>
      <c r="C235" t="inlineStr">
        <is>
          <t>2026-09-27T04:35:09.434137+00:00</t>
        </is>
      </c>
      <c r="D235" t="inlineStr">
        <is>
          <t>GO</t>
        </is>
      </c>
      <c r="E235" t="inlineStr">
        <is>
          <t>GO</t>
        </is>
      </c>
      <c r="F235" t="inlineStr">
        <is>
          <t>Mutunópolis</t>
        </is>
      </c>
      <c r="G235" t="inlineStr">
        <is>
          <t>MUNICIPIO DE MUTUNOPOLIS</t>
        </is>
      </c>
      <c r="H235" t="inlineStr">
        <is>
          <t>Municipal</t>
        </is>
      </c>
      <c r="I235" t="inlineStr">
        <is>
          <t>2026-04-07T16:22:09</t>
        </is>
      </c>
      <c r="J235" t="inlineStr">
        <is>
          <t>Pregão - Eletrônico</t>
        </is>
      </c>
      <c r="K235" t="inlineStr">
        <is>
          <t>ATA DE REGISTRO DE PREÇO PARA AQUISIÇÃO DE LUMINÁRIAS PÚBLICAS E RELÊ PARA MANTER A MANUTENÇÃO E QUALIDADE DE ILUMINAÇÃO PÚBLICA, ATENDENDO AS NECESSIDADES DO MUNICÍPIO DE MUTUNÓPOLIS.</t>
        </is>
      </c>
      <c r="L235" t="b">
        <v>1</v>
      </c>
      <c r="M235" t="inlineStr">
        <is>
          <t>iluminacao_publica</t>
        </is>
      </c>
      <c r="N235" t="inlineStr">
        <is>
          <t>iluminacao_publica</t>
        </is>
      </c>
      <c r="O235" t="n">
        <v>402679.01</v>
      </c>
      <c r="P235" t="n">
        <v>252400</v>
      </c>
      <c r="Q235" t="n">
        <v>402679.01</v>
      </c>
      <c r="R235" t="n">
        <v>0.373198021918252</v>
      </c>
      <c r="S235" t="n">
        <v>0</v>
      </c>
      <c r="T235" t="n">
        <v>4</v>
      </c>
      <c r="U235" t="n">
        <v>4</v>
      </c>
      <c r="V235" t="n">
        <v>4</v>
      </c>
      <c r="W235" t="n">
        <v>0</v>
      </c>
      <c r="X235" t="n">
        <v>0</v>
      </c>
      <c r="Y235" t="n">
        <v>0</v>
      </c>
      <c r="Z235" t="n">
        <v>0</v>
      </c>
      <c r="AA235" t="n">
        <v>0</v>
      </c>
      <c r="AB235" t="n">
        <v>0</v>
      </c>
      <c r="AC235" t="n">
        <v>0</v>
      </c>
      <c r="AD235" t="n">
        <v>0</v>
      </c>
      <c r="AE235" t="n">
        <v>1</v>
      </c>
      <c r="AF235" t="inlineStr">
        <is>
          <t>OUROLUZ MATERIAIS ELETRICOS E ILUMINACAO LTDA:ME</t>
        </is>
      </c>
      <c r="AH235" t="inlineStr">
        <is>
          <t>pontual</t>
        </is>
      </c>
      <c r="AJ235" t="n">
        <v>0</v>
      </c>
      <c r="AK235" t="n">
        <v>0</v>
      </c>
      <c r="AL235" t="n">
        <v>0</v>
      </c>
      <c r="AM235" t="n">
        <v>0</v>
      </c>
      <c r="AN235" t="n">
        <v>0</v>
      </c>
      <c r="AQ235" t="n">
        <v>1</v>
      </c>
      <c r="AR235" t="inlineStr">
        <is>
          <t>fornecimento_puro</t>
        </is>
      </c>
      <c r="AS235" t="inlineStr">
        <is>
          <t>Registro de preços/contratação de fornecimento de materiais, sem mão de obra de manutenção contratada.</t>
        </is>
      </c>
      <c r="AT235" t="n">
        <v>1</v>
      </c>
      <c r="AU235" t="n">
        <v>0</v>
      </c>
    </row>
    <row r="236">
      <c r="A236" t="inlineStr">
        <is>
          <t>01800242000122_2026_16</t>
        </is>
      </c>
      <c r="B236" s="2" t="inlineStr">
        <is>
          <t>https://pncp.gov.br/app/editais/01800242000122/2026/16</t>
        </is>
      </c>
      <c r="C236" t="inlineStr">
        <is>
          <t>2026-09-27T05:42:08.230229+00:00</t>
        </is>
      </c>
      <c r="D236" t="inlineStr">
        <is>
          <t>TO</t>
        </is>
      </c>
      <c r="E236" t="inlineStr">
        <is>
          <t>vizinhos</t>
        </is>
      </c>
      <c r="F236" t="inlineStr">
        <is>
          <t>Alvorada</t>
        </is>
      </c>
      <c r="G236" t="inlineStr">
        <is>
          <t>MUNICIPIO DE ALVORADA</t>
        </is>
      </c>
      <c r="H236" t="inlineStr">
        <is>
          <t>Municipal</t>
        </is>
      </c>
      <c r="I236" t="inlineStr">
        <is>
          <t>2026-03-23T16:36:33</t>
        </is>
      </c>
      <c r="J236" t="inlineStr">
        <is>
          <t>Pregão - Eletrônico</t>
        </is>
      </c>
      <c r="K236" t="inlineStr">
        <is>
          <t>[Portal de Compras Públicas] - REGISTRO DE PREÇOS PARA FUTURA, EVENTUAL E PARCELADA CONTRATAÇÃO DE EMPRESA PARA LOCAÇÃO DE CAMINHÃO MUNCK PARA ATENDER ÀS DEMANDAS DO MUNICÍPIO DE ALVORADA/TO.</t>
        </is>
      </c>
      <c r="L236" t="b">
        <v>0</v>
      </c>
      <c r="M236" t="inlineStr">
        <is>
          <t>munck</t>
        </is>
      </c>
      <c r="N236" t="inlineStr">
        <is>
          <t>munck</t>
        </is>
      </c>
      <c r="O236" t="n">
        <v>225107</v>
      </c>
      <c r="P236" t="n">
        <v>224605.67</v>
      </c>
      <c r="Q236" t="n">
        <v>225107</v>
      </c>
      <c r="R236" t="n">
        <v>0.002227074235807813</v>
      </c>
      <c r="S236" t="n">
        <v>0</v>
      </c>
      <c r="T236" t="n">
        <v>1</v>
      </c>
      <c r="U236" t="n">
        <v>1</v>
      </c>
      <c r="V236" t="n">
        <v>1</v>
      </c>
      <c r="W236" t="n">
        <v>0</v>
      </c>
      <c r="X236" t="n">
        <v>0</v>
      </c>
      <c r="Y236" t="n">
        <v>0</v>
      </c>
      <c r="Z236" t="n">
        <v>0</v>
      </c>
      <c r="AA236" t="n">
        <v>0</v>
      </c>
      <c r="AB236" t="n">
        <v>0</v>
      </c>
      <c r="AC236" t="n">
        <v>0</v>
      </c>
      <c r="AD236" t="n">
        <v>0</v>
      </c>
      <c r="AE236" t="n">
        <v>1</v>
      </c>
      <c r="AF236" t="inlineStr">
        <is>
          <t>ANTONIO NEIDES DO AMARAL:ME</t>
        </is>
      </c>
      <c r="AH236" t="inlineStr">
        <is>
          <t>pontual</t>
        </is>
      </c>
      <c r="AJ236" t="n">
        <v>0</v>
      </c>
      <c r="AK236" t="n">
        <v>0</v>
      </c>
      <c r="AL236" t="n">
        <v>0</v>
      </c>
      <c r="AM236" t="n">
        <v>0</v>
      </c>
      <c r="AN236" t="n">
        <v>0</v>
      </c>
      <c r="AQ236" t="n">
        <v>0</v>
      </c>
      <c r="AS236" t="inlineStr">
        <is>
          <t>Locação pura de caminhão munck com motorista e cesto aéreo isolado, por hora (983h); núcleo do escopo.</t>
        </is>
      </c>
      <c r="AT236" t="n">
        <v>0</v>
      </c>
      <c r="AU236" t="n">
        <v>1</v>
      </c>
    </row>
    <row r="237">
      <c r="A237" t="inlineStr">
        <is>
          <t>01815216000178_2025_177</t>
        </is>
      </c>
      <c r="B237" s="2" t="inlineStr">
        <is>
          <t>https://pncp.gov.br/app/editais/01815216000178/2025/177</t>
        </is>
      </c>
      <c r="C237" t="inlineStr">
        <is>
          <t>2026-09-27T14:33:54.611542+00:00</t>
        </is>
      </c>
      <c r="D237" t="inlineStr">
        <is>
          <t>GO</t>
        </is>
      </c>
      <c r="E237" t="inlineStr">
        <is>
          <t>GO</t>
        </is>
      </c>
      <c r="F237" t="inlineStr">
        <is>
          <t>Rio Verde</t>
        </is>
      </c>
      <c r="G237" t="inlineStr">
        <is>
          <t>FESURV - UNIVERSIDADE DE RIO VERDE</t>
        </is>
      </c>
      <c r="H237" t="inlineStr">
        <is>
          <t>Municipal</t>
        </is>
      </c>
      <c r="I237" t="inlineStr">
        <is>
          <t>2025-08-26T16:43:23</t>
        </is>
      </c>
      <c r="J237" t="inlineStr">
        <is>
          <t>Pregão - Eletrônico</t>
        </is>
      </c>
      <c r="K237" t="inlineStr">
        <is>
          <t>REGISTRO DE PREÇOS PARA CONTRATAÇÃO DE EMPRESA ESPECIALIZADA NA PRESTAÇÃO DOS SERVIÇOS COMUNS CONTINUADOS DE MANUTENÇÃO PREVENTIVA, CORRETIVA, EMISSÃO DE LAUDOS E FORNECIMENTO DE PEÇAS DESTINADOS A GRUPOS GERADORES DOS CAMPI DE GOIÂNIA, GOIANÉSIA, FORMOSA, LUZIÂNIA E RIO VERDE DA UNIRV – UNIVERSIDADE DE RIO VERDE.</t>
        </is>
      </c>
      <c r="L237" t="b">
        <v>1</v>
      </c>
      <c r="M237" t="inlineStr">
        <is>
          <t>eletrica_predial</t>
        </is>
      </c>
      <c r="N237" t="inlineStr">
        <is>
          <t>eletrica_predial</t>
        </is>
      </c>
      <c r="O237" t="n">
        <v>836485.92</v>
      </c>
      <c r="P237" t="n">
        <v>327931.0799999999</v>
      </c>
      <c r="Q237" t="n">
        <v>538837.2</v>
      </c>
      <c r="R237" t="n">
        <v>0.3914097244956363</v>
      </c>
      <c r="S237" t="n">
        <v>0</v>
      </c>
      <c r="T237" t="n">
        <v>25</v>
      </c>
      <c r="U237" t="n">
        <v>20</v>
      </c>
      <c r="V237" t="n">
        <v>25</v>
      </c>
      <c r="W237" t="n">
        <v>0</v>
      </c>
      <c r="X237" t="n">
        <v>0</v>
      </c>
      <c r="Y237" t="n">
        <v>0</v>
      </c>
      <c r="Z237" t="n">
        <v>0</v>
      </c>
      <c r="AA237" t="n">
        <v>0</v>
      </c>
      <c r="AB237" t="n">
        <v>0</v>
      </c>
      <c r="AC237" t="n">
        <v>0</v>
      </c>
      <c r="AD237" t="n">
        <v>0</v>
      </c>
      <c r="AE237" t="n">
        <v>2</v>
      </c>
      <c r="AF237" t="inlineStr">
        <is>
          <t>MELQUIOR SR COMERCIO E SERVIÇOS LTDA:ME; TLR SERVICOS DE ENGENHARIA E COMERCIO LTDA:ME</t>
        </is>
      </c>
      <c r="AH237" t="inlineStr">
        <is>
          <t>continuado</t>
        </is>
      </c>
      <c r="AI237" t="n">
        <v>6</v>
      </c>
      <c r="AJ237" t="n">
        <v>0</v>
      </c>
      <c r="AK237" t="n">
        <v>0</v>
      </c>
      <c r="AL237" t="n">
        <v>0</v>
      </c>
      <c r="AM237" t="n">
        <v>1</v>
      </c>
      <c r="AN237" t="n">
        <v>0</v>
      </c>
      <c r="AP237" t="inlineStr">
        <is>
          <t>te em: 9.7.1. As empresas interessadas deverão apresentar, na sessão de julgamento da licitação, atestado de capacidade técnica, emitido por entidade pública ou privada que comprove ter a empresa realizado, satisfatoriamente, fornecimento(s) semelhante(s) ao objeto desta contratação. 9.7.1.1. O ates…</t>
        </is>
      </c>
      <c r="AQ237" t="n">
        <v>0</v>
      </c>
      <c r="AS237" t="inlineStr">
        <is>
          <t>Revisão do coordenador: manutenção preventiva/corretiva de grupos geradores EXISTENTES (sem fornecimento de gerador novo); a exclusão do estudo vale só para fornecimento e instalação de geradores.</t>
        </is>
      </c>
      <c r="AT237" t="n">
        <v>0</v>
      </c>
      <c r="AU237" t="n">
        <v>1</v>
      </c>
    </row>
    <row r="238">
      <c r="A238" t="inlineStr">
        <is>
          <t>01815216000178_2025_259</t>
        </is>
      </c>
      <c r="B238" s="2" t="inlineStr">
        <is>
          <t>https://pncp.gov.br/app/editais/01815216000178/2025/259</t>
        </is>
      </c>
      <c r="C238" t="inlineStr">
        <is>
          <t>2026-09-27T14:33:26.597678+00:00</t>
        </is>
      </c>
      <c r="D238" t="inlineStr">
        <is>
          <t>GO</t>
        </is>
      </c>
      <c r="E238" t="inlineStr">
        <is>
          <t>GO</t>
        </is>
      </c>
      <c r="F238" t="inlineStr">
        <is>
          <t>Rio Verde</t>
        </is>
      </c>
      <c r="G238" t="inlineStr">
        <is>
          <t>FESURV - UNIVERSIDADE DE RIO VERDE</t>
        </is>
      </c>
      <c r="H238" t="inlineStr">
        <is>
          <t>Municipal</t>
        </is>
      </c>
      <c r="I238" t="inlineStr">
        <is>
          <t>2026-02-12T15:15:04</t>
        </is>
      </c>
      <c r="J238" t="inlineStr">
        <is>
          <t>Pregão - Eletrônico</t>
        </is>
      </c>
      <c r="K238" t="inlineStr">
        <is>
          <t>REGISTRO DE PREÇOS PARA FUTURA E EVENTUAL CONTRATAÇÃO DE EMPRESA ESPECIALIZADA PARA FORNECIMENTO E INSTALAÇÃO DE GERADORES PARA ATENDER A DEMANDA DO CENTRO DE NEGÓCIOS, ATENDENDO AS DEMANDAS DO DEPARTAMENTO DE MANUTENÇÃO E SERVIÇOS GERAIS DA UNIRV – UNIVERSIDADE DE RIO VERDE.</t>
        </is>
      </c>
      <c r="L238" t="b">
        <v>1</v>
      </c>
      <c r="M238" t="inlineStr">
        <is>
          <t>eletrica_predial</t>
        </is>
      </c>
      <c r="N238" t="inlineStr">
        <is>
          <t>eletrica_predial</t>
        </is>
      </c>
      <c r="O238" t="n">
        <v>506472.16</v>
      </c>
      <c r="P238" t="n">
        <v>416000</v>
      </c>
      <c r="Q238" t="n">
        <v>506472.16</v>
      </c>
      <c r="R238" t="n">
        <v>0.1786320495878786</v>
      </c>
      <c r="S238" t="n">
        <v>0</v>
      </c>
      <c r="T238" t="n">
        <v>1</v>
      </c>
      <c r="U238" t="n">
        <v>1</v>
      </c>
      <c r="V238" t="n">
        <v>1</v>
      </c>
      <c r="W238" t="n">
        <v>0</v>
      </c>
      <c r="X238" t="n">
        <v>0</v>
      </c>
      <c r="Y238" t="n">
        <v>0</v>
      </c>
      <c r="Z238" t="n">
        <v>0</v>
      </c>
      <c r="AA238" t="n">
        <v>0</v>
      </c>
      <c r="AB238" t="n">
        <v>0</v>
      </c>
      <c r="AC238" t="n">
        <v>0</v>
      </c>
      <c r="AD238" t="n">
        <v>0</v>
      </c>
      <c r="AE238" t="n">
        <v>1</v>
      </c>
      <c r="AF238" t="inlineStr">
        <is>
          <t>GERAFORTE GRUPOS GERADORES:Demais</t>
        </is>
      </c>
      <c r="AH238" t="inlineStr">
        <is>
          <t>pontual</t>
        </is>
      </c>
      <c r="AI238" t="n">
        <v>6</v>
      </c>
      <c r="AJ238" t="n">
        <v>0</v>
      </c>
      <c r="AK238" t="n">
        <v>0</v>
      </c>
      <c r="AL238" t="n">
        <v>0</v>
      </c>
      <c r="AM238" t="n">
        <v>1</v>
      </c>
      <c r="AN238" t="n">
        <v>0</v>
      </c>
      <c r="AP238" t="inlineStr">
        <is>
          <t>te em: 9.7.1. As empresas interessadas deverão apresentar, na sessão de julgamento da licitação, atestado de capacidade técnica, emitido por entidade pública ou privada que comprove ter a empresa realizado, satisfatoriamente, fornecimento(s) semelhante(s) ao objeto desta contratação. 9.7.1.1. O ates…</t>
        </is>
      </c>
      <c r="AQ238" t="n">
        <v>1</v>
      </c>
      <c r="AR238" t="inlineStr">
        <is>
          <t>fornecimento_puro</t>
        </is>
      </c>
      <c r="AS238" t="inlineStr">
        <is>
          <t>Confirmada exclusao automatica (fornecimento_puro): 1 item(ns), todos classificados como material (sem servico).</t>
        </is>
      </c>
      <c r="AT238" t="n">
        <v>1</v>
      </c>
      <c r="AU238" t="n">
        <v>0</v>
      </c>
    </row>
    <row r="239">
      <c r="A239" t="inlineStr">
        <is>
          <t>01825413000178_2026_19</t>
        </is>
      </c>
      <c r="B239" s="2" t="inlineStr">
        <is>
          <t>https://pncp.gov.br/app/editais/01825413000178/2026/19</t>
        </is>
      </c>
      <c r="C239" t="inlineStr">
        <is>
          <t>2026-09-27T03:55:24.336756+00:00</t>
        </is>
      </c>
      <c r="D239" t="inlineStr">
        <is>
          <t>GO</t>
        </is>
      </c>
      <c r="E239" t="inlineStr">
        <is>
          <t>GO</t>
        </is>
      </c>
      <c r="F239" t="inlineStr">
        <is>
          <t>Petrolina de Goiás</t>
        </is>
      </c>
      <c r="G239" t="inlineStr">
        <is>
          <t>MUNICIPIO DE PETROLINA DE GOIAS</t>
        </is>
      </c>
      <c r="H239" t="inlineStr">
        <is>
          <t>Municipal</t>
        </is>
      </c>
      <c r="I239" t="inlineStr">
        <is>
          <t>2026-02-02T15:04:23</t>
        </is>
      </c>
      <c r="J239" t="inlineStr">
        <is>
          <t>Pregão - Eletrônico</t>
        </is>
      </c>
      <c r="K239" t="inlineStr">
        <is>
          <t>ADESÃO DE ATA EM FAVOR DA SECRETARIA MUNICIPAL DE DESENVOLVIMENTO RURAL, MEIO AMBIENTE E INFRAESTRUTURA DE PETROLINA DE GOIÁS-GO, EM FAVOR DA EMPRESA BRASIL ILUMINAÇÃO E CONSTRUÇÃO LTDA PARA FUTURA E EVENTUAL CONTRATAÇÃO DE EMPRESA PARA FORNECIMENTO DE MATERIAIS ELÉTRICOS, PARA ATENDER ÀS DEMANDAS DO MUNICÍPIO DE PETROLINA DE GOIÁS, NOS TERMOS DO PREGÃO ELETRÔNICO SRP Nº 019/2025 - PROCESSO Nº 042/2025 DO CONSÓRCIO INTERFEDERATIVO DE MINAS GERAIS - CIMINAS, HOMOLOGADO EM 25/09/2025, DE ACORDO COM OS PREÇOS CONSTANTES DA ATA DE REGISTRO Nᵒ 076/2025 DE 30/09/2025, BEM COMO ADESÃO À ATA DE REGISTRO DE PREÇOS Nº 001/2026 - PROCESSO Nº 208/2026 DO MUNICÍPIO DE PETROLINA DE GOIÁS.</t>
        </is>
      </c>
      <c r="L239" t="b">
        <v>1</v>
      </c>
      <c r="M239" t="inlineStr">
        <is>
          <t>iluminacao_publica</t>
        </is>
      </c>
      <c r="N239" t="inlineStr">
        <is>
          <t>iluminacao_publica</t>
        </is>
      </c>
      <c r="O239" t="n">
        <v>980410</v>
      </c>
      <c r="P239" t="n">
        <v>225328.1</v>
      </c>
      <c r="Q239" t="n">
        <v>225328.1</v>
      </c>
      <c r="R239" t="n">
        <v>0</v>
      </c>
      <c r="S239" t="n">
        <v>0</v>
      </c>
      <c r="T239" t="n">
        <v>86</v>
      </c>
      <c r="U239" t="n">
        <v>40</v>
      </c>
      <c r="V239" t="n">
        <v>86</v>
      </c>
      <c r="W239" t="n">
        <v>0</v>
      </c>
      <c r="X239" t="n">
        <v>0</v>
      </c>
      <c r="Y239" t="n">
        <v>0</v>
      </c>
      <c r="Z239" t="n">
        <v>0</v>
      </c>
      <c r="AA239" t="n">
        <v>0</v>
      </c>
      <c r="AB239" t="n">
        <v>0</v>
      </c>
      <c r="AC239" t="n">
        <v>0</v>
      </c>
      <c r="AD239" t="n">
        <v>0</v>
      </c>
      <c r="AE239" t="n">
        <v>1</v>
      </c>
      <c r="AF239" t="inlineStr">
        <is>
          <t>BRASIL ILUMINAÇÃO E CONSTRUÇÃO LTDA:ME</t>
        </is>
      </c>
      <c r="AH239" t="inlineStr">
        <is>
          <t>pontual</t>
        </is>
      </c>
      <c r="AJ239" t="n">
        <v>0</v>
      </c>
      <c r="AK239" t="n">
        <v>0</v>
      </c>
      <c r="AL239" t="n">
        <v>0</v>
      </c>
      <c r="AM239" t="n">
        <v>0</v>
      </c>
      <c r="AN239" t="n">
        <v>0</v>
      </c>
      <c r="AQ239" t="n">
        <v>1</v>
      </c>
      <c r="AR239" t="inlineStr">
        <is>
          <t>fornecimento_puro</t>
        </is>
      </c>
      <c r="AS239" t="inlineStr">
        <is>
          <t>Registro de preços/contratação de fornecimento de materiais, sem mão de obra de manutenção contratada.</t>
        </is>
      </c>
      <c r="AT239" t="n">
        <v>0</v>
      </c>
      <c r="AU239" t="n">
        <v>0</v>
      </c>
    </row>
    <row r="240">
      <c r="A240" t="inlineStr">
        <is>
          <t>01875665000101_2026_1</t>
        </is>
      </c>
      <c r="B240" s="2" t="inlineStr">
        <is>
          <t>https://pncp.gov.br/app/editais/01875665000101/2026/1</t>
        </is>
      </c>
      <c r="C240" t="inlineStr">
        <is>
          <t>2026-09-27T05:10:53.389918+00:00</t>
        </is>
      </c>
      <c r="D240" t="inlineStr">
        <is>
          <t>MT</t>
        </is>
      </c>
      <c r="E240" t="inlineStr">
        <is>
          <t>vizinhos</t>
        </is>
      </c>
      <c r="F240" t="inlineStr">
        <is>
          <t>Aripuanã</t>
        </is>
      </c>
      <c r="G240" t="inlineStr">
        <is>
          <t>ARIPUANA CAMARA MUNICIPAL</t>
        </is>
      </c>
      <c r="H240" t="inlineStr">
        <is>
          <t>Municipal</t>
        </is>
      </c>
      <c r="I240" t="inlineStr">
        <is>
          <t>2026-02-02T14:19:46</t>
        </is>
      </c>
      <c r="J240" t="inlineStr">
        <is>
          <t>Pregão - Eletrônico</t>
        </is>
      </c>
      <c r="K240" t="inlineStr">
        <is>
          <t>contratação de empresa especializada para execução de serviços de instalação e manutenção (preventiva e corretiva) que irá atender todas as demandas ligadas as áreas de climatização e refrigeração, com fornecimento de mão de obra, serviço de troca de peças, serviços de limpeza e higienização, instalação e desinstalação, carga de gás para atender a demanda desta Casa de Leis</t>
        </is>
      </c>
      <c r="L240" t="b">
        <v>0</v>
      </c>
      <c r="M240" t="inlineStr">
        <is>
          <t>climatizacao</t>
        </is>
      </c>
      <c r="N240" t="inlineStr">
        <is>
          <t>climatizacao</t>
        </is>
      </c>
      <c r="O240" t="n">
        <v>58805.4</v>
      </c>
      <c r="P240" t="n">
        <v>57688</v>
      </c>
      <c r="Q240" t="n">
        <v>57905.4</v>
      </c>
      <c r="R240" t="n">
        <v>0.003754399416980096</v>
      </c>
      <c r="S240" t="n">
        <v>0</v>
      </c>
      <c r="T240" t="n">
        <v>19</v>
      </c>
      <c r="U240" t="n">
        <v>18</v>
      </c>
      <c r="V240" t="n">
        <v>18</v>
      </c>
      <c r="W240" t="n">
        <v>0</v>
      </c>
      <c r="X240" t="n">
        <v>1</v>
      </c>
      <c r="Y240" t="n">
        <v>0</v>
      </c>
      <c r="Z240" t="n">
        <v>1</v>
      </c>
      <c r="AA240" t="n">
        <v>0</v>
      </c>
      <c r="AB240" t="n">
        <v>0</v>
      </c>
      <c r="AC240" t="n">
        <v>0</v>
      </c>
      <c r="AD240" t="n">
        <v>1</v>
      </c>
      <c r="AE240" t="n">
        <v>1</v>
      </c>
      <c r="AF240" t="inlineStr">
        <is>
          <t>CLEYTON DA SILVA KAYBERS:ME</t>
        </is>
      </c>
      <c r="AH240" t="inlineStr">
        <is>
          <t>pontual</t>
        </is>
      </c>
      <c r="AJ240" t="n">
        <v>0</v>
      </c>
      <c r="AK240" t="n">
        <v>0</v>
      </c>
      <c r="AL240" t="n">
        <v>0</v>
      </c>
      <c r="AM240" t="n">
        <v>0</v>
      </c>
      <c r="AN240" t="n">
        <v>0</v>
      </c>
      <c r="AQ240" t="n">
        <v>0</v>
      </c>
      <c r="AS240" t="inlineStr">
        <is>
          <t>heuristica automatica confirmada: servico real de climatizacao, sem sinais de exclusao.</t>
        </is>
      </c>
      <c r="AT240" t="n">
        <v>0</v>
      </c>
      <c r="AU240" t="n">
        <v>1</v>
      </c>
    </row>
    <row r="241">
      <c r="A241" t="inlineStr">
        <is>
          <t>02024933000144_2025_74</t>
        </is>
      </c>
      <c r="B241" s="2" t="inlineStr">
        <is>
          <t>https://pncp.gov.br/app/editais/02024933000144/2025/74</t>
        </is>
      </c>
      <c r="C241" t="inlineStr">
        <is>
          <t>2026-09-27T04:51:02.288719+00:00</t>
        </is>
      </c>
      <c r="D241" t="inlineStr">
        <is>
          <t>GO</t>
        </is>
      </c>
      <c r="E241" t="inlineStr">
        <is>
          <t>GO</t>
        </is>
      </c>
      <c r="F241" t="inlineStr">
        <is>
          <t>Itapirapuã</t>
        </is>
      </c>
      <c r="G241" t="inlineStr">
        <is>
          <t>MUNICIPIO DE ITAPIRAPUA</t>
        </is>
      </c>
      <c r="H241" t="inlineStr">
        <is>
          <t>Municipal</t>
        </is>
      </c>
      <c r="I241" t="inlineStr">
        <is>
          <t>2025-03-17T14:21:55</t>
        </is>
      </c>
      <c r="J241" t="inlineStr">
        <is>
          <t>Pregão - Presencial</t>
        </is>
      </c>
      <c r="K241" t="inlineStr">
        <is>
          <t>LOCAÇÃO DE CAMINHÃO EQUIPADO COM CESTO AÉREO</t>
        </is>
      </c>
      <c r="L241" t="b">
        <v>0</v>
      </c>
      <c r="M241" t="inlineStr">
        <is>
          <t>munck</t>
        </is>
      </c>
      <c r="N241" t="inlineStr">
        <is>
          <t>munck</t>
        </is>
      </c>
      <c r="O241" t="n">
        <v>132999.96</v>
      </c>
      <c r="P241" t="n">
        <v>113880</v>
      </c>
      <c r="Q241" t="n">
        <v>132999.96</v>
      </c>
      <c r="R241" t="n">
        <v>0.1437591409801928</v>
      </c>
      <c r="S241" t="n">
        <v>0</v>
      </c>
      <c r="T241" t="n">
        <v>1</v>
      </c>
      <c r="U241" t="n">
        <v>1</v>
      </c>
      <c r="V241" t="n">
        <v>1</v>
      </c>
      <c r="W241" t="n">
        <v>0</v>
      </c>
      <c r="X241" t="n">
        <v>0</v>
      </c>
      <c r="Y241" t="n">
        <v>0</v>
      </c>
      <c r="Z241" t="n">
        <v>0</v>
      </c>
      <c r="AA241" t="n">
        <v>0</v>
      </c>
      <c r="AB241" t="n">
        <v>0</v>
      </c>
      <c r="AC241" t="n">
        <v>0</v>
      </c>
      <c r="AD241" t="n">
        <v>0</v>
      </c>
      <c r="AE241" t="n">
        <v>1</v>
      </c>
      <c r="AF241" t="inlineStr">
        <is>
          <t>CARVALHO RODRIGUES LOCACOES LTDA:ME</t>
        </is>
      </c>
      <c r="AH241" t="inlineStr">
        <is>
          <t>indefinido</t>
        </is>
      </c>
      <c r="AI241" t="n">
        <v>12</v>
      </c>
      <c r="AJ241" t="n">
        <v>1</v>
      </c>
      <c r="AK241" t="n">
        <v>0</v>
      </c>
      <c r="AL241" t="n">
        <v>0</v>
      </c>
      <c r="AM241" t="n">
        <v>0</v>
      </c>
      <c r="AN241" t="n">
        <v>0</v>
      </c>
      <c r="AQ241" t="n">
        <v>1</v>
      </c>
      <c r="AS241" t="inlineStr">
        <is>
          <t>RECLASSIFICADO de fornecimento_puro: mesmo padrão -- objeto diz 'locação', item mal codificado como material pelo órgão.</t>
        </is>
      </c>
      <c r="AT241" t="n">
        <v>0</v>
      </c>
      <c r="AU241" t="n">
        <v>1</v>
      </c>
    </row>
    <row r="242">
      <c r="A242" t="inlineStr">
        <is>
          <t>02056745000106_2025_251</t>
        </is>
      </c>
      <c r="B242" s="2" t="inlineStr">
        <is>
          <t>https://pncp.gov.br/app/editais/02056745000106/2025/251</t>
        </is>
      </c>
      <c r="C242" t="inlineStr">
        <is>
          <t>2026-09-27T04:06:48.490480+00:00</t>
        </is>
      </c>
      <c r="D242" t="inlineStr">
        <is>
          <t>GO</t>
        </is>
      </c>
      <c r="E242" t="inlineStr">
        <is>
          <t>GO</t>
        </is>
      </c>
      <c r="F242" t="inlineStr">
        <is>
          <t>Paranaiguara</t>
        </is>
      </c>
      <c r="G242" t="inlineStr">
        <is>
          <t>MUNICIPIO DE PARANAIGUARA</t>
        </is>
      </c>
      <c r="H242" t="inlineStr">
        <is>
          <t>Municipal</t>
        </is>
      </c>
      <c r="I242" t="inlineStr">
        <is>
          <t>2025-09-08T08:22:35</t>
        </is>
      </c>
      <c r="J242" t="inlineStr">
        <is>
          <t>Pregão - Eletrônico</t>
        </is>
      </c>
      <c r="K242" t="inlineStr">
        <is>
          <t>[LICITANET] - Registro de Preços para a AQUISIÇÃO EVENTUAL, FUTURA E PARCELADA DE MATERIAL ELÉTRICO PARA A INFRAESTRUTURA ELÉTRICA DA ÁREA DE EVENTOS DO
LOTEAMENTO DO LAGO DO MUNICÍPIO.</t>
        </is>
      </c>
      <c r="L242" t="b">
        <v>1</v>
      </c>
      <c r="M242" t="inlineStr">
        <is>
          <t>eletrica_predial</t>
        </is>
      </c>
      <c r="N242" t="inlineStr">
        <is>
          <t>eletrica_predial</t>
        </is>
      </c>
      <c r="O242" t="n">
        <v>43776.67</v>
      </c>
      <c r="P242" t="n">
        <v>20618.2436</v>
      </c>
      <c r="Q242" t="n">
        <v>43776.6679</v>
      </c>
      <c r="R242" t="n">
        <v>0.5290129524653496</v>
      </c>
      <c r="S242" t="n">
        <v>0</v>
      </c>
      <c r="T242" t="n">
        <v>40</v>
      </c>
      <c r="U242" t="n">
        <v>20</v>
      </c>
      <c r="V242" t="n">
        <v>20</v>
      </c>
      <c r="W242" t="n">
        <v>0</v>
      </c>
      <c r="X242" t="n">
        <v>0</v>
      </c>
      <c r="Y242" t="n">
        <v>20</v>
      </c>
      <c r="Z242" t="n">
        <v>0</v>
      </c>
      <c r="AA242" t="n">
        <v>0</v>
      </c>
      <c r="AB242" t="n">
        <v>1</v>
      </c>
      <c r="AC242" t="n">
        <v>0</v>
      </c>
      <c r="AD242" t="n">
        <v>0</v>
      </c>
      <c r="AE242" t="n">
        <v>5</v>
      </c>
      <c r="AF242" t="inlineStr">
        <is>
          <t>N N RODRIGUES LTDA:ME; ENIVALDO LOPES DE PAULA LTDA:ME; FICAPOCOS FIOS &amp; CABOS LTDA:EPP; TRIUNFO ILUMINACAO LTDA:EPP; ARMAZÉM K VENDAS LTDA:ME</t>
        </is>
      </c>
      <c r="AH242" t="inlineStr">
        <is>
          <t>pontual</t>
        </is>
      </c>
      <c r="AJ242" t="n">
        <v>0</v>
      </c>
      <c r="AK242" t="n">
        <v>0</v>
      </c>
      <c r="AL242" t="n">
        <v>0</v>
      </c>
      <c r="AM242" t="n">
        <v>0</v>
      </c>
      <c r="AN242" t="n">
        <v>0</v>
      </c>
      <c r="AQ242" t="n">
        <v>1</v>
      </c>
      <c r="AR242" t="inlineStr">
        <is>
          <t>fornecimento_puro</t>
        </is>
      </c>
      <c r="AS242" t="inlineStr">
        <is>
          <t>Confirmada exclusao automatica (fornecimento_puro): 40 item(ns), todos classificados como material (sem servico).</t>
        </is>
      </c>
      <c r="AT242" t="n">
        <v>0</v>
      </c>
      <c r="AU242" t="n">
        <v>0</v>
      </c>
    </row>
    <row r="243">
      <c r="A243" t="inlineStr">
        <is>
          <t>02056752000108_2026_97</t>
        </is>
      </c>
      <c r="B243" s="2" t="inlineStr">
        <is>
          <t>https://pncp.gov.br/app/editais/02056752000108/2026/97</t>
        </is>
      </c>
      <c r="C243" t="inlineStr">
        <is>
          <t>2026-09-27T03:33:44.057582+00:00</t>
        </is>
      </c>
      <c r="D243" t="inlineStr">
        <is>
          <t>GO</t>
        </is>
      </c>
      <c r="E243" t="inlineStr">
        <is>
          <t>GO</t>
        </is>
      </c>
      <c r="F243" t="inlineStr">
        <is>
          <t>Maurilândia</t>
        </is>
      </c>
      <c r="G243" t="inlineStr">
        <is>
          <t>MUNICIPIO DE MAURILANDIA</t>
        </is>
      </c>
      <c r="H243" t="inlineStr">
        <is>
          <t>Municipal</t>
        </is>
      </c>
      <c r="I243" t="inlineStr">
        <is>
          <t>2026-07-28T23:55:40</t>
        </is>
      </c>
      <c r="J243" t="inlineStr">
        <is>
          <t>Pregão - Eletrônico</t>
        </is>
      </c>
      <c r="K243" t="inlineStr">
        <is>
          <t>Aquisição de materiais elétricos destinados à manutenção da iluminação pública de ruas, praças e avenidas do Município de Maurilândia.</t>
        </is>
      </c>
      <c r="L243" t="b">
        <v>1</v>
      </c>
      <c r="M243" t="inlineStr">
        <is>
          <t>iluminacao_publica</t>
        </is>
      </c>
      <c r="N243" t="inlineStr">
        <is>
          <t>iluminacao_publica</t>
        </is>
      </c>
      <c r="O243" t="n">
        <v>1216273.5</v>
      </c>
      <c r="P243" t="n">
        <v>231857.5</v>
      </c>
      <c r="Q243" t="n">
        <v>339652.1425</v>
      </c>
      <c r="R243" t="n">
        <v>0.3173677684073494</v>
      </c>
      <c r="S243" t="n">
        <v>0</v>
      </c>
      <c r="T243" t="n">
        <v>101</v>
      </c>
      <c r="U243" t="n">
        <v>40</v>
      </c>
      <c r="V243" t="n">
        <v>99</v>
      </c>
      <c r="W243" t="n">
        <v>2</v>
      </c>
      <c r="X243" t="n">
        <v>0</v>
      </c>
      <c r="Y243" t="n">
        <v>0</v>
      </c>
      <c r="Z243" t="n">
        <v>1</v>
      </c>
      <c r="AA243" t="n">
        <v>0</v>
      </c>
      <c r="AB243" t="n">
        <v>0</v>
      </c>
      <c r="AC243" t="n">
        <v>0</v>
      </c>
      <c r="AD243" t="n">
        <v>0</v>
      </c>
      <c r="AE243" t="n">
        <v>1</v>
      </c>
      <c r="AF243" t="inlineStr">
        <is>
          <t>BRASIL ILUMINACAO E CONSTRUCAO LTDA - EPP:Demais</t>
        </is>
      </c>
      <c r="AH243" t="inlineStr">
        <is>
          <t>pontual</t>
        </is>
      </c>
      <c r="AJ243" t="n">
        <v>0</v>
      </c>
      <c r="AK243" t="n">
        <v>0</v>
      </c>
      <c r="AL243" t="n">
        <v>0</v>
      </c>
      <c r="AM243" t="n">
        <v>0</v>
      </c>
      <c r="AN243" t="n">
        <v>0</v>
      </c>
      <c r="AQ243" t="n">
        <v>1</v>
      </c>
      <c r="AR243" t="inlineStr">
        <is>
          <t>fornecimento_puro</t>
        </is>
      </c>
      <c r="AS243" t="inlineStr">
        <is>
          <t>Registro de preços/contratação de fornecimento de materiais, sem mão de obra de manutenção contratada.</t>
        </is>
      </c>
      <c r="AT243" t="n">
        <v>1</v>
      </c>
      <c r="AU243" t="n">
        <v>0</v>
      </c>
    </row>
    <row r="244">
      <c r="A244" t="inlineStr">
        <is>
          <t>02056778000148_2026_37</t>
        </is>
      </c>
      <c r="B244" s="2" t="inlineStr">
        <is>
          <t>https://pncp.gov.br/app/editais/02056778000148/2026/37</t>
        </is>
      </c>
      <c r="C244" t="inlineStr">
        <is>
          <t>2026-09-27T03:36:08.104754+00:00</t>
        </is>
      </c>
      <c r="D244" t="inlineStr">
        <is>
          <t>GO</t>
        </is>
      </c>
      <c r="E244" t="inlineStr">
        <is>
          <t>GO</t>
        </is>
      </c>
      <c r="F244" t="inlineStr">
        <is>
          <t>São Simão</t>
        </is>
      </c>
      <c r="G244" t="inlineStr">
        <is>
          <t>MUNICIPIO DE SAO SIMAO</t>
        </is>
      </c>
      <c r="H244" t="inlineStr">
        <is>
          <t>Municipal</t>
        </is>
      </c>
      <c r="I244" t="inlineStr">
        <is>
          <t>2026-07-15T10:08:17</t>
        </is>
      </c>
      <c r="J244" t="inlineStr">
        <is>
          <t>Pregão - Eletrônico</t>
        </is>
      </c>
      <c r="K244" t="inlineStr">
        <is>
          <t>AQUISIÇÃO DE MATERIAIS ELÉTRICOS, COM A FINALIDADE DE ATENDER ÀS NECESSIDADES DE MANUTENÇÃO DAS INSTALAÇÕES ELÉTRICAS DO COLÉGIO MUNICIPAL LEOPOLDO MOREIRA, ATENDENDO ÀS NECESSIDADES DA SECRETARIA DE EDUCAÇÃO DE SÃO SIMÃO-GO</t>
        </is>
      </c>
      <c r="L244" t="b">
        <v>1</v>
      </c>
      <c r="M244" t="inlineStr">
        <is>
          <t>eletrica_predial</t>
        </is>
      </c>
      <c r="N244" t="inlineStr">
        <is>
          <t>eletrica_predial</t>
        </is>
      </c>
      <c r="O244" t="n">
        <v>232964.45</v>
      </c>
      <c r="P244" t="n">
        <v>53035.94999999999</v>
      </c>
      <c r="Q244" t="n">
        <v>232964.4488</v>
      </c>
      <c r="R244" t="n">
        <v>0.7723431610565979</v>
      </c>
      <c r="S244" t="n">
        <v>0</v>
      </c>
      <c r="T244" t="n">
        <v>38</v>
      </c>
      <c r="U244" t="n">
        <v>38</v>
      </c>
      <c r="V244" t="n">
        <v>38</v>
      </c>
      <c r="W244" t="n">
        <v>0</v>
      </c>
      <c r="X244" t="n">
        <v>0</v>
      </c>
      <c r="Y244" t="n">
        <v>0</v>
      </c>
      <c r="Z244" t="n">
        <v>0</v>
      </c>
      <c r="AA244" t="n">
        <v>0</v>
      </c>
      <c r="AB244" t="n">
        <v>0</v>
      </c>
      <c r="AC244" t="n">
        <v>0</v>
      </c>
      <c r="AD244" t="n">
        <v>0</v>
      </c>
      <c r="AE244" t="n">
        <v>3</v>
      </c>
      <c r="AF244" t="inlineStr">
        <is>
          <t>LUCIANA RODRIGUES DA SILVA  &amp; CIA LTDA:ME; TRIUNFO ILUMINACAO LTDA:ME; SOUZA &amp; RICETTI ESTRATÉGIA PÚBLICA LTDA:ME</t>
        </is>
      </c>
      <c r="AH244" t="inlineStr">
        <is>
          <t>continuado</t>
        </is>
      </c>
      <c r="AI244" t="n">
        <v>12</v>
      </c>
      <c r="AJ244" t="n">
        <v>0</v>
      </c>
      <c r="AK244" t="n">
        <v>0</v>
      </c>
      <c r="AL244" t="n">
        <v>0</v>
      </c>
      <c r="AM244" t="n">
        <v>1</v>
      </c>
      <c r="AN244" t="n">
        <v>0</v>
      </c>
      <c r="AP244" t="inlineStr">
        <is>
          <t>sua aptidão de desempenho de atividade condizente com o objeto da respectiva licitação. 8.24. Os atestados de capacidade técnica poderão ser apresentados em nome da matriz ou da filial do fornecedor. 8.25. Qualquer informação incompleta ou inverídica constante dos documentos apresentados apurada o(a…</t>
        </is>
      </c>
      <c r="AQ244" t="n">
        <v>1</v>
      </c>
      <c r="AR244" t="inlineStr">
        <is>
          <t>fornecimento_puro</t>
        </is>
      </c>
      <c r="AS244" t="inlineStr">
        <is>
          <t>Confirmada exclusao automatica (fornecimento_puro): 38 item(ns), todos classificados como material (sem servico).</t>
        </is>
      </c>
      <c r="AT244" t="n">
        <v>1</v>
      </c>
      <c r="AU244" t="n">
        <v>0</v>
      </c>
    </row>
    <row r="245">
      <c r="A245" t="inlineStr">
        <is>
          <t>02070589000120_2026_76</t>
        </is>
      </c>
      <c r="B245" s="2" t="inlineStr">
        <is>
          <t>https://pncp.gov.br/app/editais/02070589000120/2026/76</t>
        </is>
      </c>
      <c r="C245" t="inlineStr">
        <is>
          <t>2026-09-27T05:41:37.770671+00:00</t>
        </is>
      </c>
      <c r="D245" t="inlineStr">
        <is>
          <t>TO</t>
        </is>
      </c>
      <c r="E245" t="inlineStr">
        <is>
          <t>vizinhos</t>
        </is>
      </c>
      <c r="F245" t="inlineStr">
        <is>
          <t>Pedro Afonso</t>
        </is>
      </c>
      <c r="G245" t="inlineStr">
        <is>
          <t>MUNICIPIO DE PEDRO AFONSO</t>
        </is>
      </c>
      <c r="H245" t="inlineStr">
        <is>
          <t>Municipal</t>
        </is>
      </c>
      <c r="I245" t="inlineStr">
        <is>
          <t>2026-08-04T16:04:11</t>
        </is>
      </c>
      <c r="J245" t="inlineStr">
        <is>
          <t>Pregão - Presencial</t>
        </is>
      </c>
      <c r="K245" t="inlineStr">
        <is>
          <t>SOLICITAÇÃO DE PROCESSO LICITATORIO PARA REGISTRO DE PRECO PARA FUTURA,EVENTUAL E PARCELADA AQUISIÇÃO DE LUMINARA DE LED PARA MANUTENÇÃO DA ILUMINAÇAO PUBLICA NA CIDADE</t>
        </is>
      </c>
      <c r="L245" t="b">
        <v>1</v>
      </c>
      <c r="M245" t="inlineStr">
        <is>
          <t>iluminacao_publica</t>
        </is>
      </c>
      <c r="N245" t="inlineStr">
        <is>
          <t>iluminacao_publica</t>
        </is>
      </c>
      <c r="O245" t="n">
        <v>237931</v>
      </c>
      <c r="P245" t="n">
        <v>164800</v>
      </c>
      <c r="Q245" t="n">
        <v>237931</v>
      </c>
      <c r="R245" t="n">
        <v>0.3073622184582925</v>
      </c>
      <c r="S245" t="n">
        <v>0</v>
      </c>
      <c r="T245" t="n">
        <v>2</v>
      </c>
      <c r="U245" t="n">
        <v>2</v>
      </c>
      <c r="V245" t="n">
        <v>2</v>
      </c>
      <c r="W245" t="n">
        <v>0</v>
      </c>
      <c r="X245" t="n">
        <v>0</v>
      </c>
      <c r="Y245" t="n">
        <v>0</v>
      </c>
      <c r="Z245" t="n">
        <v>0</v>
      </c>
      <c r="AA245" t="n">
        <v>0</v>
      </c>
      <c r="AB245" t="n">
        <v>0</v>
      </c>
      <c r="AC245" t="n">
        <v>0</v>
      </c>
      <c r="AD245" t="n">
        <v>0</v>
      </c>
      <c r="AE245" t="n">
        <v>2</v>
      </c>
      <c r="AF245" t="inlineStr">
        <is>
          <t>SPG COMERCIO VEREJ. DE MATERIAS DE CONST.:ME; TRIUNFO ILUMINACAO LTDA:ME</t>
        </is>
      </c>
      <c r="AH245" t="inlineStr">
        <is>
          <t>pontual</t>
        </is>
      </c>
      <c r="AJ245" t="n">
        <v>0</v>
      </c>
      <c r="AK245" t="n">
        <v>0</v>
      </c>
      <c r="AL245" t="n">
        <v>0</v>
      </c>
      <c r="AM245" t="n">
        <v>0</v>
      </c>
      <c r="AN245" t="n">
        <v>0</v>
      </c>
      <c r="AQ245" t="n">
        <v>1</v>
      </c>
      <c r="AR245" t="inlineStr">
        <is>
          <t>fornecimento_puro</t>
        </is>
      </c>
      <c r="AS245" t="inlineStr">
        <is>
          <t>Registro de preços/contratação de fornecimento de materiais, sem mão de obra de manutenção contratada.</t>
        </is>
      </c>
      <c r="AT245" t="n">
        <v>1</v>
      </c>
      <c r="AU245" t="n">
        <v>0</v>
      </c>
    </row>
    <row r="246">
      <c r="A246" t="inlineStr">
        <is>
          <t>02125227000199_2025_123</t>
        </is>
      </c>
      <c r="B246" s="2" t="inlineStr">
        <is>
          <t>https://pncp.gov.br/app/editais/02125227000199/2025/123</t>
        </is>
      </c>
      <c r="C246" t="inlineStr">
        <is>
          <t>2026-09-27T04:01:02.052610+00:00</t>
        </is>
      </c>
      <c r="D246" t="inlineStr">
        <is>
          <t>GO</t>
        </is>
      </c>
      <c r="E246" t="inlineStr">
        <is>
          <t>GO</t>
        </is>
      </c>
      <c r="F246" t="inlineStr">
        <is>
          <t>Aragarças</t>
        </is>
      </c>
      <c r="G246" t="inlineStr">
        <is>
          <t>MUNICIPIO DE ARAGARCAS</t>
        </is>
      </c>
      <c r="H246" t="inlineStr">
        <is>
          <t>Municipal</t>
        </is>
      </c>
      <c r="I246" t="inlineStr">
        <is>
          <t>2025-11-13T16:57:35</t>
        </is>
      </c>
      <c r="J246" t="inlineStr">
        <is>
          <t>Pregão - Eletrônico</t>
        </is>
      </c>
      <c r="K246" t="inlineStr">
        <is>
          <t>INTENSÃO A ADESÃO A ATA DE REGISTRO DE PREÇO PARA AQUISIÇÃO DE MATERIAIS ELETRICOS.</t>
        </is>
      </c>
      <c r="L246" t="b">
        <v>1</v>
      </c>
      <c r="M246" t="inlineStr">
        <is>
          <t>eletrica_predial</t>
        </is>
      </c>
      <c r="N246" t="inlineStr">
        <is>
          <t>eletrica_predial</t>
        </is>
      </c>
      <c r="O246" t="n">
        <v>390242.66</v>
      </c>
      <c r="P246" t="n">
        <v>355288.4</v>
      </c>
      <c r="Q246" t="n">
        <v>390242.6600000001</v>
      </c>
      <c r="R246" t="n">
        <v>0.08957057642032262</v>
      </c>
      <c r="S246" t="n">
        <v>0</v>
      </c>
      <c r="T246" t="n">
        <v>35</v>
      </c>
      <c r="U246" t="n">
        <v>35</v>
      </c>
      <c r="V246" t="n">
        <v>35</v>
      </c>
      <c r="W246" t="n">
        <v>0</v>
      </c>
      <c r="X246" t="n">
        <v>0</v>
      </c>
      <c r="Y246" t="n">
        <v>0</v>
      </c>
      <c r="Z246" t="n">
        <v>0</v>
      </c>
      <c r="AA246" t="n">
        <v>0</v>
      </c>
      <c r="AB246" t="n">
        <v>0</v>
      </c>
      <c r="AC246" t="n">
        <v>0</v>
      </c>
      <c r="AD246" t="n">
        <v>0</v>
      </c>
      <c r="AE246" t="n">
        <v>1</v>
      </c>
      <c r="AF246" t="inlineStr">
        <is>
          <t>BR LED MATERIAIS ELETRICOS LTDA:ME</t>
        </is>
      </c>
      <c r="AH246" t="inlineStr">
        <is>
          <t>pontual</t>
        </is>
      </c>
      <c r="AJ246" t="n">
        <v>0</v>
      </c>
      <c r="AK246" t="n">
        <v>0</v>
      </c>
      <c r="AL246" t="n">
        <v>0</v>
      </c>
      <c r="AM246" t="n">
        <v>0</v>
      </c>
      <c r="AN246" t="n">
        <v>0</v>
      </c>
      <c r="AQ246" t="n">
        <v>1</v>
      </c>
      <c r="AR246" t="inlineStr">
        <is>
          <t>fornecimento_puro</t>
        </is>
      </c>
      <c r="AS246" t="inlineStr">
        <is>
          <t>Confirmada exclusao automatica (fornecimento_puro): 35 item(ns), todos classificados como material (sem servico).</t>
        </is>
      </c>
      <c r="AT246" t="n">
        <v>0</v>
      </c>
      <c r="AU246" t="n">
        <v>0</v>
      </c>
    </row>
    <row r="247">
      <c r="A247" t="inlineStr">
        <is>
          <t>02204196000161_2025_314</t>
        </is>
      </c>
      <c r="B247" s="2" t="inlineStr">
        <is>
          <t>https://pncp.gov.br/app/editais/02204196000161/2025/314</t>
        </is>
      </c>
      <c r="C247" t="inlineStr">
        <is>
          <t>2026-09-27T03:01:37.423369+00:00</t>
        </is>
      </c>
      <c r="D247" t="inlineStr">
        <is>
          <t>GO</t>
        </is>
      </c>
      <c r="E247" t="inlineStr">
        <is>
          <t>GO</t>
        </is>
      </c>
      <c r="F247" t="inlineStr">
        <is>
          <t>Itumbiara</t>
        </is>
      </c>
      <c r="G247" t="inlineStr">
        <is>
          <t>MUNICIPIO DE ITUMBIARA</t>
        </is>
      </c>
      <c r="H247" t="inlineStr">
        <is>
          <t>Municipal</t>
        </is>
      </c>
      <c r="I247" t="inlineStr">
        <is>
          <t>2025-05-23T07:36:00</t>
        </is>
      </c>
      <c r="J247" t="inlineStr">
        <is>
          <t>Pregão - Eletrônico</t>
        </is>
      </c>
      <c r="K247" t="inlineStr">
        <is>
          <t>PREGÃO ELETRONICO, TIPO MENOR PREÇO POR ITEM, PARA CONTRATAÇÃO DE EMPRESA ESPECIALIZADA PARA AQUISIÇÃO E INSTALAÇÃO DE APARELHOS DE AR CONDICIONADO SPLITS INVERTER, REFERENTE A EMENDA PARLAMENTAR DEPUTADA ESTADUAL BIA DE LIMA  Nº 0986/2023 - DISPONIBILIZADA PARA A ESCOLA MUNICIPAL MARIA LEOPOLDINA DE CARVALHO, CONFORME TERMO DE REFERÊNCIAS, ANEXO I DO EDITAL.</t>
        </is>
      </c>
      <c r="L247" t="b">
        <v>0</v>
      </c>
      <c r="M247" t="inlineStr">
        <is>
          <t>climatizacao</t>
        </is>
      </c>
      <c r="N247" t="inlineStr">
        <is>
          <t>climatizacao</t>
        </is>
      </c>
      <c r="O247" t="n">
        <v>489931.15</v>
      </c>
      <c r="P247" t="n">
        <v>321839</v>
      </c>
      <c r="Q247" t="n">
        <v>489931.15</v>
      </c>
      <c r="R247" t="n">
        <v>0.3430934122070009</v>
      </c>
      <c r="S247" t="n">
        <v>0</v>
      </c>
      <c r="T247" t="n">
        <v>4</v>
      </c>
      <c r="U247" t="n">
        <v>4</v>
      </c>
      <c r="V247" t="n">
        <v>4</v>
      </c>
      <c r="W247" t="n">
        <v>0</v>
      </c>
      <c r="X247" t="n">
        <v>0</v>
      </c>
      <c r="Y247" t="n">
        <v>0</v>
      </c>
      <c r="Z247" t="n">
        <v>0</v>
      </c>
      <c r="AA247" t="n">
        <v>0</v>
      </c>
      <c r="AB247" t="n">
        <v>0</v>
      </c>
      <c r="AC247" t="n">
        <v>0</v>
      </c>
      <c r="AD247" t="n">
        <v>0</v>
      </c>
      <c r="AE247" t="n">
        <v>2</v>
      </c>
      <c r="AF247" t="inlineStr">
        <is>
          <t>MULTIPLA DISTRIBUIDORA DE ELETRODOMESTICOS LTDA:ME; DENTECK LTDA:ME</t>
        </is>
      </c>
      <c r="AH247" t="inlineStr">
        <is>
          <t>pontual</t>
        </is>
      </c>
      <c r="AJ247" t="n">
        <v>0</v>
      </c>
      <c r="AK247" t="n">
        <v>0</v>
      </c>
      <c r="AL247" t="n">
        <v>0</v>
      </c>
      <c r="AM247" t="n">
        <v>0</v>
      </c>
      <c r="AN247" t="n">
        <v>0</v>
      </c>
      <c r="AQ247" t="n">
        <v>1</v>
      </c>
      <c r="AR247" t="inlineStr">
        <is>
          <t>fornecimento_puro</t>
        </is>
      </c>
      <c r="AS247" t="inlineStr">
        <is>
          <t>heuristica automatica confirmada (fornecimento_puro): 4 item(ns), todos classificados como material (sem servico).</t>
        </is>
      </c>
      <c r="AT247" t="n">
        <v>0</v>
      </c>
      <c r="AU247" t="n">
        <v>0</v>
      </c>
    </row>
    <row r="248">
      <c r="A248" t="inlineStr">
        <is>
          <t>02204196000161_2025_333</t>
        </is>
      </c>
      <c r="B248" s="2" t="inlineStr">
        <is>
          <t>https://pncp.gov.br/app/editais/02204196000161/2025/333</t>
        </is>
      </c>
      <c r="C248" t="inlineStr">
        <is>
          <t>2026-09-27T03:01:26.157262+00:00</t>
        </is>
      </c>
      <c r="D248" t="inlineStr">
        <is>
          <t>GO</t>
        </is>
      </c>
      <c r="E248" t="inlineStr">
        <is>
          <t>GO</t>
        </is>
      </c>
      <c r="F248" t="inlineStr">
        <is>
          <t>Itumbiara</t>
        </is>
      </c>
      <c r="G248" t="inlineStr">
        <is>
          <t>MUNICIPIO DE ITUMBIARA</t>
        </is>
      </c>
      <c r="H248" t="inlineStr">
        <is>
          <t>Municipal</t>
        </is>
      </c>
      <c r="I248" t="inlineStr">
        <is>
          <t>2025-06-03T14:03:17</t>
        </is>
      </c>
      <c r="J248" t="inlineStr">
        <is>
          <t>Pregão - Eletrônico</t>
        </is>
      </c>
      <c r="K248" t="inlineStr">
        <is>
          <t>PREGÃO ELETRÔNICO, TIPO MENOR PREÇO, OBJETIVANDO A CONTRATAÇÃO DE EMPRESA ESPECIALIZADA EM FORNECIMENTO E INSTALAÇÃO DE APARELHOS DE AR CONDICIONADO 80.000 BTU'S PARA O TEATRO MARIA PIRES PERILLO.</t>
        </is>
      </c>
      <c r="L248" t="b">
        <v>0</v>
      </c>
      <c r="M248" t="inlineStr">
        <is>
          <t>climatizacao</t>
        </is>
      </c>
      <c r="N248" t="inlineStr">
        <is>
          <t>climatizacao</t>
        </is>
      </c>
      <c r="O248" t="n">
        <v>288423.9</v>
      </c>
      <c r="P248" t="n">
        <v>281162</v>
      </c>
      <c r="Q248" t="n">
        <v>288423.895</v>
      </c>
      <c r="R248" t="n">
        <v>0.02517785497626679</v>
      </c>
      <c r="S248" t="n">
        <v>0</v>
      </c>
      <c r="T248" t="n">
        <v>1</v>
      </c>
      <c r="U248" t="n">
        <v>1</v>
      </c>
      <c r="V248" t="n">
        <v>1</v>
      </c>
      <c r="W248" t="n">
        <v>0</v>
      </c>
      <c r="X248" t="n">
        <v>0</v>
      </c>
      <c r="Y248" t="n">
        <v>0</v>
      </c>
      <c r="Z248" t="n">
        <v>0</v>
      </c>
      <c r="AA248" t="n">
        <v>0</v>
      </c>
      <c r="AB248" t="n">
        <v>0</v>
      </c>
      <c r="AC248" t="n">
        <v>0</v>
      </c>
      <c r="AD248" t="n">
        <v>0</v>
      </c>
      <c r="AE248" t="n">
        <v>1</v>
      </c>
      <c r="AF248" t="inlineStr">
        <is>
          <t>NPR DISTRIBUIDORA LTDA:ME</t>
        </is>
      </c>
      <c r="AH248" t="inlineStr">
        <is>
          <t>pontual</t>
        </is>
      </c>
      <c r="AJ248" t="n">
        <v>0</v>
      </c>
      <c r="AK248" t="n">
        <v>0</v>
      </c>
      <c r="AL248" t="n">
        <v>0</v>
      </c>
      <c r="AM248" t="n">
        <v>0</v>
      </c>
      <c r="AN248" t="n">
        <v>0</v>
      </c>
      <c r="AQ248" t="n">
        <v>1</v>
      </c>
      <c r="AR248" t="inlineStr">
        <is>
          <t>fornecimento_puro</t>
        </is>
      </c>
      <c r="AS248" t="inlineStr">
        <is>
          <t>heuristica automatica confirmada (fornecimento_puro): 1 item(ns), todos classificados como material (sem servico).</t>
        </is>
      </c>
      <c r="AT248" t="n">
        <v>0</v>
      </c>
      <c r="AU248" t="n">
        <v>0</v>
      </c>
    </row>
    <row r="249">
      <c r="A249" t="inlineStr">
        <is>
          <t>02204196000161_2025_383</t>
        </is>
      </c>
      <c r="B249" s="2" t="inlineStr">
        <is>
          <t>https://pncp.gov.br/app/editais/02204196000161/2025/383</t>
        </is>
      </c>
      <c r="C249" t="inlineStr">
        <is>
          <t>2026-09-27T04:17:03.410934+00:00</t>
        </is>
      </c>
      <c r="D249" t="inlineStr">
        <is>
          <t>GO</t>
        </is>
      </c>
      <c r="E249" t="inlineStr">
        <is>
          <t>GO</t>
        </is>
      </c>
      <c r="F249" t="inlineStr">
        <is>
          <t>Itumbiara</t>
        </is>
      </c>
      <c r="G249" t="inlineStr">
        <is>
          <t>MUNICIPIO DE ITUMBIARA</t>
        </is>
      </c>
      <c r="H249" t="inlineStr">
        <is>
          <t>Municipal</t>
        </is>
      </c>
      <c r="I249" t="inlineStr">
        <is>
          <t>2025-06-18T11:49:11</t>
        </is>
      </c>
      <c r="J249" t="inlineStr">
        <is>
          <t>Pregão - Eletrônico</t>
        </is>
      </c>
      <c r="K249" t="inlineStr">
        <is>
          <t>AQUISIÇÃO DE MATERIAIS HIDRÁULICOS, ELÉTRICOS E FERRAMENTAS PARA MANUTENÇÃO DE BENS IMÓVEIS, PARA MONTAGEM DE BARRACAS (STANDS) PARA ATENDER AO PROPÓSITO DA REALIZAÇÃO (19°) ARRAIÁ E (3°) ITUMBIARA PRA CRISTO, ATENDENDO AS NECESSIDADES DA SECRETARIA MUNICIPAL DE CULTURA E TURISMO, DO MUNICÍPIO DE ITUMBIARA – GO.</t>
        </is>
      </c>
      <c r="L249" t="b">
        <v>0</v>
      </c>
      <c r="M249" t="inlineStr">
        <is>
          <t>eletrica_predial</t>
        </is>
      </c>
      <c r="N249" t="inlineStr">
        <is>
          <t>eletrica_predial</t>
        </is>
      </c>
      <c r="O249" t="n">
        <v>155602.25</v>
      </c>
      <c r="P249" t="n">
        <v>36047.04</v>
      </c>
      <c r="Q249" t="n">
        <v>54473.72</v>
      </c>
      <c r="R249" t="n">
        <v>0.3382673333122835</v>
      </c>
      <c r="S249" t="n">
        <v>0</v>
      </c>
      <c r="T249" t="n">
        <v>76</v>
      </c>
      <c r="U249" t="n">
        <v>40</v>
      </c>
      <c r="V249" t="n">
        <v>70</v>
      </c>
      <c r="W249" t="n">
        <v>0</v>
      </c>
      <c r="X249" t="n">
        <v>0</v>
      </c>
      <c r="Y249" t="n">
        <v>0</v>
      </c>
      <c r="Z249" t="n">
        <v>0</v>
      </c>
      <c r="AA249" t="n">
        <v>0</v>
      </c>
      <c r="AB249" t="n">
        <v>0</v>
      </c>
      <c r="AC249" t="n">
        <v>0</v>
      </c>
      <c r="AD249" t="n">
        <v>0</v>
      </c>
      <c r="AE249" t="n">
        <v>1</v>
      </c>
      <c r="AF249" t="inlineStr">
        <is>
          <t>ELEKTRON SISTEMAS ELETRICOS LTDA:ME</t>
        </is>
      </c>
      <c r="AH249" t="inlineStr">
        <is>
          <t>pontual</t>
        </is>
      </c>
      <c r="AJ249" t="n">
        <v>0</v>
      </c>
      <c r="AK249" t="n">
        <v>0</v>
      </c>
      <c r="AL249" t="n">
        <v>0</v>
      </c>
      <c r="AM249" t="n">
        <v>0</v>
      </c>
      <c r="AN249" t="n">
        <v>0</v>
      </c>
      <c r="AQ249" t="n">
        <v>1</v>
      </c>
      <c r="AR249" t="inlineStr">
        <is>
          <t>fornecimento_puro</t>
        </is>
      </c>
      <c r="AS249" t="inlineStr">
        <is>
          <t>Confirmada exclusao automatica (fornecimento_puro): 76 item(ns), todos classificados como material (sem servico).</t>
        </is>
      </c>
      <c r="AT249" t="n">
        <v>1</v>
      </c>
      <c r="AU249" t="n">
        <v>0</v>
      </c>
    </row>
    <row r="250">
      <c r="A250" t="inlineStr">
        <is>
          <t>02204196000161_2025_747</t>
        </is>
      </c>
      <c r="B250" s="2" t="inlineStr">
        <is>
          <t>https://pncp.gov.br/app/editais/02204196000161/2025/747</t>
        </is>
      </c>
      <c r="C250" t="inlineStr">
        <is>
          <t>2026-09-27T04:45:43.705195+00:00</t>
        </is>
      </c>
      <c r="D250" t="inlineStr">
        <is>
          <t>GO</t>
        </is>
      </c>
      <c r="E250" t="inlineStr">
        <is>
          <t>GO</t>
        </is>
      </c>
      <c r="F250" t="inlineStr">
        <is>
          <t>Itumbiara</t>
        </is>
      </c>
      <c r="G250" t="inlineStr">
        <is>
          <t>MUNICIPIO DE ITUMBIARA</t>
        </is>
      </c>
      <c r="H250" t="inlineStr">
        <is>
          <t>Municipal</t>
        </is>
      </c>
      <c r="I250" t="inlineStr">
        <is>
          <t>2025-11-13T11:30:54</t>
        </is>
      </c>
      <c r="J250" t="inlineStr">
        <is>
          <t>Pregão - Eletrônico</t>
        </is>
      </c>
      <c r="K250" t="inlineStr">
        <is>
          <t>REGISTRO DE PREÇOS PARA FUTURA E EVENTUAL AQUISIÇÃO MATERIAIS ELÉTRICO E ELETRÔNICO (LUMINÁRIAS PÚBLICAS LED) PARA ATENDER AS NECESSIDADES DO FUNDIP – FUNDO MUNICIPAL DE ILUMINAÇÃO PÚBLICA</t>
        </is>
      </c>
      <c r="L250" t="b">
        <v>1</v>
      </c>
      <c r="M250" t="inlineStr">
        <is>
          <t>iluminacao_publica</t>
        </is>
      </c>
      <c r="N250" t="inlineStr">
        <is>
          <t>iluminacao_publica</t>
        </is>
      </c>
      <c r="O250" t="n">
        <v>2855610</v>
      </c>
      <c r="P250" t="n">
        <v>1777240</v>
      </c>
      <c r="Q250" t="n">
        <v>2855610</v>
      </c>
      <c r="R250" t="n">
        <v>0.3776320996214469</v>
      </c>
      <c r="S250" t="n">
        <v>0</v>
      </c>
      <c r="T250" t="n">
        <v>3</v>
      </c>
      <c r="U250" t="n">
        <v>3</v>
      </c>
      <c r="V250" t="n">
        <v>3</v>
      </c>
      <c r="W250" t="n">
        <v>0</v>
      </c>
      <c r="X250" t="n">
        <v>0</v>
      </c>
      <c r="Y250" t="n">
        <v>0</v>
      </c>
      <c r="Z250" t="n">
        <v>0</v>
      </c>
      <c r="AA250" t="n">
        <v>0</v>
      </c>
      <c r="AB250" t="n">
        <v>0</v>
      </c>
      <c r="AC250" t="n">
        <v>0</v>
      </c>
      <c r="AD250" t="n">
        <v>0</v>
      </c>
      <c r="AE250" t="n">
        <v>3</v>
      </c>
      <c r="AF250" t="inlineStr">
        <is>
          <t>PROSPER COMERCIO ATACADISTA IMPORTACAO E EXPORTACAO DE EQUIPAMENTOS ELETRONICOS E ILUMINACAO LTDA:ME; TRIUNFO ILUMINACAO LTDA:ME; SATURNO COMERCIO DE MATERIAL ELETRICO E ELETRONICO LTDA:ME</t>
        </is>
      </c>
      <c r="AH250" t="inlineStr">
        <is>
          <t>pontual</t>
        </is>
      </c>
      <c r="AJ250" t="n">
        <v>0</v>
      </c>
      <c r="AK250" t="n">
        <v>0</v>
      </c>
      <c r="AL250" t="n">
        <v>0</v>
      </c>
      <c r="AM250" t="n">
        <v>0</v>
      </c>
      <c r="AN250" t="n">
        <v>0</v>
      </c>
      <c r="AQ250" t="n">
        <v>1</v>
      </c>
      <c r="AR250" t="inlineStr">
        <is>
          <t>fornecimento_puro</t>
        </is>
      </c>
      <c r="AS250" t="inlineStr">
        <is>
          <t>Registro de preços/contratação de fornecimento de materiais, sem mão de obra de manutenção contratada.</t>
        </is>
      </c>
      <c r="AT250" t="n">
        <v>0</v>
      </c>
      <c r="AU250" t="n">
        <v>0</v>
      </c>
    </row>
    <row r="251">
      <c r="A251" t="inlineStr">
        <is>
          <t>02204196000161_2026_312</t>
        </is>
      </c>
      <c r="B251" s="2" t="inlineStr">
        <is>
          <t>https://pncp.gov.br/app/editais/02204196000161/2026/312</t>
        </is>
      </c>
      <c r="C251" t="inlineStr">
        <is>
          <t>2026-09-27T02:31:58.298034+00:00</t>
        </is>
      </c>
      <c r="D251" t="inlineStr">
        <is>
          <t>GO</t>
        </is>
      </c>
      <c r="E251" t="inlineStr">
        <is>
          <t>GO</t>
        </is>
      </c>
      <c r="F251" t="inlineStr">
        <is>
          <t>Itumbiara</t>
        </is>
      </c>
      <c r="G251" t="inlineStr">
        <is>
          <t>MUNICIPIO DE ITUMBIARA</t>
        </is>
      </c>
      <c r="H251" t="inlineStr">
        <is>
          <t>Municipal</t>
        </is>
      </c>
      <c r="I251" t="inlineStr">
        <is>
          <t>2026-07-01T12:42:00</t>
        </is>
      </c>
      <c r="J251" t="inlineStr">
        <is>
          <t>Pregão - Eletrônico</t>
        </is>
      </c>
      <c r="K251" t="inlineStr">
        <is>
          <t>CONTRATAÇÃO DE EMPRESA ESPECIALIZADA PARA O FORNECIMENTO E INSTALAÇÃO DE APARELHOS DE AR-CONDICIONADO TIPO SPLIT INVERTER, EM ATENDIMENTO À EMENDA PARLAMENTAR Nº 1340.9/2024, DE AUTORIA DO DEPUTADO ESTADUAL AMILTOM BATISTA FARIA FILHO, CONFORME PREVISTO NO PROCESSO ADMINISTRATIVO Nº 202500005012673, COM RECURSOS DESTINADOS À ESCOLA MUNICIPAL PEIXOTO DA SILVEIRA, LOCALIZADA NO MUNICÍPIO DE ITUMBIARA – GO.</t>
        </is>
      </c>
      <c r="L251" t="b">
        <v>0</v>
      </c>
      <c r="M251" t="inlineStr">
        <is>
          <t>climatizacao</t>
        </is>
      </c>
      <c r="N251" t="inlineStr">
        <is>
          <t>climatizacao</t>
        </is>
      </c>
      <c r="O251" t="n">
        <v>130881.64</v>
      </c>
      <c r="P251" t="n">
        <v>106222.9</v>
      </c>
      <c r="Q251" t="n">
        <v>130881.635</v>
      </c>
      <c r="R251" t="n">
        <v>0.1884048514522302</v>
      </c>
      <c r="S251" t="n">
        <v>0</v>
      </c>
      <c r="T251" t="n">
        <v>3</v>
      </c>
      <c r="U251" t="n">
        <v>3</v>
      </c>
      <c r="V251" t="n">
        <v>3</v>
      </c>
      <c r="W251" t="n">
        <v>0</v>
      </c>
      <c r="X251" t="n">
        <v>0</v>
      </c>
      <c r="Y251" t="n">
        <v>0</v>
      </c>
      <c r="Z251" t="n">
        <v>0</v>
      </c>
      <c r="AA251" t="n">
        <v>0</v>
      </c>
      <c r="AB251" t="n">
        <v>0</v>
      </c>
      <c r="AC251" t="n">
        <v>0</v>
      </c>
      <c r="AD251" t="n">
        <v>0</v>
      </c>
      <c r="AE251" t="n">
        <v>2</v>
      </c>
      <c r="AF251" t="inlineStr">
        <is>
          <t>ALCANCE VIBE LTDA:ME; DENTECK LTDA:ME</t>
        </is>
      </c>
      <c r="AH251" t="inlineStr">
        <is>
          <t>pontual</t>
        </is>
      </c>
      <c r="AI251" t="n">
        <v>12</v>
      </c>
      <c r="AJ251" t="n">
        <v>0</v>
      </c>
      <c r="AK251" t="n">
        <v>0</v>
      </c>
      <c r="AL251" t="n">
        <v>0</v>
      </c>
      <c r="AM251" t="n">
        <v>0</v>
      </c>
      <c r="AN251" t="n">
        <v>0</v>
      </c>
      <c r="AP251" t="inlineStr">
        <is>
          <t>cnica: 8.3.4.1. A Qualificação Técnica dos licitantes deverá ser comprovada através de: 8.3.4.1.1 Atestado de capacidade técnica, expedidos por pessoa jurídica de direito público ou privado, que comprove que o Licitante forneceu ou esteja fornecendo os materiais compatíveis com a proposta apresentad…</t>
        </is>
      </c>
      <c r="AQ251" t="n">
        <v>1</v>
      </c>
      <c r="AR251" t="inlineStr">
        <is>
          <t>fornecimento_puro</t>
        </is>
      </c>
      <c r="AS251" t="inlineStr">
        <is>
          <t>heuristica automatica confirmada (fornecimento_puro): 3 item(ns), todos classificados como material (sem servico).</t>
        </is>
      </c>
      <c r="AT251" t="n">
        <v>0</v>
      </c>
      <c r="AU251" t="n">
        <v>0</v>
      </c>
    </row>
    <row r="252">
      <c r="A252" t="inlineStr">
        <is>
          <t>02204196000161_2026_377</t>
        </is>
      </c>
      <c r="B252" s="2" t="inlineStr">
        <is>
          <t>https://pncp.gov.br/app/editais/02204196000161/2026/377</t>
        </is>
      </c>
      <c r="C252" t="inlineStr">
        <is>
          <t>2026-09-27T04:22:57.283718+00:00</t>
        </is>
      </c>
      <c r="D252" t="inlineStr">
        <is>
          <t>GO</t>
        </is>
      </c>
      <c r="E252" t="inlineStr">
        <is>
          <t>GO</t>
        </is>
      </c>
      <c r="F252" t="inlineStr">
        <is>
          <t>Itumbiara</t>
        </is>
      </c>
      <c r="G252" t="inlineStr">
        <is>
          <t>MUNICIPIO DE ITUMBIARA</t>
        </is>
      </c>
      <c r="H252" t="inlineStr">
        <is>
          <t>Municipal</t>
        </is>
      </c>
      <c r="I252" t="inlineStr">
        <is>
          <t>2026-08-06T07:01:35</t>
        </is>
      </c>
      <c r="J252" t="inlineStr">
        <is>
          <t>Pregão - Eletrônico</t>
        </is>
      </c>
      <c r="K252" t="inlineStr">
        <is>
          <t xml:space="preserve">REGISTRO DE PREÇOS PARA FUTURA E EVENTUAL AQUISIÇÃO DE MATERIAIS DE CONSUMO DE USO OPERACIONAL, INCLUINDO FERRAMENTAS E INSUMOS AUXILIARES, DESTINADOS À MANUTENÇÃO E EXPANSÃO DO SISTEMA DE ILUMINAÇÃO PÚBLICA DO MUNICÍPIO DE ITUMBIARA/GO. </t>
        </is>
      </c>
      <c r="L252" t="b">
        <v>1</v>
      </c>
      <c r="M252" t="inlineStr">
        <is>
          <t>iluminacao_publica</t>
        </is>
      </c>
      <c r="N252" t="inlineStr">
        <is>
          <t>iluminacao_publica</t>
        </is>
      </c>
      <c r="O252" t="n">
        <v>13711.12</v>
      </c>
      <c r="P252" t="n">
        <v>13317</v>
      </c>
      <c r="Q252" t="n">
        <v>13711.12</v>
      </c>
      <c r="R252" t="n">
        <v>0.02874455186738942</v>
      </c>
      <c r="S252" t="n">
        <v>0</v>
      </c>
      <c r="T252" t="n">
        <v>25</v>
      </c>
      <c r="U252" t="n">
        <v>25</v>
      </c>
      <c r="V252" t="n">
        <v>25</v>
      </c>
      <c r="W252" t="n">
        <v>0</v>
      </c>
      <c r="X252" t="n">
        <v>0</v>
      </c>
      <c r="Y252" t="n">
        <v>0</v>
      </c>
      <c r="Z252" t="n">
        <v>0</v>
      </c>
      <c r="AA252" t="n">
        <v>0</v>
      </c>
      <c r="AB252" t="n">
        <v>0</v>
      </c>
      <c r="AC252" t="n">
        <v>0</v>
      </c>
      <c r="AD252" t="n">
        <v>0</v>
      </c>
      <c r="AE252" t="n">
        <v>1</v>
      </c>
      <c r="AF252" t="inlineStr">
        <is>
          <t>IMPERIAL COM. DE PARAF. FER. E MAQ.LTDA:ME</t>
        </is>
      </c>
      <c r="AH252" t="inlineStr">
        <is>
          <t>pontual</t>
        </is>
      </c>
      <c r="AI252" t="n">
        <v>12</v>
      </c>
      <c r="AJ252" t="n">
        <v>0</v>
      </c>
      <c r="AK252" t="n">
        <v>0</v>
      </c>
      <c r="AL252" t="n">
        <v>0</v>
      </c>
      <c r="AM252" t="n">
        <v>0</v>
      </c>
      <c r="AN252" t="n">
        <v>0</v>
      </c>
      <c r="AP252" t="inlineStr">
        <is>
          <t>eza compatível com o objeto desta contratação. 8.3.4.4. Será admitida, para fins de comprovação de quantitativo mínimo, a apresentação e o somatório de diferentes atestados executados de forma concomitante. 8.3.4.5. Os atestados de capacidade técnica poderão ser apresentados em nome da matriz ou da…</t>
        </is>
      </c>
      <c r="AQ252" t="n">
        <v>1</v>
      </c>
      <c r="AR252" t="inlineStr">
        <is>
          <t>fornecimento_puro</t>
        </is>
      </c>
      <c r="AS252" t="inlineStr">
        <is>
          <t>Registro de preços/contratação de fornecimento de materiais, sem mão de obra de manutenção contratada.</t>
        </is>
      </c>
      <c r="AT252" t="n">
        <v>1</v>
      </c>
      <c r="AU252" t="n">
        <v>0</v>
      </c>
    </row>
    <row r="253">
      <c r="A253" t="inlineStr">
        <is>
          <t>02204196000161_2026_391</t>
        </is>
      </c>
      <c r="B253" s="2" t="inlineStr">
        <is>
          <t>https://pncp.gov.br/app/editais/02204196000161/2026/391</t>
        </is>
      </c>
      <c r="C253" t="inlineStr">
        <is>
          <t>2026-09-27T04:21:58.529529+00:00</t>
        </is>
      </c>
      <c r="D253" t="inlineStr">
        <is>
          <t>GO</t>
        </is>
      </c>
      <c r="E253" t="inlineStr">
        <is>
          <t>GO</t>
        </is>
      </c>
      <c r="F253" t="inlineStr">
        <is>
          <t>Itumbiara</t>
        </is>
      </c>
      <c r="G253" t="inlineStr">
        <is>
          <t>MUNICIPIO DE ITUMBIARA</t>
        </is>
      </c>
      <c r="H253" t="inlineStr">
        <is>
          <t>Municipal</t>
        </is>
      </c>
      <c r="I253" t="inlineStr">
        <is>
          <t>2026-08-13T10:36:56</t>
        </is>
      </c>
      <c r="J253" t="inlineStr">
        <is>
          <t>Pregão - Eletrônico</t>
        </is>
      </c>
      <c r="K253" t="inlineStr">
        <is>
          <t>REGISTRO DE PREÇOS PARA FUTURA E EVENTUAL AQUISIÇÃO DE FERRAMENTAS MANUAIS, INSTRUMENTOS DE MEDIÇÃO, EQUIPAMENTOS ISOLANTES, EQUIPAMENTOS DE ACESSO E ACESSÓRIOS OPERACIONAIS, DESTINADOS À EXECUÇÃO DAS ATIVIDADES DE MANUTENÇÃO, OPERAÇÃO E AMPLIAÇÃO DO SISTEMA DE ILUMINAÇÃO PÚBLICA DO MUNICÍPIO DE ITUMBIARA/GO</t>
        </is>
      </c>
      <c r="L253" t="b">
        <v>1</v>
      </c>
      <c r="M253" t="inlineStr">
        <is>
          <t>iluminacao_publica</t>
        </is>
      </c>
      <c r="N253" t="inlineStr">
        <is>
          <t>iluminacao_publica</t>
        </is>
      </c>
      <c r="O253" t="n">
        <v>52451.29</v>
      </c>
      <c r="P253" t="n">
        <v>32318.18</v>
      </c>
      <c r="Q253" t="n">
        <v>52451.28999999999</v>
      </c>
      <c r="R253" t="n">
        <v>0.3838439435903294</v>
      </c>
      <c r="S253" t="n">
        <v>0</v>
      </c>
      <c r="T253" t="n">
        <v>20</v>
      </c>
      <c r="U253" t="n">
        <v>20</v>
      </c>
      <c r="V253" t="n">
        <v>20</v>
      </c>
      <c r="W253" t="n">
        <v>0</v>
      </c>
      <c r="X253" t="n">
        <v>0</v>
      </c>
      <c r="Y253" t="n">
        <v>0</v>
      </c>
      <c r="Z253" t="n">
        <v>0</v>
      </c>
      <c r="AA253" t="n">
        <v>0</v>
      </c>
      <c r="AB253" t="n">
        <v>0</v>
      </c>
      <c r="AC253" t="n">
        <v>0</v>
      </c>
      <c r="AD253" t="n">
        <v>0</v>
      </c>
      <c r="AE253" t="n">
        <v>6</v>
      </c>
      <c r="AF253" t="inlineStr">
        <is>
          <t>AC EMPREENDIMENTOS LTDA:ME; REFINAR EMPRESARIAL ASSESSORIA EM CONTROLES ADMINISTRATIVOS LTDA:ME; IMPERIAL COM. DE PARAF. FER. E MAQ.LTDA:ME; INFANTARIA COMERCIAL LTDA:ME; ELEKTRON SISTEMAS ELETRICOS LTDA:ME; MAGNATOOLS COMERCIO E SERVICOS LTDA:ME</t>
        </is>
      </c>
      <c r="AH253" t="inlineStr">
        <is>
          <t>pontual</t>
        </is>
      </c>
      <c r="AI253" t="n">
        <v>12</v>
      </c>
      <c r="AJ253" t="n">
        <v>0</v>
      </c>
      <c r="AK253" t="n">
        <v>0</v>
      </c>
      <c r="AL253" t="n">
        <v>0</v>
      </c>
      <c r="AM253" t="n">
        <v>0</v>
      </c>
      <c r="AN253" t="n">
        <v>0</v>
      </c>
      <c r="AP253" t="inlineStr">
        <is>
          <t>natureza e complexidade operacional compatíveis com o objeto licitado. 8.3.4.4. Não será exigido quantitativo mínimo específico, em observância aos princípios da razoabilidade, competitividade e ampla participação. 8.3.4.5. Será admitida a apresentação e o somatório de diferentes atestados executado…</t>
        </is>
      </c>
      <c r="AQ253" t="n">
        <v>1</v>
      </c>
      <c r="AR253" t="inlineStr">
        <is>
          <t>fornecimento_puro</t>
        </is>
      </c>
      <c r="AS253" t="inlineStr">
        <is>
          <t>Registro de preços/contratação de fornecimento de materiais, sem mão de obra de manutenção contratada.</t>
        </is>
      </c>
      <c r="AT253" t="n">
        <v>1</v>
      </c>
      <c r="AU253" t="n">
        <v>0</v>
      </c>
    </row>
    <row r="254">
      <c r="A254" t="inlineStr">
        <is>
          <t>02215895000107_2025_103</t>
        </is>
      </c>
      <c r="B254" s="2" t="inlineStr">
        <is>
          <t>https://pncp.gov.br/app/editais/02215895000107/2025/103</t>
        </is>
      </c>
      <c r="C254" t="inlineStr">
        <is>
          <t>2026-09-27T04:01:45.812580+00:00</t>
        </is>
      </c>
      <c r="D254" t="inlineStr">
        <is>
          <t>GO</t>
        </is>
      </c>
      <c r="E254" t="inlineStr">
        <is>
          <t>GO</t>
        </is>
      </c>
      <c r="F254" t="inlineStr">
        <is>
          <t>Niquelândia</t>
        </is>
      </c>
      <c r="G254" t="inlineStr">
        <is>
          <t>MUNICIPIO DE NIQUELANDIA</t>
        </is>
      </c>
      <c r="H254" t="inlineStr">
        <is>
          <t>Municipal</t>
        </is>
      </c>
      <c r="I254" t="inlineStr">
        <is>
          <t>2025-11-11T13:30:39</t>
        </is>
      </c>
      <c r="J254" t="inlineStr">
        <is>
          <t>Pregão - Eletrônico</t>
        </is>
      </c>
      <c r="K254" t="inlineStr">
        <is>
          <t>A PRESENTE CONTRATAÇÃO VISA À AQUISIÇÃO DE MATERIAIS ELÉTRICOS DESTINADOS À MANUTENÇÃO, AMPLIAÇÃO E MODERNIZAÇÃO DA ILUMINAÇÃO PÚBLICA NO MUNICÍPIO DE NIQUELÂNDIA/GO. A NECESSIDADE DECORRE DA CRESCENTE DEMANDA POR SERVIÇOS DE MANUTENÇÃO CORRETIVA E PREVENTIVA EM VIAS URBANAS E RURAIS, BEM COMO DA SUBSTITUIÇÃO DE EQUIPAMENTOS DANIFICADOS OU OBSOLETOS, QUE COMPROMETEM A EFICIÊNCIA DO SISTEMA DE ILUMINAÇÃO PÚBLICA E A SEGURANÇA DA POPULAÇÃO.</t>
        </is>
      </c>
      <c r="L254" t="b">
        <v>1</v>
      </c>
      <c r="M254" t="inlineStr">
        <is>
          <t>iluminacao_publica</t>
        </is>
      </c>
      <c r="N254" t="inlineStr">
        <is>
          <t>iluminacao_publica</t>
        </is>
      </c>
      <c r="O254" t="n">
        <v>968123.71</v>
      </c>
      <c r="P254" t="n">
        <v>287531.1</v>
      </c>
      <c r="Q254" t="n">
        <v>396543.72</v>
      </c>
      <c r="R254" t="n">
        <v>0.2749069383824815</v>
      </c>
      <c r="S254" t="n">
        <v>0</v>
      </c>
      <c r="T254" t="n">
        <v>111</v>
      </c>
      <c r="U254" t="n">
        <v>40</v>
      </c>
      <c r="V254" t="n">
        <v>111</v>
      </c>
      <c r="W254" t="n">
        <v>0</v>
      </c>
      <c r="X254" t="n">
        <v>0</v>
      </c>
      <c r="Y254" t="n">
        <v>0</v>
      </c>
      <c r="Z254" t="n">
        <v>0</v>
      </c>
      <c r="AA254" t="n">
        <v>0</v>
      </c>
      <c r="AB254" t="n">
        <v>0</v>
      </c>
      <c r="AC254" t="n">
        <v>0</v>
      </c>
      <c r="AD254" t="n">
        <v>0</v>
      </c>
      <c r="AE254" t="n">
        <v>1</v>
      </c>
      <c r="AF254" t="inlineStr">
        <is>
          <t>OUROLUZ MATERIAIS ELETRICOS E ILUMINACAO LTDA:Demais</t>
        </is>
      </c>
      <c r="AH254" t="inlineStr">
        <is>
          <t>pontual</t>
        </is>
      </c>
      <c r="AJ254" t="n">
        <v>0</v>
      </c>
      <c r="AK254" t="n">
        <v>0</v>
      </c>
      <c r="AL254" t="n">
        <v>0</v>
      </c>
      <c r="AM254" t="n">
        <v>0</v>
      </c>
      <c r="AN254" t="n">
        <v>0</v>
      </c>
      <c r="AQ254" t="n">
        <v>1</v>
      </c>
      <c r="AR254" t="inlineStr">
        <is>
          <t>fornecimento_puro</t>
        </is>
      </c>
      <c r="AS254" t="inlineStr">
        <is>
          <t>Registro de preços/contratação de fornecimento de materiais, sem mão de obra de manutenção contratada.</t>
        </is>
      </c>
      <c r="AT254" t="n">
        <v>1</v>
      </c>
      <c r="AU254" t="n">
        <v>0</v>
      </c>
    </row>
    <row r="255">
      <c r="A255" t="inlineStr">
        <is>
          <t>02218683000183_2025_223</t>
        </is>
      </c>
      <c r="B255" s="2" t="inlineStr">
        <is>
          <t>https://pncp.gov.br/app/editais/02218683000183/2025/223</t>
        </is>
      </c>
      <c r="C255" t="inlineStr">
        <is>
          <t>2026-09-27T04:14:48.600792+00:00</t>
        </is>
      </c>
      <c r="D255" t="inlineStr">
        <is>
          <t>GO</t>
        </is>
      </c>
      <c r="E255" t="inlineStr">
        <is>
          <t>GO</t>
        </is>
      </c>
      <c r="F255" t="inlineStr">
        <is>
          <t>Acreúna</t>
        </is>
      </c>
      <c r="G255" t="inlineStr">
        <is>
          <t>MUNICIPIO DE ACREUNA</t>
        </is>
      </c>
      <c r="H255" t="inlineStr">
        <is>
          <t>Municipal</t>
        </is>
      </c>
      <c r="I255" t="inlineStr">
        <is>
          <t>2025-07-17T13:39:51</t>
        </is>
      </c>
      <c r="J255" t="inlineStr">
        <is>
          <t>Pregão - Eletrônico</t>
        </is>
      </c>
      <c r="K255" t="inlineStr">
        <is>
          <t>REGISTRO DE PREÇO PARA CONTRATAÇÃO DE EMPRESA ESPECIALIZADA NO FORNECIMENTO DE MATERIAL PARA MANUTENÇÃO DE BENS IMÓVEIS E MATERIAL ELÉTRICO E ELETRÔNICO, PARA REPAROS NAS DEPENDÊNCIAS DA SECRETARIA DE SAÚDE E DEMAIS DEPARTAMENTOS DESTE ÓRGÃO.</t>
        </is>
      </c>
      <c r="L255" t="b">
        <v>1</v>
      </c>
      <c r="M255" t="inlineStr">
        <is>
          <t>eletrica_predial</t>
        </is>
      </c>
      <c r="N255" t="inlineStr">
        <is>
          <t>eletrica_predial</t>
        </is>
      </c>
      <c r="O255" t="n">
        <v>628283.35</v>
      </c>
      <c r="P255" t="n">
        <v>180964.75</v>
      </c>
      <c r="Q255" t="n">
        <v>288715.15</v>
      </c>
      <c r="R255" t="n">
        <v>0.3732066017318453</v>
      </c>
      <c r="S255" t="n">
        <v>0</v>
      </c>
      <c r="T255" t="n">
        <v>148</v>
      </c>
      <c r="U255" t="n">
        <v>40</v>
      </c>
      <c r="V255" t="n">
        <v>44</v>
      </c>
      <c r="W255" t="n">
        <v>0</v>
      </c>
      <c r="X255" t="n">
        <v>0</v>
      </c>
      <c r="Y255" t="n">
        <v>0</v>
      </c>
      <c r="Z255" t="n">
        <v>0</v>
      </c>
      <c r="AA255" t="n">
        <v>0</v>
      </c>
      <c r="AB255" t="n">
        <v>0</v>
      </c>
      <c r="AC255" t="n">
        <v>0</v>
      </c>
      <c r="AD255" t="n">
        <v>0</v>
      </c>
      <c r="AE255" t="n">
        <v>4</v>
      </c>
      <c r="AF255" t="inlineStr">
        <is>
          <t>BRASIL ILUMINACAO E CONSTRUCAO LTDA:EPP; CENTROLED DISTRIBUICAO DE MATERIAIS ELETRICOS E ILUMINACAO LTDA:ME; REMA ENGENHARIA E TERCEIRIZACOES LTDA:ME; BROTHERS PRODUTOS E SERVICOS LTDA:ME</t>
        </is>
      </c>
      <c r="AH255" t="inlineStr">
        <is>
          <t>pontual</t>
        </is>
      </c>
      <c r="AJ255" t="n">
        <v>0</v>
      </c>
      <c r="AK255" t="n">
        <v>0</v>
      </c>
      <c r="AL255" t="n">
        <v>0</v>
      </c>
      <c r="AM255" t="n">
        <v>0</v>
      </c>
      <c r="AN255" t="n">
        <v>0</v>
      </c>
      <c r="AQ255" t="n">
        <v>1</v>
      </c>
      <c r="AR255" t="inlineStr">
        <is>
          <t>fornecimento_puro</t>
        </is>
      </c>
      <c r="AS255" t="inlineStr">
        <is>
          <t>Confirmada exclusao automatica (fornecimento_puro): 148 item(ns), todos classificados como material (sem servico).</t>
        </is>
      </c>
      <c r="AT255" t="n">
        <v>1</v>
      </c>
      <c r="AU255" t="n">
        <v>0</v>
      </c>
    </row>
    <row r="256">
      <c r="A256" t="inlineStr">
        <is>
          <t>02218683000183_2025_278</t>
        </is>
      </c>
      <c r="B256" s="2" t="inlineStr">
        <is>
          <t>https://pncp.gov.br/app/editais/02218683000183/2025/278</t>
        </is>
      </c>
      <c r="C256" t="inlineStr">
        <is>
          <t>2026-09-27T02:47:54.615375+00:00</t>
        </is>
      </c>
      <c r="D256" t="inlineStr">
        <is>
          <t>GO</t>
        </is>
      </c>
      <c r="E256" t="inlineStr">
        <is>
          <t>GO</t>
        </is>
      </c>
      <c r="F256" t="inlineStr">
        <is>
          <t>Acreúna</t>
        </is>
      </c>
      <c r="G256" t="inlineStr">
        <is>
          <t>MUNICIPIO DE ACREUNA</t>
        </is>
      </c>
      <c r="H256" t="inlineStr">
        <is>
          <t>Municipal</t>
        </is>
      </c>
      <c r="I256" t="inlineStr">
        <is>
          <t>2025-10-01T16:03:17</t>
        </is>
      </c>
      <c r="J256" t="inlineStr">
        <is>
          <t>Pregão - Eletrônico</t>
        </is>
      </c>
      <c r="K256" t="inlineStr">
        <is>
          <t>Registro de Preços, para contratação de empresa especializada em serviços continuados de Manutenção Preventiva, corretiva, incluindo peças, materiais e equipamentos necessários à manutenção e instalação de aparelhos de ar condicionados, distribuídos na Secretaria Municipal de Educação, Cultura, Esporte e Lazer e seus Departamentos do Município Acreúna – GO.</t>
        </is>
      </c>
      <c r="L256" t="b">
        <v>1</v>
      </c>
      <c r="M256" t="inlineStr">
        <is>
          <t>climatizacao</t>
        </is>
      </c>
      <c r="N256" t="inlineStr">
        <is>
          <t>climatizacao</t>
        </is>
      </c>
      <c r="O256" t="n">
        <v>2633768.17</v>
      </c>
      <c r="P256" t="n">
        <v>2245000</v>
      </c>
      <c r="Q256" t="n">
        <v>2633768.17</v>
      </c>
      <c r="R256" t="n">
        <v>0.1476091079041326</v>
      </c>
      <c r="S256" t="n">
        <v>0</v>
      </c>
      <c r="T256" t="n">
        <v>1</v>
      </c>
      <c r="U256" t="n">
        <v>1</v>
      </c>
      <c r="V256" t="n">
        <v>1</v>
      </c>
      <c r="W256" t="n">
        <v>0</v>
      </c>
      <c r="X256" t="n">
        <v>0</v>
      </c>
      <c r="Y256" t="n">
        <v>0</v>
      </c>
      <c r="Z256" t="n">
        <v>0</v>
      </c>
      <c r="AA256" t="n">
        <v>0</v>
      </c>
      <c r="AB256" t="n">
        <v>0</v>
      </c>
      <c r="AC256" t="n">
        <v>0</v>
      </c>
      <c r="AD256" t="n">
        <v>0</v>
      </c>
      <c r="AE256" t="n">
        <v>1</v>
      </c>
      <c r="AF256" t="inlineStr">
        <is>
          <t>GMS GOIAS MERCANTIL E SOLUCOES LTDA:EPP</t>
        </is>
      </c>
      <c r="AH256" t="inlineStr">
        <is>
          <t>continuado</t>
        </is>
      </c>
      <c r="AJ256" t="n">
        <v>0</v>
      </c>
      <c r="AK256" t="n">
        <v>0</v>
      </c>
      <c r="AL256" t="n">
        <v>0</v>
      </c>
      <c r="AM256" t="n">
        <v>0</v>
      </c>
      <c r="AN256" t="n">
        <v>0</v>
      </c>
      <c r="AQ256" t="n">
        <v>1</v>
      </c>
      <c r="AS256" t="inlineStr">
        <is>
          <t>servico continuado de manutencao preventiva/corretiva com pecas e materiais por demanda = servico.</t>
        </is>
      </c>
      <c r="AT256" t="n">
        <v>1</v>
      </c>
      <c r="AU256" t="n">
        <v>1</v>
      </c>
    </row>
    <row r="257">
      <c r="A257" t="inlineStr">
        <is>
          <t>02218683000183_2025_317</t>
        </is>
      </c>
      <c r="B257" s="2" t="inlineStr">
        <is>
          <t>https://pncp.gov.br/app/editais/02218683000183/2025/317</t>
        </is>
      </c>
      <c r="C257" t="inlineStr">
        <is>
          <t>2026-09-27T04:43:21.015084+00:00</t>
        </is>
      </c>
      <c r="D257" t="inlineStr">
        <is>
          <t>GO</t>
        </is>
      </c>
      <c r="E257" t="inlineStr">
        <is>
          <t>GO</t>
        </is>
      </c>
      <c r="F257" t="inlineStr">
        <is>
          <t>Acreúna</t>
        </is>
      </c>
      <c r="G257" t="inlineStr">
        <is>
          <t>MUNICIPIO DE ACREUNA</t>
        </is>
      </c>
      <c r="H257" t="inlineStr">
        <is>
          <t>Municipal</t>
        </is>
      </c>
      <c r="I257" t="inlineStr">
        <is>
          <t>2025-12-05T16:25:34</t>
        </is>
      </c>
      <c r="J257" t="inlineStr">
        <is>
          <t>Pregão - Eletrônico</t>
        </is>
      </c>
      <c r="K257" t="inlineStr">
        <is>
          <t>Registro de Preços, visando à contratação de empresa especializada no fornecimento de equipamentos hospitalares, especificamente mesa cirúrgica com sistema de acionamento eletro-hidráulico e foco cirúrgico móvel com iluminação em LED, destinados a atender às necessidades do Centro Cirúrgico do Hospital Público Municipal Rosulino Campos Brasileiro de Minas, vinculado ao Fundo Municipal de Saúde de Acreúna/GO, garantindo melhores condições de infraestrutura, segurança e eficiência nos procedimentos cirúrgicos que serão realizados na rede pública municipal de saúde. Tendo como embasamento legal a Lei 14.133/21.</t>
        </is>
      </c>
      <c r="L257" t="b">
        <v>1</v>
      </c>
      <c r="M257" t="inlineStr">
        <is>
          <t>iluminacao_publica</t>
        </is>
      </c>
      <c r="N257" t="inlineStr">
        <is>
          <t>iluminacao_publica</t>
        </is>
      </c>
      <c r="O257" t="n">
        <v>163118.34</v>
      </c>
      <c r="P257" t="n">
        <v>116399</v>
      </c>
      <c r="Q257" t="n">
        <v>163118.34</v>
      </c>
      <c r="R257" t="n">
        <v>0.2864137778743948</v>
      </c>
      <c r="S257" t="n">
        <v>0</v>
      </c>
      <c r="T257" t="n">
        <v>2</v>
      </c>
      <c r="U257" t="n">
        <v>2</v>
      </c>
      <c r="V257" t="n">
        <v>2</v>
      </c>
      <c r="W257" t="n">
        <v>0</v>
      </c>
      <c r="X257" t="n">
        <v>0</v>
      </c>
      <c r="Y257" t="n">
        <v>0</v>
      </c>
      <c r="Z257" t="n">
        <v>0</v>
      </c>
      <c r="AA257" t="n">
        <v>0</v>
      </c>
      <c r="AB257" t="n">
        <v>0</v>
      </c>
      <c r="AC257" t="n">
        <v>0</v>
      </c>
      <c r="AD257" t="n">
        <v>0</v>
      </c>
      <c r="AE257" t="n">
        <v>2</v>
      </c>
      <c r="AF257" t="inlineStr">
        <is>
          <t>HOSPCOM EQUIPAMENTOS HOSPITALARES LTDA:Demais; SUPREMA DENTAL IMPORTACAO, EXPORTACAO E COMERCIO DE PRODUTOS ODONTOLOGICOS LTDA:EPP</t>
        </is>
      </c>
      <c r="AH257" t="inlineStr">
        <is>
          <t>pontual</t>
        </is>
      </c>
      <c r="AJ257" t="n">
        <v>0</v>
      </c>
      <c r="AK257" t="n">
        <v>0</v>
      </c>
      <c r="AL257" t="n">
        <v>0</v>
      </c>
      <c r="AM257" t="n">
        <v>0</v>
      </c>
      <c r="AN257" t="n">
        <v>0</v>
      </c>
      <c r="AQ257" t="n">
        <v>1</v>
      </c>
      <c r="AR257" t="inlineStr">
        <is>
          <t>mencao_passagem</t>
        </is>
      </c>
      <c r="AS257" t="inlineStr">
        <is>
          <t>Equipamento hospitalar: mesa cirúrgica e foco cirúrgico com iluminação LED; falso positivo de palavra-chave, não é iluminação pública de vias.</t>
        </is>
      </c>
      <c r="AT257" t="n">
        <v>0</v>
      </c>
      <c r="AU257" t="n">
        <v>0</v>
      </c>
    </row>
    <row r="258">
      <c r="A258" t="inlineStr">
        <is>
          <t>02218683000183_2025_345</t>
        </is>
      </c>
      <c r="B258" s="2" t="inlineStr">
        <is>
          <t>https://pncp.gov.br/app/editais/02218683000183/2025/345</t>
        </is>
      </c>
      <c r="C258" t="inlineStr">
        <is>
          <t>2026-09-27T04:32:42.265325+00:00</t>
        </is>
      </c>
      <c r="D258" t="inlineStr">
        <is>
          <t>GO</t>
        </is>
      </c>
      <c r="E258" t="inlineStr">
        <is>
          <t>GO</t>
        </is>
      </c>
      <c r="F258" t="inlineStr">
        <is>
          <t>Acreúna</t>
        </is>
      </c>
      <c r="G258" t="inlineStr">
        <is>
          <t>MUNICIPIO DE ACREUNA</t>
        </is>
      </c>
      <c r="H258" t="inlineStr">
        <is>
          <t>Municipal</t>
        </is>
      </c>
      <c r="I258" t="inlineStr">
        <is>
          <t>2026-04-27T14:11:56</t>
        </is>
      </c>
      <c r="J258" t="inlineStr">
        <is>
          <t>Pregão - Eletrônico</t>
        </is>
      </c>
      <c r="K258" t="inlineStr">
        <is>
          <t xml:space="preserve">CÓDIGO LICITAÇÃO: 1;
REGISTRO DE PREÇOS, VISANDO À CONTRATAÇÃO DE EMPRESA 
ESPECIALIZADA NO FORNECIMENTO DE EQUIPAMENTOS 
HOSPITALARES, ESPECIFICAMENTE MESA CIRÚRGICA COM 
SISTEMA DE ACIONAMENTO ELETRO-HIDRÁULICO E FOCO CIRÚRGICO 
MÓVEL COM ILUMINAÇÃO EM LED, DESTINADOS A ATENDER ÀS 
NECESSIDADES DO CENTRO CIRÚRGICO DO HOSPITAL PÚBLICO 
MUNICIPAL ROSULINO CAMPOS BRASILEIRO DE MINAS, 
VINCULADO AO FUNDO MUNICIPAL DE SAÚDE DE ACREÚNA/GO, 
GARANTINDO MELHORES CONDIÇÕES DE INFRAESTRUTURA, 
SEGURANÇA E EFICIÊNCIA NOS PROCEDIMENTOS CIRÚRGICOS QUE 
SERÃO REALIZADOS NA REDE PÚBLICA MUNICIPAL DE SAÚDE. 
TENDO COMO EMBASAMENTO LEGAL A LEI 14.133/21. </t>
        </is>
      </c>
      <c r="L258" t="b">
        <v>1</v>
      </c>
      <c r="M258" t="inlineStr">
        <is>
          <t>iluminacao_publica</t>
        </is>
      </c>
      <c r="N258" t="inlineStr">
        <is>
          <t>iluminacao_publica</t>
        </is>
      </c>
      <c r="O258" t="n">
        <v>0</v>
      </c>
      <c r="P258" t="n">
        <v>116399</v>
      </c>
      <c r="Q258" t="n">
        <v>0</v>
      </c>
      <c r="S258" t="n">
        <v>0</v>
      </c>
      <c r="T258" t="n">
        <v>2</v>
      </c>
      <c r="U258" t="n">
        <v>2</v>
      </c>
      <c r="V258" t="n">
        <v>2</v>
      </c>
      <c r="W258" t="n">
        <v>0</v>
      </c>
      <c r="X258" t="n">
        <v>0</v>
      </c>
      <c r="Y258" t="n">
        <v>0</v>
      </c>
      <c r="Z258" t="n">
        <v>0</v>
      </c>
      <c r="AA258" t="n">
        <v>0</v>
      </c>
      <c r="AB258" t="n">
        <v>0</v>
      </c>
      <c r="AC258" t="n">
        <v>0</v>
      </c>
      <c r="AD258" t="n">
        <v>0</v>
      </c>
      <c r="AE258" t="n">
        <v>2</v>
      </c>
      <c r="AF258" t="inlineStr">
        <is>
          <t>HOSPCOM EQUIPAMENTOS HOSPITALARES LTDA            :ME; SUPREMA DENTAL IMPORTACAO, EXPORTACAO E COMERCIO DE PRODUTOS ODONTOLOGICOS LTDA:ME</t>
        </is>
      </c>
      <c r="AH258" t="inlineStr">
        <is>
          <t>pontual</t>
        </is>
      </c>
      <c r="AJ258" t="n">
        <v>0</v>
      </c>
      <c r="AK258" t="n">
        <v>0</v>
      </c>
      <c r="AL258" t="n">
        <v>0</v>
      </c>
      <c r="AM258" t="n">
        <v>0</v>
      </c>
      <c r="AN258" t="n">
        <v>0</v>
      </c>
      <c r="AR258" t="inlineStr">
        <is>
          <t>mencao_passagem</t>
        </is>
      </c>
      <c r="AS258" t="inlineStr">
        <is>
          <t>Mesmo objeto do caso 317 (mesa/foco cirúrgico); falso positivo de palavra-chave.</t>
        </is>
      </c>
      <c r="AT258" t="n">
        <v>1</v>
      </c>
      <c r="AU258" t="n">
        <v>0</v>
      </c>
    </row>
    <row r="259">
      <c r="A259" t="inlineStr">
        <is>
          <t>02218683000183_2025_9</t>
        </is>
      </c>
      <c r="B259" s="2" t="inlineStr">
        <is>
          <t>https://pncp.gov.br/app/editais/02218683000183/2025/9</t>
        </is>
      </c>
      <c r="C259" t="inlineStr">
        <is>
          <t>2026-09-27T03:07:32.499944+00:00</t>
        </is>
      </c>
      <c r="D259" t="inlineStr">
        <is>
          <t>GO</t>
        </is>
      </c>
      <c r="E259" t="inlineStr">
        <is>
          <t>GO</t>
        </is>
      </c>
      <c r="F259" t="inlineStr">
        <is>
          <t>Acreúna</t>
        </is>
      </c>
      <c r="G259" t="inlineStr">
        <is>
          <t>MUNICIPIO DE ACREUNA</t>
        </is>
      </c>
      <c r="H259" t="inlineStr">
        <is>
          <t>Municipal</t>
        </is>
      </c>
      <c r="I259" t="inlineStr">
        <is>
          <t>2025-01-08T15:58:42</t>
        </is>
      </c>
      <c r="J259" t="inlineStr">
        <is>
          <t>Pregão - Eletrônico</t>
        </is>
      </c>
      <c r="K259" t="inlineStr">
        <is>
          <t>Registro de Preços para contratação de empresa especializada em prestação dos serviços continuados na instalação de ar condicionado e aquisição de material permanente - novos aparelhos de ares condicionados dual inverter e tubulação – infraestrutura para a canalização dos ares condicionados, em atendimento à Secretaria Municipal de Educação, Cultura, Esporte e Lazer e Secretaria Municipal de Assistência Social do município de Acreúna/GO.</t>
        </is>
      </c>
      <c r="L259" t="b">
        <v>1</v>
      </c>
      <c r="M259" t="inlineStr">
        <is>
          <t>climatizacao</t>
        </is>
      </c>
      <c r="N259" t="inlineStr">
        <is>
          <t>climatizacao</t>
        </is>
      </c>
      <c r="O259" t="n">
        <v>1367942.83</v>
      </c>
      <c r="P259" t="n">
        <v>989999.99</v>
      </c>
      <c r="Q259" t="n">
        <v>1367942.83</v>
      </c>
      <c r="R259" t="n">
        <v>0.2762855520796875</v>
      </c>
      <c r="S259" t="n">
        <v>0</v>
      </c>
      <c r="T259" t="n">
        <v>1</v>
      </c>
      <c r="U259" t="n">
        <v>1</v>
      </c>
      <c r="V259" t="n">
        <v>1</v>
      </c>
      <c r="W259" t="n">
        <v>0</v>
      </c>
      <c r="X259" t="n">
        <v>0</v>
      </c>
      <c r="Y259" t="n">
        <v>0</v>
      </c>
      <c r="Z259" t="n">
        <v>0</v>
      </c>
      <c r="AA259" t="n">
        <v>0</v>
      </c>
      <c r="AB259" t="n">
        <v>0</v>
      </c>
      <c r="AC259" t="n">
        <v>0</v>
      </c>
      <c r="AD259" t="n">
        <v>0</v>
      </c>
      <c r="AE259" t="n">
        <v>1</v>
      </c>
      <c r="AF259" t="inlineStr">
        <is>
          <t>KLINCK MAGAZINE COMERCIO DE AR E ARTIGOS LTDA:ME</t>
        </is>
      </c>
      <c r="AH259" t="inlineStr">
        <is>
          <t>continuado</t>
        </is>
      </c>
      <c r="AJ259" t="n">
        <v>0</v>
      </c>
      <c r="AK259" t="n">
        <v>0</v>
      </c>
      <c r="AL259" t="n">
        <v>0</v>
      </c>
      <c r="AM259" t="n">
        <v>0</v>
      </c>
      <c r="AN259" t="n">
        <v>0</v>
      </c>
      <c r="AQ259" t="n">
        <v>0</v>
      </c>
      <c r="AS259" t="inlineStr">
        <is>
          <t>heuristica automatica confirmada: servico real de climatizacao, sem sinais de exclusao.</t>
        </is>
      </c>
      <c r="AT259" t="n">
        <v>0</v>
      </c>
      <c r="AU259" t="n">
        <v>1</v>
      </c>
    </row>
    <row r="260">
      <c r="A260" t="inlineStr">
        <is>
          <t>02218683000183_2026_12</t>
        </is>
      </c>
      <c r="B260" s="2" t="inlineStr">
        <is>
          <t>https://pncp.gov.br/app/editais/02218683000183/2026/12</t>
        </is>
      </c>
      <c r="C260" t="inlineStr">
        <is>
          <t>2026-09-27T03:56:15.593639+00:00</t>
        </is>
      </c>
      <c r="D260" t="inlineStr">
        <is>
          <t>GO</t>
        </is>
      </c>
      <c r="E260" t="inlineStr">
        <is>
          <t>GO</t>
        </is>
      </c>
      <c r="F260" t="inlineStr">
        <is>
          <t>Acreúna</t>
        </is>
      </c>
      <c r="G260" t="inlineStr">
        <is>
          <t>MUNICIPIO DE ACREUNA</t>
        </is>
      </c>
      <c r="H260" t="inlineStr">
        <is>
          <t>Municipal</t>
        </is>
      </c>
      <c r="I260" t="inlineStr">
        <is>
          <t>2026-01-20T16:11:44</t>
        </is>
      </c>
      <c r="J260" t="inlineStr">
        <is>
          <t>Pregão - Eletrônico</t>
        </is>
      </c>
      <c r="K260" t="inlineStr">
        <is>
          <t>Registro de Preço para contratação de empresa especializada no fornecimento de material para manutenção de bens imóveis e material elétrico e eletrônico, para reparos no Parque de Exposição e Lago Municipal em atendimento a Secretaria Municipal de Industria, Comércio, Turismo e Agricultura e demais departamentos deste órgão. A aquisição se dará em conformidade com os termos da Lei 14.133/2021.</t>
        </is>
      </c>
      <c r="L260" t="b">
        <v>1</v>
      </c>
      <c r="M260" t="inlineStr">
        <is>
          <t>eletrica_predial</t>
        </is>
      </c>
      <c r="N260" t="inlineStr">
        <is>
          <t>eletrica_predial</t>
        </is>
      </c>
      <c r="O260" t="n">
        <v>2702934.54</v>
      </c>
      <c r="P260" t="n">
        <v>317067.44</v>
      </c>
      <c r="Q260" t="n">
        <v>484976.61</v>
      </c>
      <c r="R260" t="n">
        <v>0.3462211713674192</v>
      </c>
      <c r="S260" t="n">
        <v>0</v>
      </c>
      <c r="T260" t="n">
        <v>301</v>
      </c>
      <c r="U260" t="n">
        <v>40</v>
      </c>
      <c r="V260" t="n">
        <v>228</v>
      </c>
      <c r="W260" t="n">
        <v>73</v>
      </c>
      <c r="X260" t="n">
        <v>0</v>
      </c>
      <c r="Y260" t="n">
        <v>0</v>
      </c>
      <c r="Z260" t="n">
        <v>1</v>
      </c>
      <c r="AA260" t="n">
        <v>0</v>
      </c>
      <c r="AB260" t="n">
        <v>0</v>
      </c>
      <c r="AC260" t="n">
        <v>0</v>
      </c>
      <c r="AD260" t="n">
        <v>0</v>
      </c>
      <c r="AE260" t="n">
        <v>6</v>
      </c>
      <c r="AF260" t="inlineStr">
        <is>
          <t>COMERCIAL D e V LTDA:ME; LEDLUZ INDUSTRIA E COMERCIO LTDA:EPP; CBL ENGENHARIA E SUPRIMENTOS LTDA:ME; ALL PUMPS EQUIPAMENTOS E SERVICOS LTDA:ME; ILUMINA GOIAS ILUMINACAO LTDA:ME; VELHA GRAFICA LTDA:ME</t>
        </is>
      </c>
      <c r="AH260" t="inlineStr">
        <is>
          <t>pontual</t>
        </is>
      </c>
      <c r="AJ260" t="n">
        <v>0</v>
      </c>
      <c r="AK260" t="n">
        <v>0</v>
      </c>
      <c r="AL260" t="n">
        <v>0</v>
      </c>
      <c r="AM260" t="n">
        <v>0</v>
      </c>
      <c r="AN260" t="n">
        <v>0</v>
      </c>
      <c r="AQ260" t="n">
        <v>1</v>
      </c>
      <c r="AR260" t="inlineStr">
        <is>
          <t>fornecimento_puro</t>
        </is>
      </c>
      <c r="AS260" t="inlineStr">
        <is>
          <t>Confirmada exclusao automatica (fornecimento_puro): 301 item(ns), todos classificados como material (sem servico).</t>
        </is>
      </c>
      <c r="AT260" t="n">
        <v>1</v>
      </c>
      <c r="AU260" t="n">
        <v>0</v>
      </c>
    </row>
    <row r="261">
      <c r="A261" t="inlineStr">
        <is>
          <t>02218683000183_2026_154</t>
        </is>
      </c>
      <c r="B261" s="2" t="inlineStr">
        <is>
          <t>https://pncp.gov.br/app/editais/02218683000183/2026/154</t>
        </is>
      </c>
      <c r="C261" t="inlineStr">
        <is>
          <t>2026-09-27T14:33:02.596560+00:00</t>
        </is>
      </c>
      <c r="D261" t="inlineStr">
        <is>
          <t>GO</t>
        </is>
      </c>
      <c r="E261" t="inlineStr">
        <is>
          <t>GO</t>
        </is>
      </c>
      <c r="F261" t="inlineStr">
        <is>
          <t>Acreúna</t>
        </is>
      </c>
      <c r="G261" t="inlineStr">
        <is>
          <t>MUNICIPIO DE ACREUNA</t>
        </is>
      </c>
      <c r="H261" t="inlineStr">
        <is>
          <t>Municipal</t>
        </is>
      </c>
      <c r="I261" t="inlineStr">
        <is>
          <t>2026-04-08T13:54:43</t>
        </is>
      </c>
      <c r="J261" t="inlineStr">
        <is>
          <t>Pregão - Eletrônico</t>
        </is>
      </c>
      <c r="K261" t="inlineStr">
        <is>
          <t xml:space="preserve">REGISTRO DE PREÇOS, VISANDO À CONTRATAÇÃO DE EMPRESA 
ESPECIALIZADA NO FORNECIMENTO DE TOMÓGRAFO 
COMPUTADORIZADO, INCLUINDO ENTREGA, INSTALAÇÃO, TESTES 
OPERACIONAIS, CALIBRAÇÃO (QUANDO APLICÁVEL), ADEQUAÇÕES 
TÉCNICAS NECESSÁRIAS, INCLUINDO A INSTALAÇÃO E ADAPTAÇÃO 
DO QUADRO ELÉTRICO DE ENERGIA, BEM COMO A COLOCAÇÃO DO 
EQUIPAMENTO EM PLENO FUNCIONAMENTO, DESTINADO A 
ATENDER ÀS DEMANDAS ASSISTENCIAIS DO HOSPITAL PÚBLICO 
MUNICIPAL ROSULINO CAMPOS BRASILEIRO DE MINAS, 
VINCULADO AO FUNDO MUNICIPAL DE SAÚDE DE 
ACREÚNA/GO.TENDO COMO EMBASAMENTO LEGAL 
A LEI 14.133/21 DE 01 DE ABRIL DE 2021. </t>
        </is>
      </c>
      <c r="L261" t="b">
        <v>0</v>
      </c>
      <c r="M261" t="inlineStr">
        <is>
          <t>eletrica_predial</t>
        </is>
      </c>
      <c r="N261" t="inlineStr">
        <is>
          <t>eletrica_predial</t>
        </is>
      </c>
      <c r="O261" t="n">
        <v>1252333.33</v>
      </c>
      <c r="P261" t="n">
        <v>1220000</v>
      </c>
      <c r="Q261" t="n">
        <v>1252333.33</v>
      </c>
      <c r="R261" t="n">
        <v>0.02581846959227707</v>
      </c>
      <c r="S261" t="n">
        <v>0</v>
      </c>
      <c r="T261" t="n">
        <v>1</v>
      </c>
      <c r="U261" t="n">
        <v>1</v>
      </c>
      <c r="V261" t="n">
        <v>1</v>
      </c>
      <c r="W261" t="n">
        <v>0</v>
      </c>
      <c r="X261" t="n">
        <v>0</v>
      </c>
      <c r="Y261" t="n">
        <v>0</v>
      </c>
      <c r="Z261" t="n">
        <v>0</v>
      </c>
      <c r="AA261" t="n">
        <v>0</v>
      </c>
      <c r="AB261" t="n">
        <v>0</v>
      </c>
      <c r="AC261" t="n">
        <v>0</v>
      </c>
      <c r="AD261" t="n">
        <v>0</v>
      </c>
      <c r="AE261" t="n">
        <v>1</v>
      </c>
      <c r="AF261" t="inlineStr">
        <is>
          <t>VMI TECNOLOGIAS LTDA:ME</t>
        </is>
      </c>
      <c r="AH261" t="inlineStr">
        <is>
          <t>pontual</t>
        </is>
      </c>
      <c r="AI261" t="n">
        <v>12</v>
      </c>
      <c r="AJ261" t="n">
        <v>0</v>
      </c>
      <c r="AK261" t="n">
        <v>0</v>
      </c>
      <c r="AL261" t="n">
        <v>0</v>
      </c>
      <c r="AM261" t="n">
        <v>0</v>
      </c>
      <c r="AN261" t="n">
        <v>0</v>
      </c>
      <c r="AQ261" t="n">
        <v>1</v>
      </c>
      <c r="AR261" t="inlineStr">
        <is>
          <t>fornecimento_puro</t>
        </is>
      </c>
      <c r="AS261" t="inlineStr">
        <is>
          <t>Confirmada exclusao automatica (fornecimento_puro): 1 item(ns), todos classificados como material (sem servico).</t>
        </is>
      </c>
      <c r="AT261" t="n">
        <v>0</v>
      </c>
      <c r="AU261" t="n">
        <v>0</v>
      </c>
    </row>
    <row r="262">
      <c r="A262" t="inlineStr">
        <is>
          <t>02218683000183_2026_155</t>
        </is>
      </c>
      <c r="B262" s="2" t="inlineStr">
        <is>
          <t>https://pncp.gov.br/app/editais/02218683000183/2026/155</t>
        </is>
      </c>
      <c r="C262" t="inlineStr">
        <is>
          <t>2026-09-27T14:32:58.597965+00:00</t>
        </is>
      </c>
      <c r="D262" t="inlineStr">
        <is>
          <t>GO</t>
        </is>
      </c>
      <c r="E262" t="inlineStr">
        <is>
          <t>GO</t>
        </is>
      </c>
      <c r="F262" t="inlineStr">
        <is>
          <t>Acreúna</t>
        </is>
      </c>
      <c r="G262" t="inlineStr">
        <is>
          <t>MUNICIPIO DE ACREUNA</t>
        </is>
      </c>
      <c r="H262" t="inlineStr">
        <is>
          <t>Municipal</t>
        </is>
      </c>
      <c r="I262" t="inlineStr">
        <is>
          <t>2026-04-08T14:23:45</t>
        </is>
      </c>
      <c r="J262" t="inlineStr">
        <is>
          <t>Pregão - Eletrônico</t>
        </is>
      </c>
      <c r="K262" t="inlineStr">
        <is>
          <t>Registro de Preços, visando à contratação de empresa especializada no fornecimento de Tomógrafo Computadorizado, incluindo entrega, instalação, testes operacionais, calibração (quando aplicável), adequações técnicas necessárias, incluindo a instalação e adaptação do quadro elétrico de energia, bem como a colocação do equipamento em pleno funcionamento, destinado a atender às demandas assistenciais do Hospital Público Municipal Rosulino Campos Brasileiro de Minas, vinculado ao Fundo Municipal de Saúde de Acreúna/GO.TENDO COMO EMBASAMENTO LEGAL A LEI 14.133/21 DE 01 DE ABRIL DE 2021.</t>
        </is>
      </c>
      <c r="L262" t="b">
        <v>0</v>
      </c>
      <c r="M262" t="inlineStr">
        <is>
          <t>eletrica_predial</t>
        </is>
      </c>
      <c r="N262" t="inlineStr">
        <is>
          <t>eletrica_predial</t>
        </is>
      </c>
      <c r="O262" t="n">
        <v>1252333.33</v>
      </c>
      <c r="P262" t="n">
        <v>1220000</v>
      </c>
      <c r="Q262" t="n">
        <v>1252333.33</v>
      </c>
      <c r="R262" t="n">
        <v>0.02581846959227707</v>
      </c>
      <c r="S262" t="n">
        <v>0</v>
      </c>
      <c r="T262" t="n">
        <v>1</v>
      </c>
      <c r="U262" t="n">
        <v>1</v>
      </c>
      <c r="V262" t="n">
        <v>1</v>
      </c>
      <c r="W262" t="n">
        <v>0</v>
      </c>
      <c r="X262" t="n">
        <v>0</v>
      </c>
      <c r="Y262" t="n">
        <v>0</v>
      </c>
      <c r="Z262" t="n">
        <v>0</v>
      </c>
      <c r="AA262" t="n">
        <v>0</v>
      </c>
      <c r="AB262" t="n">
        <v>0</v>
      </c>
      <c r="AC262" t="n">
        <v>0</v>
      </c>
      <c r="AD262" t="n">
        <v>0</v>
      </c>
      <c r="AE262" t="n">
        <v>1</v>
      </c>
      <c r="AF262" t="inlineStr">
        <is>
          <t>VMI TECNOLOGIAS LTDA :Demais</t>
        </is>
      </c>
      <c r="AH262" t="inlineStr">
        <is>
          <t>pontual</t>
        </is>
      </c>
      <c r="AI262" t="n">
        <v>12</v>
      </c>
      <c r="AJ262" t="n">
        <v>0</v>
      </c>
      <c r="AK262" t="n">
        <v>0</v>
      </c>
      <c r="AL262" t="n">
        <v>0</v>
      </c>
      <c r="AM262" t="n">
        <v>0</v>
      </c>
      <c r="AN262" t="n">
        <v>0</v>
      </c>
      <c r="AQ262" t="n">
        <v>1</v>
      </c>
      <c r="AR262" t="inlineStr">
        <is>
          <t>fornecimento_puro</t>
        </is>
      </c>
      <c r="AS262" t="inlineStr">
        <is>
          <t>Confirmada exclusao automatica (fornecimento_puro): 1 item(ns), todos classificados como material (sem servico).</t>
        </is>
      </c>
      <c r="AT262" t="n">
        <v>0</v>
      </c>
      <c r="AU262" t="n">
        <v>0</v>
      </c>
    </row>
    <row r="263">
      <c r="A263" t="inlineStr">
        <is>
          <t>02218683000183_2026_206</t>
        </is>
      </c>
      <c r="B263" s="2" t="inlineStr">
        <is>
          <t>https://pncp.gov.br/app/editais/02218683000183/2026/206</t>
        </is>
      </c>
      <c r="C263" t="inlineStr">
        <is>
          <t>2026-09-27T02:37:09.818858+00:00</t>
        </is>
      </c>
      <c r="D263" t="inlineStr">
        <is>
          <t>GO</t>
        </is>
      </c>
      <c r="E263" t="inlineStr">
        <is>
          <t>GO</t>
        </is>
      </c>
      <c r="F263" t="inlineStr">
        <is>
          <t>Acreúna</t>
        </is>
      </c>
      <c r="G263" t="inlineStr">
        <is>
          <t>MUNICIPIO DE ACREUNA</t>
        </is>
      </c>
      <c r="H263" t="inlineStr">
        <is>
          <t>Municipal</t>
        </is>
      </c>
      <c r="I263" t="inlineStr">
        <is>
          <t>2026-04-29T16:59:43</t>
        </is>
      </c>
      <c r="J263" t="inlineStr">
        <is>
          <t>Pregão - Eletrônico</t>
        </is>
      </c>
      <c r="K263" t="inlineStr">
        <is>
          <t>Contratação de empresa especializada para prestação de serviços de diagnóstico funcional, manutenção preventiva e corretiva na central de ar condicionado do Centro Cirúrgico do Hospital Público Municipal Rosulino Campos Brasileiro de Minas, incluindo a elaboração e atualização do PMOC– Plano de Manutenção, Operação e Controle, conforme disposto na Portaria do Ministério da Saúde nº 3.523/1998, ratificada pela Lei nº 13.589/2018, com a finalidade de assegurar o adequado funcionamento do sistema de climatização da unidade hospitalar e a qualidade do ar nos ambientes climatizados TENDO COMO EMBASAMENTO LEGAL A LEI 14.133/21 DE 01 DE ABRIL DE 2021.</t>
        </is>
      </c>
      <c r="L263" t="b">
        <v>0</v>
      </c>
      <c r="M263" t="inlineStr">
        <is>
          <t>climatizacao</t>
        </is>
      </c>
      <c r="N263" t="inlineStr">
        <is>
          <t>climatizacao</t>
        </is>
      </c>
      <c r="O263" t="n">
        <v>110115</v>
      </c>
      <c r="P263" t="n">
        <v>59880</v>
      </c>
      <c r="Q263" t="n">
        <v>110115</v>
      </c>
      <c r="R263" t="n">
        <v>0.4562048767197929</v>
      </c>
      <c r="S263" t="n">
        <v>0</v>
      </c>
      <c r="T263" t="n">
        <v>1</v>
      </c>
      <c r="U263" t="n">
        <v>1</v>
      </c>
      <c r="V263" t="n">
        <v>1</v>
      </c>
      <c r="W263" t="n">
        <v>0</v>
      </c>
      <c r="X263" t="n">
        <v>0</v>
      </c>
      <c r="Y263" t="n">
        <v>0</v>
      </c>
      <c r="Z263" t="n">
        <v>0</v>
      </c>
      <c r="AA263" t="n">
        <v>0</v>
      </c>
      <c r="AB263" t="n">
        <v>0</v>
      </c>
      <c r="AC263" t="n">
        <v>0</v>
      </c>
      <c r="AD263" t="n">
        <v>0</v>
      </c>
      <c r="AE263" t="n">
        <v>1</v>
      </c>
      <c r="AF263" t="inlineStr">
        <is>
          <t>ALCANCE VIBE LTDA:ME</t>
        </is>
      </c>
      <c r="AH263" t="inlineStr">
        <is>
          <t>pontual</t>
        </is>
      </c>
      <c r="AI263" t="n">
        <v>12</v>
      </c>
      <c r="AJ263" t="n">
        <v>0</v>
      </c>
      <c r="AK263" t="n">
        <v>0</v>
      </c>
      <c r="AL263" t="n">
        <v>0</v>
      </c>
      <c r="AM263" t="n">
        <v>1</v>
      </c>
      <c r="AN263" t="n">
        <v>1</v>
      </c>
      <c r="AQ263" t="n">
        <v>0</v>
      </c>
      <c r="AS263" t="inlineStr">
        <is>
          <t>heuristica automatica confirmada: servico real de climatizacao, sem sinais de exclusao.</t>
        </is>
      </c>
      <c r="AT263" t="n">
        <v>0</v>
      </c>
      <c r="AU263" t="n">
        <v>1</v>
      </c>
    </row>
    <row r="264">
      <c r="A264" t="inlineStr">
        <is>
          <t>02218683000183_2026_227</t>
        </is>
      </c>
      <c r="B264" s="2" t="inlineStr">
        <is>
          <t>https://pncp.gov.br/app/editais/02218683000183/2026/227</t>
        </is>
      </c>
      <c r="C264" t="inlineStr">
        <is>
          <t>2026-09-27T03:42:42.920512+00:00</t>
        </is>
      </c>
      <c r="D264" t="inlineStr">
        <is>
          <t>GO</t>
        </is>
      </c>
      <c r="E264" t="inlineStr">
        <is>
          <t>GO</t>
        </is>
      </c>
      <c r="F264" t="inlineStr">
        <is>
          <t>Acreúna</t>
        </is>
      </c>
      <c r="G264" t="inlineStr">
        <is>
          <t>MUNICIPIO DE ACREUNA</t>
        </is>
      </c>
      <c r="H264" t="inlineStr">
        <is>
          <t>Municipal</t>
        </is>
      </c>
      <c r="I264" t="inlineStr">
        <is>
          <t>2026-05-13T16:02:36</t>
        </is>
      </c>
      <c r="J264" t="inlineStr">
        <is>
          <t>Pregão - Eletrônico</t>
        </is>
      </c>
      <c r="K264" t="inlineStr">
        <is>
          <t xml:space="preserve">CONTRATAÇÃO DE EMPRESA ESPECIALIZADA PARA A PRESTAÇÃO DE SERVIÇOS DE MÃO DE OBRA TÉCNICA DESTINADOS À MANUTENÇÃO PREVENTIVA E CORRETIVA DE EQUIPAMENTOS MÉDICO-HOSPITALARES, LABORATORIAIS E DE FISIOTERAPIA, INCLUINDO REFORMAS, DESINSTALAÇÕES, INSTALAÇÕES E REALOCAÇÕES, COM SUBSTITUIÇÃO DE PEÇAS, COMPONENTES E ACESSÓRIOS.
 OS SERVIÇOS DEVERÃO CONTAR COM A UTILIZAÇÃO DE SOFTWARE DE GESTÃO ESPECÍFICO PARA SISTEMAS MÉDICO-HOSPITALARES, COM SUPORTE DE ENGENHARIA CLÍNICA, ABRANGENDO A EMISSÃO DE LAUDOS TÉCNICOS, EXECUÇÃO DE TREINAMENTOS, CALIBRAÇÕES, QUALIFICAÇÕES, SIMULAÇÕES, TESTES DE SEGURANÇA ELÉTRICA, ALÉM DE DEMAIS PROCEDIMENTOS NECESSÁRIOS AO ADEQUADO FUNCIONAMENTO DOS EQUIPAMENTOS.
</t>
        </is>
      </c>
      <c r="L264" t="b">
        <v>0</v>
      </c>
      <c r="M264" t="inlineStr">
        <is>
          <t>eletrica_predial</t>
        </is>
      </c>
      <c r="N264" t="inlineStr">
        <is>
          <t>eletrica_predial</t>
        </is>
      </c>
      <c r="O264" t="n">
        <v>335000</v>
      </c>
      <c r="P264" t="n">
        <v>335000.0004</v>
      </c>
      <c r="Q264" t="n">
        <v>335000.0004</v>
      </c>
      <c r="R264" t="n">
        <v>0</v>
      </c>
      <c r="S264" t="n">
        <v>0</v>
      </c>
      <c r="T264" t="n">
        <v>1</v>
      </c>
      <c r="U264" t="n">
        <v>1</v>
      </c>
      <c r="V264" t="n">
        <v>1</v>
      </c>
      <c r="W264" t="n">
        <v>0</v>
      </c>
      <c r="X264" t="n">
        <v>0</v>
      </c>
      <c r="Y264" t="n">
        <v>0</v>
      </c>
      <c r="Z264" t="n">
        <v>0</v>
      </c>
      <c r="AA264" t="n">
        <v>0</v>
      </c>
      <c r="AB264" t="n">
        <v>0</v>
      </c>
      <c r="AC264" t="n">
        <v>0</v>
      </c>
      <c r="AD264" t="n">
        <v>0</v>
      </c>
      <c r="AE264" t="n">
        <v>1</v>
      </c>
      <c r="AF264" t="inlineStr">
        <is>
          <t>SANTERMED ENGENHARIA LTDA:ME</t>
        </is>
      </c>
      <c r="AH264" t="inlineStr">
        <is>
          <t>continuado</t>
        </is>
      </c>
      <c r="AI264" t="n">
        <v>12</v>
      </c>
      <c r="AJ264" t="n">
        <v>0</v>
      </c>
      <c r="AK264" t="n">
        <v>0</v>
      </c>
      <c r="AL264" t="n">
        <v>0</v>
      </c>
      <c r="AM264" t="n">
        <v>1</v>
      </c>
      <c r="AN264" t="n">
        <v>1</v>
      </c>
      <c r="AQ264" t="n">
        <v>1</v>
      </c>
      <c r="AR264" t="inlineStr">
        <is>
          <t>fornecimento_puro</t>
        </is>
      </c>
      <c r="AS264" t="inlineStr">
        <is>
          <t>Confirmada exclusao automatica (fornecimento_puro): 1 item(ns), todos classificados como material (sem servico).</t>
        </is>
      </c>
      <c r="AT264" t="n">
        <v>1</v>
      </c>
      <c r="AU264" t="n">
        <v>0</v>
      </c>
    </row>
    <row r="265">
      <c r="A265" t="inlineStr">
        <is>
          <t>02218683000183_2026_263</t>
        </is>
      </c>
      <c r="B265" s="2" t="inlineStr">
        <is>
          <t>https://pncp.gov.br/app/editais/02218683000183/2026/263</t>
        </is>
      </c>
      <c r="C265" t="inlineStr">
        <is>
          <t>2026-09-27T02:35:10.747154+00:00</t>
        </is>
      </c>
      <c r="D265" t="inlineStr">
        <is>
          <t>GO</t>
        </is>
      </c>
      <c r="E265" t="inlineStr">
        <is>
          <t>GO</t>
        </is>
      </c>
      <c r="F265" t="inlineStr">
        <is>
          <t>Acreúna</t>
        </is>
      </c>
      <c r="G265" t="inlineStr">
        <is>
          <t>MUNICIPIO DE ACREUNA</t>
        </is>
      </c>
      <c r="H265" t="inlineStr">
        <is>
          <t>Municipal</t>
        </is>
      </c>
      <c r="I265" t="inlineStr">
        <is>
          <t>2026-05-29T14:56:06</t>
        </is>
      </c>
      <c r="J265" t="inlineStr">
        <is>
          <t>Pregão - Eletrônico</t>
        </is>
      </c>
      <c r="K265" t="inlineStr">
        <is>
          <t xml:space="preserve">CONTRATAÇÃO DE EMPRESA ESPECIALIZADA PARA PRESTAÇÃO 
DE SERVIÇOS DE DIAGNÓSTICO FUNCIONAL, MANUTENÇÃO 
PREVENTIVA E CORRETIVA NA CENTRAL DE AR CONDICIONADO DO 
CENTRO CIRÚRGICO DO HOSPITAL PÚBLICO MUNICIPAL 
ROSULINO CAMPOS BRASILEIRO DE MINAS, INCLUINDO A 
ELABORAÇÃO E ATUALIZAÇÃO DO PMOC– PLANO DE 
MANUTENÇÃO, OPERAÇÃO E CONTROLE, CONFORME 
DISPOSTO NA PORTARIA DO MINISTÉRIO DA SAÚDE Nº 
3.523/1998, RATIFICADA PELA LEI Nº 13.589/2018, COM A 
FINALIDADE DE ASSEGURAR O ADEQUADO FUNCIONAMENTO DO 
SISTEMA DE CLIMATIZAÇÃO DA UNIDADE HOSPITALAR E A 
QUALIDADE DO AR NOS AMBIENTES CLIMATIZADOS TENDO 
COMO EMBASAMENTO LEGAL A LEI 14.133/21 
DE 01 DE ABRIL DE 2021. </t>
        </is>
      </c>
      <c r="L265" t="b">
        <v>0</v>
      </c>
      <c r="M265" t="inlineStr">
        <is>
          <t>climatizacao</t>
        </is>
      </c>
      <c r="N265" t="inlineStr">
        <is>
          <t>climatizacao</t>
        </is>
      </c>
      <c r="O265" t="n">
        <v>110115</v>
      </c>
      <c r="P265" t="n">
        <v>59880</v>
      </c>
      <c r="Q265" t="n">
        <v>110115</v>
      </c>
      <c r="R265" t="n">
        <v>0.4562048767197929</v>
      </c>
      <c r="S265" t="n">
        <v>0</v>
      </c>
      <c r="T265" t="n">
        <v>1</v>
      </c>
      <c r="U265" t="n">
        <v>1</v>
      </c>
      <c r="V265" t="n">
        <v>1</v>
      </c>
      <c r="W265" t="n">
        <v>0</v>
      </c>
      <c r="X265" t="n">
        <v>0</v>
      </c>
      <c r="Y265" t="n">
        <v>0</v>
      </c>
      <c r="Z265" t="n">
        <v>0</v>
      </c>
      <c r="AA265" t="n">
        <v>0</v>
      </c>
      <c r="AB265" t="n">
        <v>0</v>
      </c>
      <c r="AC265" t="n">
        <v>0</v>
      </c>
      <c r="AD265" t="n">
        <v>0</v>
      </c>
      <c r="AE265" t="n">
        <v>1</v>
      </c>
      <c r="AF265" t="inlineStr">
        <is>
          <t>ALCANCE VIBE LTDA:ME</t>
        </is>
      </c>
      <c r="AH265" t="inlineStr">
        <is>
          <t>pontual</t>
        </is>
      </c>
      <c r="AI265" t="n">
        <v>12</v>
      </c>
      <c r="AJ265" t="n">
        <v>0</v>
      </c>
      <c r="AK265" t="n">
        <v>0</v>
      </c>
      <c r="AL265" t="n">
        <v>0</v>
      </c>
      <c r="AM265" t="n">
        <v>1</v>
      </c>
      <c r="AN265" t="n">
        <v>1</v>
      </c>
      <c r="AQ265" t="n">
        <v>1</v>
      </c>
      <c r="AS265" t="inlineStr">
        <is>
          <t>servico de diagnostico funcional + manutencao + PMOC de central de ar condicionado hospitalar = servico tecnico especializado.</t>
        </is>
      </c>
      <c r="AT265" t="n">
        <v>1</v>
      </c>
      <c r="AU265" t="n">
        <v>1</v>
      </c>
    </row>
    <row r="266">
      <c r="A266" t="inlineStr">
        <is>
          <t>02218683000183_2026_43</t>
        </is>
      </c>
      <c r="B266" s="2" t="inlineStr">
        <is>
          <t>https://pncp.gov.br/app/editais/02218683000183/2026/43</t>
        </is>
      </c>
      <c r="C266" t="inlineStr">
        <is>
          <t>2026-09-27T03:53:14.842802+00:00</t>
        </is>
      </c>
      <c r="D266" t="inlineStr">
        <is>
          <t>GO</t>
        </is>
      </c>
      <c r="E266" t="inlineStr">
        <is>
          <t>GO</t>
        </is>
      </c>
      <c r="F266" t="inlineStr">
        <is>
          <t>Acreúna</t>
        </is>
      </c>
      <c r="G266" t="inlineStr">
        <is>
          <t>MUNICIPIO DE ACREUNA</t>
        </is>
      </c>
      <c r="H266" t="inlineStr">
        <is>
          <t>Municipal</t>
        </is>
      </c>
      <c r="I266" t="inlineStr">
        <is>
          <t>2026-03-02T16:07:38</t>
        </is>
      </c>
      <c r="J266" t="inlineStr">
        <is>
          <t>Pregão - Eletrônico</t>
        </is>
      </c>
      <c r="K266" t="inlineStr">
        <is>
          <t>Contratação de empresa especializada para a prestação de serviços de mão de obra técnica destinados à manutenção preventiva e corretiva de equipamentos médico-hospitalares, laboratoriais e de fisioterapia, incluindo reformas, desinstalações, instalações e realocações, com substituição de peças, componentes e acessórios.
Os serviços deverão contar com a utilização de software de gestão específico para sistemas médico-hospitalares, com suporte de Engenharia Clínica, abrangendo a emissão de laudos técnicos, execução de treinamentos, calibrações, qualificações, simulações, testes de segurança elétrica, além de demais procedimentos necessários ao adequado funcionamento dos equipamentos.</t>
        </is>
      </c>
      <c r="L266" t="b">
        <v>0</v>
      </c>
      <c r="M266" t="inlineStr">
        <is>
          <t>eletrica_predial</t>
        </is>
      </c>
      <c r="N266" t="inlineStr">
        <is>
          <t>eletrica_predial</t>
        </is>
      </c>
      <c r="O266" t="n">
        <v>607959.96</v>
      </c>
      <c r="P266" t="n">
        <v>335000</v>
      </c>
      <c r="Q266" t="n">
        <v>607959.96</v>
      </c>
      <c r="R266" t="n">
        <v>0.4489768701215126</v>
      </c>
      <c r="S266" t="n">
        <v>0</v>
      </c>
      <c r="T266" t="n">
        <v>1</v>
      </c>
      <c r="U266" t="n">
        <v>1</v>
      </c>
      <c r="V266" t="n">
        <v>1</v>
      </c>
      <c r="W266" t="n">
        <v>0</v>
      </c>
      <c r="X266" t="n">
        <v>0</v>
      </c>
      <c r="Y266" t="n">
        <v>0</v>
      </c>
      <c r="Z266" t="n">
        <v>0</v>
      </c>
      <c r="AA266" t="n">
        <v>0</v>
      </c>
      <c r="AB266" t="n">
        <v>0</v>
      </c>
      <c r="AC266" t="n">
        <v>0</v>
      </c>
      <c r="AD266" t="n">
        <v>0</v>
      </c>
      <c r="AE266" t="n">
        <v>1</v>
      </c>
      <c r="AF266" t="inlineStr">
        <is>
          <t>SANTERMED ENGENHARIA LTDA:ME</t>
        </is>
      </c>
      <c r="AH266" t="inlineStr">
        <is>
          <t>indefinido</t>
        </is>
      </c>
      <c r="AJ266" t="n">
        <v>0</v>
      </c>
      <c r="AK266" t="n">
        <v>0</v>
      </c>
      <c r="AL266" t="n">
        <v>0</v>
      </c>
      <c r="AM266" t="n">
        <v>0</v>
      </c>
      <c r="AN266" t="n">
        <v>0</v>
      </c>
      <c r="AQ266" t="n">
        <v>0</v>
      </c>
      <c r="AR266" t="inlineStr">
        <is>
          <t>fora_de_escopo</t>
        </is>
      </c>
      <c r="AS266" t="inlineStr">
        <is>
          <t>Prestacao de servicos de mao de obra tecnica para manutencao de equipamentos medico-hospitalares/laboratoriais com engenharia clinica -- nao e eletrica predial.</t>
        </is>
      </c>
      <c r="AT266" t="n">
        <v>0</v>
      </c>
      <c r="AU266" t="n">
        <v>0</v>
      </c>
    </row>
    <row r="267">
      <c r="A267" t="inlineStr">
        <is>
          <t>02218683000183_2026_51</t>
        </is>
      </c>
      <c r="B267" s="2" t="inlineStr">
        <is>
          <t>https://pncp.gov.br/app/editais/02218683000183/2026/51</t>
        </is>
      </c>
      <c r="C267" t="inlineStr">
        <is>
          <t>2026-09-27T03:53:10.859561+00:00</t>
        </is>
      </c>
      <c r="D267" t="inlineStr">
        <is>
          <t>GO</t>
        </is>
      </c>
      <c r="E267" t="inlineStr">
        <is>
          <t>GO</t>
        </is>
      </c>
      <c r="F267" t="inlineStr">
        <is>
          <t>Acreúna</t>
        </is>
      </c>
      <c r="G267" t="inlineStr">
        <is>
          <t>MUNICIPIO DE ACREUNA</t>
        </is>
      </c>
      <c r="H267" t="inlineStr">
        <is>
          <t>Municipal</t>
        </is>
      </c>
      <c r="I267" t="inlineStr">
        <is>
          <t>2026-03-03T16:39:30</t>
        </is>
      </c>
      <c r="J267" t="inlineStr">
        <is>
          <t>Pregão - Eletrônico</t>
        </is>
      </c>
      <c r="K267" t="inlineStr">
        <is>
          <t>REGISTRO DE PREÇOS PARA FUTURA E EVENTUAL CONTRATAÇÃO DE EMPRESA ESPECIALIZADA NO FORNECIMENTO DE MATERIAL PARA MANUTENÇÃO DE BENS IMÓVEIS E MATERIAL ELÉTRICO E ELETRÔNICO PARA REPAROS NAS DEPENDÊNCIAS DAS UNIDADES DO FUNDO MUNICIPAL DE SAÚDE. A AQUISIÇÃO SE DARÁ EM CONFORMIDADE COM OS TERMOS DA LEI 14.133/2021.</t>
        </is>
      </c>
      <c r="L267" t="b">
        <v>1</v>
      </c>
      <c r="M267" t="inlineStr">
        <is>
          <t>eletrica_predial</t>
        </is>
      </c>
      <c r="N267" t="inlineStr">
        <is>
          <t>eletrica_predial</t>
        </is>
      </c>
      <c r="O267" t="n">
        <v>291662.7</v>
      </c>
      <c r="P267" t="n">
        <v>49482</v>
      </c>
      <c r="Q267" t="n">
        <v>56415.59999999999</v>
      </c>
      <c r="R267" t="n">
        <v>0.1229021759938741</v>
      </c>
      <c r="S267" t="n">
        <v>0</v>
      </c>
      <c r="T267" t="n">
        <v>104</v>
      </c>
      <c r="U267" t="n">
        <v>40</v>
      </c>
      <c r="V267" t="n">
        <v>104</v>
      </c>
      <c r="W267" t="n">
        <v>0</v>
      </c>
      <c r="X267" t="n">
        <v>0</v>
      </c>
      <c r="Y267" t="n">
        <v>0</v>
      </c>
      <c r="Z267" t="n">
        <v>0</v>
      </c>
      <c r="AA267" t="n">
        <v>0</v>
      </c>
      <c r="AB267" t="n">
        <v>0</v>
      </c>
      <c r="AC267" t="n">
        <v>0</v>
      </c>
      <c r="AD267" t="n">
        <v>0</v>
      </c>
      <c r="AE267" t="n">
        <v>2</v>
      </c>
      <c r="AF267" t="inlineStr">
        <is>
          <t>BRASIL ILUMINACAO E CONSTRUCAO EIRELI:ME; ARMAZEM TOCANTINS DISTRIBUIDORA E SERVICOS LTDA:ME</t>
        </is>
      </c>
      <c r="AH267" t="inlineStr">
        <is>
          <t>pontual</t>
        </is>
      </c>
      <c r="AJ267" t="n">
        <v>0</v>
      </c>
      <c r="AK267" t="n">
        <v>0</v>
      </c>
      <c r="AL267" t="n">
        <v>0</v>
      </c>
      <c r="AM267" t="n">
        <v>0</v>
      </c>
      <c r="AN267" t="n">
        <v>0</v>
      </c>
      <c r="AQ267" t="n">
        <v>1</v>
      </c>
      <c r="AR267" t="inlineStr">
        <is>
          <t>fornecimento_puro</t>
        </is>
      </c>
      <c r="AS267" t="inlineStr">
        <is>
          <t>Confirmada exclusao automatica (fornecimento_puro): 104 item(ns), todos classificados como material (sem servico).</t>
        </is>
      </c>
      <c r="AT267" t="n">
        <v>1</v>
      </c>
      <c r="AU267" t="n">
        <v>0</v>
      </c>
    </row>
    <row r="268">
      <c r="A268" t="inlineStr">
        <is>
          <t>02218683000183_2026_52</t>
        </is>
      </c>
      <c r="B268" s="2" t="inlineStr">
        <is>
          <t>https://pncp.gov.br/app/editais/02218683000183/2026/52</t>
        </is>
      </c>
      <c r="C268" t="inlineStr">
        <is>
          <t>2026-09-27T03:52:27.758577+00:00</t>
        </is>
      </c>
      <c r="D268" t="inlineStr">
        <is>
          <t>GO</t>
        </is>
      </c>
      <c r="E268" t="inlineStr">
        <is>
          <t>GO</t>
        </is>
      </c>
      <c r="F268" t="inlineStr">
        <is>
          <t>Acreúna</t>
        </is>
      </c>
      <c r="G268" t="inlineStr">
        <is>
          <t>MUNICIPIO DE ACREUNA</t>
        </is>
      </c>
      <c r="H268" t="inlineStr">
        <is>
          <t>Municipal</t>
        </is>
      </c>
      <c r="I268" t="inlineStr">
        <is>
          <t>2026-03-03T17:17:40</t>
        </is>
      </c>
      <c r="J268" t="inlineStr">
        <is>
          <t>Pregão - Eletrônico</t>
        </is>
      </c>
      <c r="K268" t="inlineStr">
        <is>
          <t>REGISTRO DE PREÇOS para futura e eventual CONTRATAÇÃO DE EMPRESA ESPECIALIZADA NO FORNECIMENTO DE MATERIAL PARA MANUTENÇÃO DE BENS IMÓVEIS E MATERIAL ELÉTRICO E ELETRÔNICO para reparos nas dependências das unidades do FUNDO MUNICIPAL DE SAÚDE. A aquisição se dará em conformidade com os termos da Lei 14.133/2021.</t>
        </is>
      </c>
      <c r="L268" t="b">
        <v>1</v>
      </c>
      <c r="M268" t="inlineStr">
        <is>
          <t>eletrica_predial</t>
        </is>
      </c>
      <c r="N268" t="inlineStr">
        <is>
          <t>eletrica_predial</t>
        </is>
      </c>
      <c r="O268" t="n">
        <v>291662.7</v>
      </c>
      <c r="P268" t="n">
        <v>49482</v>
      </c>
      <c r="Q268" t="n">
        <v>56415.59999999999</v>
      </c>
      <c r="R268" t="n">
        <v>0.1229021759938741</v>
      </c>
      <c r="S268" t="n">
        <v>0</v>
      </c>
      <c r="T268" t="n">
        <v>104</v>
      </c>
      <c r="U268" t="n">
        <v>40</v>
      </c>
      <c r="V268" t="n">
        <v>104</v>
      </c>
      <c r="W268" t="n">
        <v>0</v>
      </c>
      <c r="X268" t="n">
        <v>0</v>
      </c>
      <c r="Y268" t="n">
        <v>0</v>
      </c>
      <c r="Z268" t="n">
        <v>0</v>
      </c>
      <c r="AA268" t="n">
        <v>0</v>
      </c>
      <c r="AB268" t="n">
        <v>0</v>
      </c>
      <c r="AC268" t="n">
        <v>0</v>
      </c>
      <c r="AD268" t="n">
        <v>0</v>
      </c>
      <c r="AE268" t="n">
        <v>2</v>
      </c>
      <c r="AF268" t="inlineStr">
        <is>
          <t>BRASIL ILUMINACAO E CONSTRUCAO LTDA:EPP; ARMAZEM TOCANTINS DISTRIBUIDORA E SERVICOS LTDA:Demais</t>
        </is>
      </c>
      <c r="AH268" t="inlineStr">
        <is>
          <t>pontual</t>
        </is>
      </c>
      <c r="AJ268" t="n">
        <v>0</v>
      </c>
      <c r="AK268" t="n">
        <v>0</v>
      </c>
      <c r="AL268" t="n">
        <v>0</v>
      </c>
      <c r="AM268" t="n">
        <v>0</v>
      </c>
      <c r="AN268" t="n">
        <v>0</v>
      </c>
      <c r="AQ268" t="n">
        <v>1</v>
      </c>
      <c r="AR268" t="inlineStr">
        <is>
          <t>fornecimento_puro</t>
        </is>
      </c>
      <c r="AS268" t="inlineStr">
        <is>
          <t>Confirmada exclusao automatica (fornecimento_puro): 104 item(ns), todos classificados como material (sem servico).</t>
        </is>
      </c>
      <c r="AT268" t="n">
        <v>1</v>
      </c>
      <c r="AU268" t="n">
        <v>0</v>
      </c>
    </row>
    <row r="269">
      <c r="A269" t="inlineStr">
        <is>
          <t>02262368000153_2025_142</t>
        </is>
      </c>
      <c r="B269" s="2" t="inlineStr">
        <is>
          <t>https://pncp.gov.br/app/editais/02262368000153/2025/142</t>
        </is>
      </c>
      <c r="C269" t="inlineStr">
        <is>
          <t>2026-09-27T02:42:01.160517+00:00</t>
        </is>
      </c>
      <c r="D269" t="inlineStr">
        <is>
          <t>GO</t>
        </is>
      </c>
      <c r="E269" t="inlineStr">
        <is>
          <t>GO</t>
        </is>
      </c>
      <c r="F269" t="inlineStr">
        <is>
          <t>Anicuns</t>
        </is>
      </c>
      <c r="G269" t="inlineStr">
        <is>
          <t>MUNICIPIO DE ANICUNS</t>
        </is>
      </c>
      <c r="H269" t="inlineStr">
        <is>
          <t>Municipal</t>
        </is>
      </c>
      <c r="I269" t="inlineStr">
        <is>
          <t>2025-12-15T08:52:00</t>
        </is>
      </c>
      <c r="J269" t="inlineStr">
        <is>
          <t>Pregão - Eletrônico</t>
        </is>
      </c>
      <c r="K269" t="inlineStr">
        <is>
          <t>SOLICITAÇÃO PARA EVENTUAL FUTURA E PARCELADA AQUISIÇÃO DE AR CONDICIONADO, CORTINA DE AR, ABAFADOR DE FOGO, DENTRE OUTROS ITENS.</t>
        </is>
      </c>
      <c r="L269" t="b">
        <v>1</v>
      </c>
      <c r="M269" t="inlineStr">
        <is>
          <t>climatizacao</t>
        </is>
      </c>
      <c r="N269" t="inlineStr">
        <is>
          <t>climatizacao</t>
        </is>
      </c>
      <c r="O269" t="n">
        <v>1913734.39</v>
      </c>
      <c r="P269" t="n">
        <v>1428257.49</v>
      </c>
      <c r="Q269" t="n">
        <v>1913734.3897</v>
      </c>
      <c r="R269" t="n">
        <v>0.2536803969834623</v>
      </c>
      <c r="S269" t="n">
        <v>0</v>
      </c>
      <c r="T269" t="n">
        <v>15</v>
      </c>
      <c r="U269" t="n">
        <v>15</v>
      </c>
      <c r="V269" t="n">
        <v>15</v>
      </c>
      <c r="W269" t="n">
        <v>0</v>
      </c>
      <c r="X269" t="n">
        <v>0</v>
      </c>
      <c r="Y269" t="n">
        <v>0</v>
      </c>
      <c r="Z269" t="n">
        <v>0</v>
      </c>
      <c r="AA269" t="n">
        <v>0</v>
      </c>
      <c r="AB269" t="n">
        <v>0</v>
      </c>
      <c r="AC269" t="n">
        <v>0</v>
      </c>
      <c r="AD269" t="n">
        <v>0</v>
      </c>
      <c r="AE269" t="n">
        <v>8</v>
      </c>
      <c r="AF269" t="inlineStr">
        <is>
          <t>DENTECK AR CONDICIONADO LTDA:Demais; FRIOVIX COMÉRCIO DE REFRIGERAÇÃO LTDA.:Demais; CLIMA BRASIL REFRIGERACAO E AR CONDICIONADO LTDA:ME; ANDREATI &amp; ZARAMELLO:Demais; JOSEMILIA COMERCIO DE MOVEIS E ELETRODOMESTICOS LTDA:ME; LS REFRIGERAÇÃO EIRELI:Demais; TYE VARIEDADES LTDA:ME; COMERCIAL D &amp; V LTDA:ME</t>
        </is>
      </c>
      <c r="AH269" t="inlineStr">
        <is>
          <t>pontual</t>
        </is>
      </c>
      <c r="AJ269" t="n">
        <v>0</v>
      </c>
      <c r="AK269" t="n">
        <v>0</v>
      </c>
      <c r="AL269" t="n">
        <v>0</v>
      </c>
      <c r="AM269" t="n">
        <v>0</v>
      </c>
      <c r="AN269" t="n">
        <v>0</v>
      </c>
      <c r="AQ269" t="n">
        <v>1</v>
      </c>
      <c r="AR269" t="inlineStr">
        <is>
          <t>fornecimento_puro</t>
        </is>
      </c>
      <c r="AS269" t="inlineStr">
        <is>
          <t>heuristica automatica confirmada (fornecimento_puro): 15 item(ns), todos classificados como material (sem servico).</t>
        </is>
      </c>
      <c r="AT269" t="n">
        <v>0</v>
      </c>
      <c r="AU269" t="n">
        <v>0</v>
      </c>
    </row>
    <row r="270">
      <c r="A270" t="inlineStr">
        <is>
          <t>02262368000153_2025_79</t>
        </is>
      </c>
      <c r="B270" s="2" t="inlineStr">
        <is>
          <t>https://pncp.gov.br/app/editais/02262368000153/2025/79</t>
        </is>
      </c>
      <c r="C270" t="inlineStr">
        <is>
          <t>2026-09-27T02:51:19.548953+00:00</t>
        </is>
      </c>
      <c r="D270" t="inlineStr">
        <is>
          <t>GO</t>
        </is>
      </c>
      <c r="E270" t="inlineStr">
        <is>
          <t>GO</t>
        </is>
      </c>
      <c r="F270" t="inlineStr">
        <is>
          <t>Anicuns</t>
        </is>
      </c>
      <c r="G270" t="inlineStr">
        <is>
          <t>MUNICIPIO DE ANICUNS</t>
        </is>
      </c>
      <c r="H270" t="inlineStr">
        <is>
          <t>Municipal</t>
        </is>
      </c>
      <c r="I270" t="inlineStr">
        <is>
          <t>2025-09-04T09:08:15</t>
        </is>
      </c>
      <c r="J270" t="inlineStr">
        <is>
          <t>Pregão - Eletrônico</t>
        </is>
      </c>
      <c r="K270" t="inlineStr">
        <is>
          <t>SOLICITAÇÃO PARA CONTRATAÇÃO DE EMPRESA ESPECIALIZADA EM MANUTENÇÃO PREVENTIVA E CORRETIVA DE AR CONDICIONADO.</t>
        </is>
      </c>
      <c r="L270" t="b">
        <v>1</v>
      </c>
      <c r="M270" t="inlineStr">
        <is>
          <t>climatizacao</t>
        </is>
      </c>
      <c r="N270" t="inlineStr">
        <is>
          <t>climatizacao</t>
        </is>
      </c>
      <c r="O270" t="n">
        <v>1118844.94</v>
      </c>
      <c r="P270" t="n">
        <v>547277.35</v>
      </c>
      <c r="Q270" t="n">
        <v>974109.8790000001</v>
      </c>
      <c r="R270" t="n">
        <v>0.4381769841387678</v>
      </c>
      <c r="S270" t="n">
        <v>0</v>
      </c>
      <c r="T270" t="n">
        <v>49</v>
      </c>
      <c r="U270" t="n">
        <v>40</v>
      </c>
      <c r="V270" t="n">
        <v>49</v>
      </c>
      <c r="W270" t="n">
        <v>0</v>
      </c>
      <c r="X270" t="n">
        <v>0</v>
      </c>
      <c r="Y270" t="n">
        <v>0</v>
      </c>
      <c r="Z270" t="n">
        <v>0</v>
      </c>
      <c r="AA270" t="n">
        <v>0</v>
      </c>
      <c r="AB270" t="n">
        <v>0</v>
      </c>
      <c r="AC270" t="n">
        <v>0</v>
      </c>
      <c r="AD270" t="n">
        <v>0</v>
      </c>
      <c r="AE270" t="n">
        <v>1</v>
      </c>
      <c r="AF270" t="inlineStr">
        <is>
          <t>MATEUS ALVES COSTA 70476140102:ME</t>
        </is>
      </c>
      <c r="AH270" t="inlineStr">
        <is>
          <t>indefinido</t>
        </is>
      </c>
      <c r="AJ270" t="n">
        <v>0</v>
      </c>
      <c r="AK270" t="n">
        <v>0</v>
      </c>
      <c r="AL270" t="n">
        <v>0</v>
      </c>
      <c r="AM270" t="n">
        <v>0</v>
      </c>
      <c r="AN270" t="n">
        <v>0</v>
      </c>
      <c r="AQ270" t="n">
        <v>0</v>
      </c>
      <c r="AS270" t="inlineStr">
        <is>
          <t>heuristica automatica confirmada: servico real de climatizacao, sem sinais de exclusao.</t>
        </is>
      </c>
      <c r="AT270" t="n">
        <v>0</v>
      </c>
      <c r="AU270" t="n">
        <v>1</v>
      </c>
    </row>
    <row r="271">
      <c r="A271" t="inlineStr">
        <is>
          <t>02267698000131_2026_25</t>
        </is>
      </c>
      <c r="B271" s="2" t="inlineStr">
        <is>
          <t>https://pncp.gov.br/app/editais/02267698000131/2026/25</t>
        </is>
      </c>
      <c r="C271" t="inlineStr">
        <is>
          <t>2026-09-27T03:37:59.551319+00:00</t>
        </is>
      </c>
      <c r="D271" t="inlineStr">
        <is>
          <t>GO</t>
        </is>
      </c>
      <c r="E271" t="inlineStr">
        <is>
          <t>GO</t>
        </is>
      </c>
      <c r="F271" t="inlineStr">
        <is>
          <t>Mossâmedes</t>
        </is>
      </c>
      <c r="G271" t="inlineStr">
        <is>
          <t>MUNICIPIO DE MOSSAMEDES</t>
        </is>
      </c>
      <c r="H271" t="inlineStr">
        <is>
          <t>Municipal</t>
        </is>
      </c>
      <c r="I271" t="inlineStr">
        <is>
          <t>2026-06-16T10:26:54</t>
        </is>
      </c>
      <c r="J271" t="inlineStr">
        <is>
          <t>Pregão - Eletrônico</t>
        </is>
      </c>
      <c r="K271" t="inlineStr">
        <is>
          <t>Registro de preços para contratação de empresa especializada no fornecimento de materiais elétricos e materiais natalinos para atender as demandas do município de Mossâmedes, conforme especificações constantes nas planilhas e Termo de Referência – Anexo I, do Edital.</t>
        </is>
      </c>
      <c r="L271" t="b">
        <v>1</v>
      </c>
      <c r="M271" t="inlineStr">
        <is>
          <t>eletrica_predial</t>
        </is>
      </c>
      <c r="N271" t="inlineStr">
        <is>
          <t>eletrica_predial</t>
        </is>
      </c>
      <c r="O271" t="n">
        <v>5249315.18</v>
      </c>
      <c r="P271" t="n">
        <v>353250.8</v>
      </c>
      <c r="Q271" t="n">
        <v>1043228.7</v>
      </c>
      <c r="R271" t="n">
        <v>0.6613869998016735</v>
      </c>
      <c r="S271" t="n">
        <v>0</v>
      </c>
      <c r="T271" t="n">
        <v>113</v>
      </c>
      <c r="U271" t="n">
        <v>40</v>
      </c>
      <c r="V271" t="n">
        <v>112</v>
      </c>
      <c r="W271" t="n">
        <v>0</v>
      </c>
      <c r="X271" t="n">
        <v>0</v>
      </c>
      <c r="Y271" t="n">
        <v>1</v>
      </c>
      <c r="Z271" t="n">
        <v>0</v>
      </c>
      <c r="AA271" t="n">
        <v>0</v>
      </c>
      <c r="AB271" t="n">
        <v>0</v>
      </c>
      <c r="AC271" t="n">
        <v>0</v>
      </c>
      <c r="AD271" t="n">
        <v>0</v>
      </c>
      <c r="AE271" t="n">
        <v>6</v>
      </c>
      <c r="AF271" t="inlineStr">
        <is>
          <t>CANTONALE SERVIÇOS E COMERCIO EIRELI:ME; ILUMINA GOIAS ILUMINAÇÃO LTDA:Demais; FORT COMERCIO, SERVIÇOS E LOCAÇÕES EIRELI:ME; LED E COMPANY LTDA:Demais; TRIUNFO ILUMINAÇÃO LTDA:ME; CONSTRUVITA COMERCIO E SERVICOS LTDA:ME</t>
        </is>
      </c>
      <c r="AH271" t="inlineStr">
        <is>
          <t>pontual</t>
        </is>
      </c>
      <c r="AJ271" t="n">
        <v>0</v>
      </c>
      <c r="AK271" t="n">
        <v>0</v>
      </c>
      <c r="AL271" t="n">
        <v>0</v>
      </c>
      <c r="AM271" t="n">
        <v>0</v>
      </c>
      <c r="AN271" t="n">
        <v>0</v>
      </c>
      <c r="AQ271" t="n">
        <v>1</v>
      </c>
      <c r="AR271" t="inlineStr">
        <is>
          <t>fornecimento_puro</t>
        </is>
      </c>
      <c r="AS271" t="inlineStr">
        <is>
          <t>Confirmada exclusao automatica (fornecimento_puro): 113 item(ns), todos classificados como material (sem servico).</t>
        </is>
      </c>
      <c r="AT271" t="n">
        <v>0</v>
      </c>
      <c r="AU271" t="n">
        <v>0</v>
      </c>
    </row>
    <row r="272">
      <c r="A272" t="inlineStr">
        <is>
          <t>02291730000114_2025_123</t>
        </is>
      </c>
      <c r="B272" s="2" t="inlineStr">
        <is>
          <t>https://pncp.gov.br/app/editais/02291730000114/2025/123</t>
        </is>
      </c>
      <c r="C272" t="inlineStr">
        <is>
          <t>2026-09-27T04:45:55.553375+00:00</t>
        </is>
      </c>
      <c r="D272" t="inlineStr">
        <is>
          <t>GO</t>
        </is>
      </c>
      <c r="E272" t="inlineStr">
        <is>
          <t>GO</t>
        </is>
      </c>
      <c r="F272" t="inlineStr">
        <is>
          <t>Goiânia</t>
        </is>
      </c>
      <c r="G272" t="inlineStr">
        <is>
          <t>GOIAS TRIBUNAL DE CONTAS</t>
        </is>
      </c>
      <c r="H272" t="inlineStr">
        <is>
          <t>Estadual</t>
        </is>
      </c>
      <c r="I272" t="inlineStr">
        <is>
          <t>2025-10-29T07:24:48</t>
        </is>
      </c>
      <c r="J272" t="inlineStr">
        <is>
          <t>Pregão - Eletrônico</t>
        </is>
      </c>
      <c r="K272" t="inlineStr">
        <is>
          <t>Prestação de serviço de locação de decoração e iluminação de natal, com fornecimento de todo o material necessários, transporte, instalação, montagem, desmontagem e manutenção durante todo o período natalino, na sede administrativa do Tribunal de Contas do Estado de Goiás.</t>
        </is>
      </c>
      <c r="L272" t="b">
        <v>0</v>
      </c>
      <c r="M272" t="inlineStr">
        <is>
          <t>iluminacao_publica</t>
        </is>
      </c>
      <c r="N272" t="inlineStr">
        <is>
          <t>iluminacao_publica</t>
        </is>
      </c>
      <c r="O272" t="n">
        <v>149900</v>
      </c>
      <c r="P272" t="n">
        <v>125400</v>
      </c>
      <c r="Q272" t="n">
        <v>149900</v>
      </c>
      <c r="R272" t="n">
        <v>0.1634422948632421</v>
      </c>
      <c r="S272" t="n">
        <v>0</v>
      </c>
      <c r="T272" t="n">
        <v>1</v>
      </c>
      <c r="U272" t="n">
        <v>1</v>
      </c>
      <c r="V272" t="n">
        <v>1</v>
      </c>
      <c r="W272" t="n">
        <v>0</v>
      </c>
      <c r="X272" t="n">
        <v>0</v>
      </c>
      <c r="Y272" t="n">
        <v>0</v>
      </c>
      <c r="Z272" t="n">
        <v>0</v>
      </c>
      <c r="AA272" t="n">
        <v>0</v>
      </c>
      <c r="AB272" t="n">
        <v>0</v>
      </c>
      <c r="AC272" t="n">
        <v>0</v>
      </c>
      <c r="AD272" t="n">
        <v>0</v>
      </c>
      <c r="AE272" t="n">
        <v>1</v>
      </c>
      <c r="AF272" t="inlineStr">
        <is>
          <t>COMERCIAL EMPORIUM 12 LTDA:ME</t>
        </is>
      </c>
      <c r="AH272" t="inlineStr">
        <is>
          <t>pontual</t>
        </is>
      </c>
      <c r="AJ272" t="n">
        <v>0</v>
      </c>
      <c r="AK272" t="n">
        <v>0</v>
      </c>
      <c r="AL272" t="n">
        <v>0</v>
      </c>
      <c r="AM272" t="n">
        <v>0</v>
      </c>
      <c r="AN272" t="n">
        <v>0</v>
      </c>
      <c r="AQ272" t="n">
        <v>0</v>
      </c>
      <c r="AR272" t="inlineStr">
        <is>
          <t>mencao_passagem</t>
        </is>
      </c>
      <c r="AS272" t="inlineStr">
        <is>
          <t>Decoração e iluminação de Natal temporária no TCE-GO; não é manutenção de IP de vias públicas.</t>
        </is>
      </c>
      <c r="AT272" t="n">
        <v>0</v>
      </c>
      <c r="AU272" t="n">
        <v>0</v>
      </c>
    </row>
    <row r="273">
      <c r="A273" t="inlineStr">
        <is>
          <t>02291730000114_2025_70</t>
        </is>
      </c>
      <c r="B273" s="2" t="inlineStr">
        <is>
          <t>https://pncp.gov.br/app/editais/02291730000114/2025/70</t>
        </is>
      </c>
      <c r="C273" t="inlineStr">
        <is>
          <t>2026-09-27T04:20:05.580879+00:00</t>
        </is>
      </c>
      <c r="D273" t="inlineStr">
        <is>
          <t>GO</t>
        </is>
      </c>
      <c r="E273" t="inlineStr">
        <is>
          <t>GO</t>
        </is>
      </c>
      <c r="F273" t="inlineStr">
        <is>
          <t>Goiânia</t>
        </is>
      </c>
      <c r="G273" t="inlineStr">
        <is>
          <t>GOIAS TRIBUNAL DE CONTAS</t>
        </is>
      </c>
      <c r="H273" t="inlineStr">
        <is>
          <t>Estadual</t>
        </is>
      </c>
      <c r="I273" t="inlineStr">
        <is>
          <t>2025-06-10T07:44:48</t>
        </is>
      </c>
      <c r="J273" t="inlineStr">
        <is>
          <t>Pregão - Eletrônico</t>
        </is>
      </c>
      <c r="K273" t="inlineStr">
        <is>
          <t>Contratação de empresa especializada no fornecimento de 198 (cento e noventa e oito) tipos de componentes distintos correlatos à construção civil, elétricos, acústica, hidro-sanitários, eletrônica, cabeamento estruturado, comunicação visual, EPIs, pisos, irrigação, manutenção geral, vidraçaria, refrigeração e ferramentas para manutenções preventiva e/ou corretiva, assim como para a ampliação de diversas instalações complementares da sede administrativa do TCE-GO.</t>
        </is>
      </c>
      <c r="L273" t="b">
        <v>0</v>
      </c>
      <c r="M273" t="inlineStr">
        <is>
          <t>refrigeracao</t>
        </is>
      </c>
      <c r="N273" t="inlineStr">
        <is>
          <t>refrigeracao</t>
        </is>
      </c>
      <c r="O273" t="n">
        <v>755065.1800000001</v>
      </c>
      <c r="P273" t="n">
        <v>623621.0599999999</v>
      </c>
      <c r="Q273" t="n">
        <v>755065.1799999999</v>
      </c>
      <c r="R273" t="n">
        <v>0.1740831433916739</v>
      </c>
      <c r="S273" t="n">
        <v>0</v>
      </c>
      <c r="T273" t="n">
        <v>17</v>
      </c>
      <c r="U273" t="n">
        <v>16</v>
      </c>
      <c r="V273" t="n">
        <v>16</v>
      </c>
      <c r="W273" t="n">
        <v>0</v>
      </c>
      <c r="X273" t="n">
        <v>0</v>
      </c>
      <c r="Y273" t="n">
        <v>1</v>
      </c>
      <c r="Z273" t="n">
        <v>0</v>
      </c>
      <c r="AA273" t="n">
        <v>1</v>
      </c>
      <c r="AB273" t="n">
        <v>0</v>
      </c>
      <c r="AC273" t="n">
        <v>0</v>
      </c>
      <c r="AD273" t="n">
        <v>0</v>
      </c>
      <c r="AE273" t="n">
        <v>7</v>
      </c>
      <c r="AF273" t="inlineStr">
        <is>
          <t>INTEGRA TECH SOLUCOES LTDA:ME; APAR CONSTRUCOES E PROJETOS LTDA:ME; PROEX SP COMERCIO DE MATERIAIS ELETRICOS LTDA:ME; LICITASIN LTDA:ME; COPEL COMERCIAL DE PECAS LTDA:ME; LICITACORP COMERCIO E SERVICO LTDA:ME; INOVVA BRASIL COMERCIO E SERVICOS LTDA:ME</t>
        </is>
      </c>
      <c r="AH273" t="inlineStr">
        <is>
          <t>pontual</t>
        </is>
      </c>
      <c r="AJ273" t="n">
        <v>0</v>
      </c>
      <c r="AK273" t="n">
        <v>0</v>
      </c>
      <c r="AL273" t="n">
        <v>0</v>
      </c>
      <c r="AM273" t="n">
        <v>0</v>
      </c>
      <c r="AN273" t="n">
        <v>0</v>
      </c>
      <c r="AQ273" t="n">
        <v>1</v>
      </c>
      <c r="AR273" t="inlineStr">
        <is>
          <t>fornecimento_puro</t>
        </is>
      </c>
      <c r="AS273" t="inlineStr">
        <is>
          <t>Itens sao materiais de construcao civil e EPI (placa de espuma, abracadeira, cabo eletrico, bota de seguranca) -- fornecimento generico de materiais, sem relacao direta com servico de refrigeracao.</t>
        </is>
      </c>
      <c r="AT273" t="n">
        <v>1</v>
      </c>
      <c r="AU273" t="n">
        <v>0</v>
      </c>
    </row>
    <row r="274">
      <c r="A274" t="inlineStr">
        <is>
          <t>02295772000123_2026_133</t>
        </is>
      </c>
      <c r="B274" s="2" t="inlineStr">
        <is>
          <t>https://pncp.gov.br/app/editais/02295772000123/2026/133</t>
        </is>
      </c>
      <c r="C274" t="inlineStr">
        <is>
          <t>2026-09-27T04:39:28.557608+00:00</t>
        </is>
      </c>
      <c r="D274" t="inlineStr">
        <is>
          <t>GO</t>
        </is>
      </c>
      <c r="E274" t="inlineStr">
        <is>
          <t>GO</t>
        </is>
      </c>
      <c r="F274" t="inlineStr">
        <is>
          <t>Goiás</t>
        </is>
      </c>
      <c r="G274" t="inlineStr">
        <is>
          <t>MUNICIPIO DE GOIAS</t>
        </is>
      </c>
      <c r="H274" t="inlineStr">
        <is>
          <t>Municipal</t>
        </is>
      </c>
      <c r="I274" t="inlineStr">
        <is>
          <t>2026-02-25T14:25:26</t>
        </is>
      </c>
      <c r="J274" t="inlineStr">
        <is>
          <t>Pregão - Eletrônico</t>
        </is>
      </c>
      <c r="K274" t="inlineStr">
        <is>
          <t>CONTRATAÇÃO DE EMPRESA PARA AQUISIÇÃO DE LUMINÁRIAS DE LED, DESTINADAS À MODERNIZAÇÃO, AMPLIAÇÃO E MELHORIA DO SISTEMA DE ILUMINAÇÃO PÚBLICA DESTE MUNICÍPIO DE GOIÁS.</t>
        </is>
      </c>
      <c r="L274" t="b">
        <v>1</v>
      </c>
      <c r="M274" t="inlineStr">
        <is>
          <t>iluminacao_publica</t>
        </is>
      </c>
      <c r="N274" t="inlineStr">
        <is>
          <t>iluminacao_publica</t>
        </is>
      </c>
      <c r="O274" t="n">
        <v>1066227.64</v>
      </c>
      <c r="P274" t="n">
        <v>447227</v>
      </c>
      <c r="Q274" t="n">
        <v>1066227.64</v>
      </c>
      <c r="R274" t="n">
        <v>0.5805520479660422</v>
      </c>
      <c r="S274" t="n">
        <v>0</v>
      </c>
      <c r="T274" t="n">
        <v>4</v>
      </c>
      <c r="U274" t="n">
        <v>4</v>
      </c>
      <c r="V274" t="n">
        <v>4</v>
      </c>
      <c r="W274" t="n">
        <v>0</v>
      </c>
      <c r="X274" t="n">
        <v>0</v>
      </c>
      <c r="Y274" t="n">
        <v>0</v>
      </c>
      <c r="Z274" t="n">
        <v>0</v>
      </c>
      <c r="AA274" t="n">
        <v>0</v>
      </c>
      <c r="AB274" t="n">
        <v>0</v>
      </c>
      <c r="AC274" t="n">
        <v>0</v>
      </c>
      <c r="AD274" t="n">
        <v>0</v>
      </c>
      <c r="AE274" t="n">
        <v>2</v>
      </c>
      <c r="AF274" t="inlineStr">
        <is>
          <t>LUCIAN LOUREDO GOMES DE ARAUJO:ME; SATURNO COMERCIO DE MATERIAL ELETRICO E ELETRONICO LTDA:Demais</t>
        </is>
      </c>
      <c r="AH274" t="inlineStr">
        <is>
          <t>pontual</t>
        </is>
      </c>
      <c r="AJ274" t="n">
        <v>0</v>
      </c>
      <c r="AK274" t="n">
        <v>0</v>
      </c>
      <c r="AL274" t="n">
        <v>0</v>
      </c>
      <c r="AM274" t="n">
        <v>0</v>
      </c>
      <c r="AN274" t="n">
        <v>0</v>
      </c>
      <c r="AQ274" t="n">
        <v>1</v>
      </c>
      <c r="AR274" t="inlineStr">
        <is>
          <t>equipamento_alto</t>
        </is>
      </c>
      <c r="AS274" t="inlineStr">
        <is>
          <t>Aquisição de luminárias LED destinadas expressamente à modernização/ampliação/melhoria do sistema de IP; compra em massa para modernização, não manutenção corretiva.</t>
        </is>
      </c>
      <c r="AT274" t="n">
        <v>0</v>
      </c>
      <c r="AU274" t="n">
        <v>0</v>
      </c>
    </row>
    <row r="275">
      <c r="A275" t="inlineStr">
        <is>
          <t>02296325000199_2026_6</t>
        </is>
      </c>
      <c r="B275" s="2" t="inlineStr">
        <is>
          <t>https://pncp.gov.br/app/editais/02296325000199/2026/6</t>
        </is>
      </c>
      <c r="C275" t="inlineStr">
        <is>
          <t>2026-09-27T02:41:13.985149+00:00</t>
        </is>
      </c>
      <c r="D275" t="inlineStr">
        <is>
          <t>GO</t>
        </is>
      </c>
      <c r="E275" t="inlineStr">
        <is>
          <t>GO</t>
        </is>
      </c>
      <c r="F275" t="inlineStr">
        <is>
          <t>Britânia</t>
        </is>
      </c>
      <c r="G275" t="inlineStr">
        <is>
          <t>MUNICIPIO DE BRITANIA</t>
        </is>
      </c>
      <c r="H275" t="inlineStr">
        <is>
          <t>Municipal</t>
        </is>
      </c>
      <c r="I275" t="inlineStr">
        <is>
          <t>2026-01-19T10:40:56</t>
        </is>
      </c>
      <c r="J275" t="inlineStr">
        <is>
          <t>Pregão - Presencial</t>
        </is>
      </c>
      <c r="K275" t="inlineStr">
        <is>
          <t>REGISTRO DE PREÇOS, TIPO MENOR PREÇO POR ITEM, VISANDO A CONTRATAÇÃO DE EMPRESA ESPECIALIZADA NA PRESTAÇÃO DE SERVIÇO DE MANUTENÇÃO CORRETIVA E PREVENTIVA EM EQUIPAMENTOS DE AR-CONDICIONADO, CLIMATIZADORES INDUSTRIAIS E PORTÁTIOS, BEBEDOUROS INDUSTRIAIS E PURIFICADORES DE ÁGUA, VISANDO ATENDER AS DEMANDAS DE DIVERSOS ÓRGÃOS DA ADMINISTRAÇÃO PÚBLICA MUNICIPAL DE BRITÂNIA-GOIÁS.</t>
        </is>
      </c>
      <c r="L275" t="b">
        <v>1</v>
      </c>
      <c r="M275" t="inlineStr">
        <is>
          <t>climatizacao</t>
        </is>
      </c>
      <c r="N275" t="inlineStr">
        <is>
          <t>climatizacao</t>
        </is>
      </c>
      <c r="O275" t="n">
        <v>181144</v>
      </c>
      <c r="P275" t="n">
        <v>162989.57</v>
      </c>
      <c r="Q275" t="n">
        <v>181144</v>
      </c>
      <c r="R275" t="n">
        <v>0.100220984410193</v>
      </c>
      <c r="S275" t="n">
        <v>0</v>
      </c>
      <c r="T275" t="n">
        <v>19</v>
      </c>
      <c r="U275" t="n">
        <v>19</v>
      </c>
      <c r="V275" t="n">
        <v>19</v>
      </c>
      <c r="W275" t="n">
        <v>0</v>
      </c>
      <c r="X275" t="n">
        <v>0</v>
      </c>
      <c r="Y275" t="n">
        <v>0</v>
      </c>
      <c r="Z275" t="n">
        <v>0</v>
      </c>
      <c r="AA275" t="n">
        <v>0</v>
      </c>
      <c r="AB275" t="n">
        <v>0</v>
      </c>
      <c r="AC275" t="n">
        <v>0</v>
      </c>
      <c r="AD275" t="n">
        <v>0</v>
      </c>
      <c r="AE275" t="n">
        <v>3</v>
      </c>
      <c r="AF275" t="inlineStr">
        <is>
          <t>61.572.728 MATHEUS DE OLIVEIRA SOUSA:ME; ALESSANDRO JOSE DADALT 59027207100:ME; ESFRIMAX CLIMATIZACAO E REFRIGERACAO LTDA:ME</t>
        </is>
      </c>
      <c r="AH275" t="inlineStr">
        <is>
          <t>pontual</t>
        </is>
      </c>
      <c r="AI275" t="n">
        <v>12</v>
      </c>
      <c r="AJ275" t="n">
        <v>0</v>
      </c>
      <c r="AK275" t="n">
        <v>0</v>
      </c>
      <c r="AL275" t="n">
        <v>0</v>
      </c>
      <c r="AM275" t="n">
        <v>0</v>
      </c>
      <c r="AN275" t="n">
        <v>0</v>
      </c>
      <c r="AQ275" t="n">
        <v>0</v>
      </c>
      <c r="AS275" t="inlineStr">
        <is>
          <t>heuristica automatica confirmada: servico real de climatizacao, sem sinais de exclusao.</t>
        </is>
      </c>
      <c r="AT275" t="n">
        <v>0</v>
      </c>
      <c r="AU275" t="n">
        <v>1</v>
      </c>
    </row>
    <row r="276">
      <c r="A276" t="inlineStr">
        <is>
          <t>02316487000141_2025_44</t>
        </is>
      </c>
      <c r="B276" s="2" t="inlineStr">
        <is>
          <t>https://pncp.gov.br/app/editais/02316487000141/2025/44</t>
        </is>
      </c>
      <c r="C276" t="inlineStr">
        <is>
          <t>2026-09-27T04:50:06.096476+00:00</t>
        </is>
      </c>
      <c r="D276" t="inlineStr">
        <is>
          <t>GO</t>
        </is>
      </c>
      <c r="E276" t="inlineStr">
        <is>
          <t>GO</t>
        </is>
      </c>
      <c r="F276" t="inlineStr">
        <is>
          <t>Mineiros</t>
        </is>
      </c>
      <c r="G276" t="inlineStr">
        <is>
          <t>SERVICO AUTONOMO DE AGUA E ESGOTO</t>
        </is>
      </c>
      <c r="H276" t="inlineStr">
        <is>
          <t>Municipal</t>
        </is>
      </c>
      <c r="I276" t="inlineStr">
        <is>
          <t>2025-12-04T15:38:14</t>
        </is>
      </c>
      <c r="J276" t="inlineStr">
        <is>
          <t>Pregão - Eletrônico</t>
        </is>
      </c>
      <c r="K276" t="inlineStr">
        <is>
          <t>CONTRATAÇÃO DE SERVIÇOS DE CAMINHÃO MUNCK, CONFORME AS NECESSIDADES DO SERVIÇO AUTÔNOMO DE ÁGUA E ESGOTO ? SAAE.</t>
        </is>
      </c>
      <c r="L276" t="b">
        <v>0</v>
      </c>
      <c r="M276" t="inlineStr">
        <is>
          <t>munck</t>
        </is>
      </c>
      <c r="N276" t="inlineStr">
        <is>
          <t>munck</t>
        </is>
      </c>
      <c r="O276" t="n">
        <v>633100</v>
      </c>
      <c r="P276" t="n">
        <v>590000</v>
      </c>
      <c r="Q276" t="n">
        <v>633100</v>
      </c>
      <c r="R276" t="n">
        <v>0.06807771284157327</v>
      </c>
      <c r="S276" t="n">
        <v>0</v>
      </c>
      <c r="T276" t="n">
        <v>1</v>
      </c>
      <c r="U276" t="n">
        <v>1</v>
      </c>
      <c r="V276" t="n">
        <v>1</v>
      </c>
      <c r="W276" t="n">
        <v>0</v>
      </c>
      <c r="X276" t="n">
        <v>0</v>
      </c>
      <c r="Y276" t="n">
        <v>0</v>
      </c>
      <c r="Z276" t="n">
        <v>0</v>
      </c>
      <c r="AA276" t="n">
        <v>0</v>
      </c>
      <c r="AB276" t="n">
        <v>0</v>
      </c>
      <c r="AC276" t="n">
        <v>0</v>
      </c>
      <c r="AD276" t="n">
        <v>0</v>
      </c>
      <c r="AE276" t="n">
        <v>1</v>
      </c>
      <c r="AF276" t="inlineStr">
        <is>
          <t>M M  SILVA PORTO LTDA:Demais</t>
        </is>
      </c>
      <c r="AH276" t="inlineStr">
        <is>
          <t>pontual</t>
        </is>
      </c>
      <c r="AI276" t="n">
        <v>12</v>
      </c>
      <c r="AJ276" t="n">
        <v>0</v>
      </c>
      <c r="AK276" t="n">
        <v>1</v>
      </c>
      <c r="AL276" t="n">
        <v>0</v>
      </c>
      <c r="AM276" t="n">
        <v>0</v>
      </c>
      <c r="AN276" t="n">
        <v>0</v>
      </c>
      <c r="AP276" t="inlineStr">
        <is>
          <t>s deverão apresentar a seguinte documentação complementar para fins de qualificação técnica: a) Atestado de Capacidade Técnica – Apresentar atestado de execução de prestação de serviço emitido por Pessoa Jurídica de Direito PÚBLICO ou PRIVADO, declarando que o proponente já promoveu a Centro Adminis…</t>
        </is>
      </c>
      <c r="AQ276" t="n">
        <v>0</v>
      </c>
      <c r="AS276" t="inlineStr">
        <is>
          <t>Contratação direta de horas de caminhão munck para o SAAE; núcleo do escopo, preço por hora explícito.</t>
        </is>
      </c>
      <c r="AT276" t="n">
        <v>0</v>
      </c>
      <c r="AU276" t="n">
        <v>1</v>
      </c>
    </row>
    <row r="277">
      <c r="A277" t="inlineStr">
        <is>
          <t>02316487000141_2025_51</t>
        </is>
      </c>
      <c r="B277" s="2" t="inlineStr">
        <is>
          <t>https://pncp.gov.br/app/editais/02316487000141/2025/51</t>
        </is>
      </c>
      <c r="C277" t="inlineStr">
        <is>
          <t>2026-09-27T03:48:03.240730+00:00</t>
        </is>
      </c>
      <c r="D277" t="inlineStr">
        <is>
          <t>GO</t>
        </is>
      </c>
      <c r="E277" t="inlineStr">
        <is>
          <t>GO</t>
        </is>
      </c>
      <c r="F277" t="inlineStr">
        <is>
          <t>Mineiros</t>
        </is>
      </c>
      <c r="G277" t="inlineStr">
        <is>
          <t>SERVICO AUTONOMO DE AGUA E ESGOTO</t>
        </is>
      </c>
      <c r="H277" t="inlineStr">
        <is>
          <t>Municipal</t>
        </is>
      </c>
      <c r="I277" t="inlineStr">
        <is>
          <t>2026-04-22T14:04:12</t>
        </is>
      </c>
      <c r="J277" t="inlineStr">
        <is>
          <t>Pregão - Eletrônico</t>
        </is>
      </c>
      <c r="K277" t="inlineStr">
        <is>
          <t>REGISTRO DE PREÇOS PARA A AQUISIÇÃO DE MATERIAIS DE CONSTRUÇÃO, HIDRÁULICOS, ELÉTRICOS E FERRAMENTAS, UTENSÍLIOS, EQUIPAMENTOS DIVERSOS E MATERIAIS DE MANUTENÇÃO, PARA ATENDER AS NECESSIDADES DO SERVIÇO AUTÔNOMO DE ÁGUA E ESGOTO DE MINEIROS GO ? SAAE.</t>
        </is>
      </c>
      <c r="L277" t="b">
        <v>1</v>
      </c>
      <c r="M277" t="inlineStr">
        <is>
          <t>eletrica_predial</t>
        </is>
      </c>
      <c r="N277" t="inlineStr">
        <is>
          <t>eletrica_predial</t>
        </is>
      </c>
      <c r="O277" t="n">
        <v>1856256.17</v>
      </c>
      <c r="P277" t="n">
        <v>831923.54</v>
      </c>
      <c r="Q277" t="n">
        <v>1778092.279999999</v>
      </c>
      <c r="R277" t="n">
        <v>0.5321257792087147</v>
      </c>
      <c r="S277" t="n">
        <v>0</v>
      </c>
      <c r="T277" t="n">
        <v>60</v>
      </c>
      <c r="U277" t="n">
        <v>40</v>
      </c>
      <c r="V277" t="n">
        <v>53</v>
      </c>
      <c r="W277" t="n">
        <v>0</v>
      </c>
      <c r="X277" t="n">
        <v>0</v>
      </c>
      <c r="Y277" t="n">
        <v>0</v>
      </c>
      <c r="Z277" t="n">
        <v>0</v>
      </c>
      <c r="AA277" t="n">
        <v>0</v>
      </c>
      <c r="AB277" t="n">
        <v>0</v>
      </c>
      <c r="AC277" t="n">
        <v>0</v>
      </c>
      <c r="AD277" t="n">
        <v>0</v>
      </c>
      <c r="AE277" t="n">
        <v>10</v>
      </c>
      <c r="AF277" t="inlineStr">
        <is>
          <t>SOUL DISTRIBUIDORA DE PRODUTOS E EQUIPAMENTOS INDUSTRIAIS LTDA:Demais; DISTRIBUIDORA FXO EIRELI:Demais; FAM ATACADO E DISTRIBUICAO DE MATERIAIS DE CONSTRUCAO LTDA:Demais; MASTERFER COMERCIO DE FERRAGENS LTDA:Demais; COMERCIAL VANGUARDEIRA LTDA:Demais; POLYVIN PLÁSTICOS E DERIVADOS LTDA:Demais; SANECON COMERCIO DE TUBOS E CONEXOES LTDA:Demais; CONFFER DISTRIBUIDORA E CONSTRUCAO LTDA:Demais; INTEGRA TECH SOLUÇÕES LTDA:ME; J2R AUTOMAÇÃO LTDA - EIRELI:Demais</t>
        </is>
      </c>
      <c r="AH277" t="inlineStr">
        <is>
          <t>pontual</t>
        </is>
      </c>
      <c r="AJ277" t="n">
        <v>0</v>
      </c>
      <c r="AK277" t="n">
        <v>0</v>
      </c>
      <c r="AL277" t="n">
        <v>0</v>
      </c>
      <c r="AM277" t="n">
        <v>0</v>
      </c>
      <c r="AN277" t="n">
        <v>0</v>
      </c>
      <c r="AQ277" t="n">
        <v>0.9952540602195009</v>
      </c>
      <c r="AR277" t="inlineStr">
        <is>
          <t>equipamento_alto</t>
        </is>
      </c>
      <c r="AS277" t="inlineStr">
        <is>
          <t>Confirmada exclusao automatica (equipamento_alto): fracao estimada em itens de material = 100% (&gt; 40%).</t>
        </is>
      </c>
      <c r="AT277" t="n">
        <v>0</v>
      </c>
      <c r="AU277" t="n">
        <v>0</v>
      </c>
    </row>
    <row r="278">
      <c r="A278" t="inlineStr">
        <is>
          <t>02316487000141_2026_21</t>
        </is>
      </c>
      <c r="B278" s="2" t="inlineStr">
        <is>
          <t>https://pncp.gov.br/app/editais/02316487000141/2026/21</t>
        </is>
      </c>
      <c r="C278" t="inlineStr">
        <is>
          <t>2026-09-27T14:31:07.517575+00:00</t>
        </is>
      </c>
      <c r="D278" t="inlineStr">
        <is>
          <t>GO</t>
        </is>
      </c>
      <c r="E278" t="inlineStr">
        <is>
          <t>GO</t>
        </is>
      </c>
      <c r="F278" t="inlineStr">
        <is>
          <t>Mineiros</t>
        </is>
      </c>
      <c r="G278" t="inlineStr">
        <is>
          <t>SERVICO AUTONOMO DE AGUA E ESGOTO</t>
        </is>
      </c>
      <c r="H278" t="inlineStr">
        <is>
          <t>Municipal</t>
        </is>
      </c>
      <c r="I278" t="inlineStr">
        <is>
          <t>2026-06-09T14:17:42</t>
        </is>
      </c>
      <c r="J278" t="inlineStr">
        <is>
          <t>Pregão - Eletrônico</t>
        </is>
      </c>
      <c r="K278" t="inlineStr">
        <is>
          <t>PROCESSO LICITATÓRIO PARA AQUISIÇÃO DE MATERIAIS ELÉTRICOS PARA ATENDER A DEMANDA DO SERVIÇO AUTÔNOMO DE ÁGUA E ESGOTO DO MUNICÍPIO DE MINEIROS - SAAE, PARA O EXERCÍCIO DE 2026.</t>
        </is>
      </c>
      <c r="L278" t="b">
        <v>1</v>
      </c>
      <c r="M278" t="inlineStr">
        <is>
          <t>eletrica_predial</t>
        </is>
      </c>
      <c r="N278" t="inlineStr">
        <is>
          <t>eletrica_predial</t>
        </is>
      </c>
      <c r="O278" t="n">
        <v>1540744.29</v>
      </c>
      <c r="P278" t="n">
        <v>40154.3</v>
      </c>
      <c r="Q278" t="n">
        <v>79839.14999999999</v>
      </c>
      <c r="R278" t="n">
        <v>0.4970600263154105</v>
      </c>
      <c r="S278" t="n">
        <v>0</v>
      </c>
      <c r="T278" t="n">
        <v>156</v>
      </c>
      <c r="U278" t="n">
        <v>20</v>
      </c>
      <c r="V278" t="n">
        <v>151</v>
      </c>
      <c r="W278" t="n">
        <v>0</v>
      </c>
      <c r="X278" t="n">
        <v>0</v>
      </c>
      <c r="Y278" t="n">
        <v>0</v>
      </c>
      <c r="Z278" t="n">
        <v>0</v>
      </c>
      <c r="AA278" t="n">
        <v>0</v>
      </c>
      <c r="AB278" t="n">
        <v>0</v>
      </c>
      <c r="AC278" t="n">
        <v>0</v>
      </c>
      <c r="AD278" t="n">
        <v>0</v>
      </c>
      <c r="AE278" t="n">
        <v>3</v>
      </c>
      <c r="AF278" t="inlineStr">
        <is>
          <t>J2R AUTOMAÇÃO LTDA - EIRELI:Demais; CONSOMAR MATERIAL ELETRICO E HIDRAULICO LTDA:Demais; TRIUNFO ILUMINAÇÃO LTDA:Demais</t>
        </is>
      </c>
      <c r="AH278" t="inlineStr">
        <is>
          <t>pontual</t>
        </is>
      </c>
      <c r="AI278" t="n">
        <v>12</v>
      </c>
      <c r="AJ278" t="n">
        <v>0</v>
      </c>
      <c r="AK278" t="n">
        <v>0</v>
      </c>
      <c r="AL278" t="n">
        <v>0</v>
      </c>
      <c r="AM278" t="n">
        <v>0</v>
      </c>
      <c r="AN278" t="n">
        <v>0</v>
      </c>
      <c r="AP278" t="inlineStr">
        <is>
          <t>deverão apresentar a seguinte documentação complementar para fins de qualificação técnica: a) Atestado de Capacidade Técnica , no mínimo 01 (um) , de fornecimento, emitido por Pessoa Jurídica de Direito PÚBLICO ou PRIVADO, declarando que o proponente já promoveu o fornecimento da mesma natureza do o…</t>
        </is>
      </c>
      <c r="AQ278" t="n">
        <v>0.9993356133093311</v>
      </c>
      <c r="AR278" t="inlineStr">
        <is>
          <t>equipamento_alto</t>
        </is>
      </c>
      <c r="AS278" t="inlineStr">
        <is>
          <t>Confirmada exclusao automatica (equipamento_alto): fracao estimada em itens de material = 100% (&gt; 40%).</t>
        </is>
      </c>
      <c r="AT278" t="n">
        <v>0</v>
      </c>
      <c r="AU278" t="n">
        <v>0</v>
      </c>
    </row>
    <row r="279">
      <c r="A279" t="inlineStr">
        <is>
          <t>02316537000190_2026_360</t>
        </is>
      </c>
      <c r="B279" s="2" t="inlineStr">
        <is>
          <t>https://pncp.gov.br/app/editais/02316537000190/2026/360</t>
        </is>
      </c>
      <c r="C279" t="inlineStr">
        <is>
          <t>2026-09-27T03:30:18.807848+00:00</t>
        </is>
      </c>
      <c r="D279" t="inlineStr">
        <is>
          <t>GO</t>
        </is>
      </c>
      <c r="E279" t="inlineStr">
        <is>
          <t>GO</t>
        </is>
      </c>
      <c r="F279" t="inlineStr">
        <is>
          <t>Mineiros</t>
        </is>
      </c>
      <c r="G279" t="inlineStr">
        <is>
          <t>MUNICIPIO DE MINEIROS</t>
        </is>
      </c>
      <c r="H279" t="inlineStr">
        <is>
          <t>Municipal</t>
        </is>
      </c>
      <c r="I279" t="inlineStr">
        <is>
          <t>2026-08-21T13:16:42</t>
        </is>
      </c>
      <c r="J279" t="inlineStr">
        <is>
          <t>Pregão - Eletrônico</t>
        </is>
      </c>
      <c r="K279" t="inlineStr">
        <is>
          <t>CONTRATAÇÃO DE EMPRESA ESPECIALIZADA PARA O REGISTRO DE PREÇO PARA AQUISIÇÃO FUTURA, EVENTUAL E PARCELADA DE MATERIAIS ELÉTRICOS PARA ATENDER ÀS DEMANDAS DE MANUTENÇÃO PARA O MUNICÍPIO DE MINEIROS ? GO.</t>
        </is>
      </c>
      <c r="L279" t="b">
        <v>1</v>
      </c>
      <c r="M279" t="inlineStr">
        <is>
          <t>eletrica_predial</t>
        </is>
      </c>
      <c r="N279" t="inlineStr">
        <is>
          <t>eletrica_predial</t>
        </is>
      </c>
      <c r="O279" t="n">
        <v>4565893.22</v>
      </c>
      <c r="P279" t="n">
        <v>1332823.36</v>
      </c>
      <c r="Q279" t="n">
        <v>2720396.56</v>
      </c>
      <c r="R279" t="n">
        <v>0.5100628417203997</v>
      </c>
      <c r="S279" t="n">
        <v>0</v>
      </c>
      <c r="T279" t="n">
        <v>67</v>
      </c>
      <c r="U279" t="n">
        <v>40</v>
      </c>
      <c r="V279" t="n">
        <v>67</v>
      </c>
      <c r="W279" t="n">
        <v>0</v>
      </c>
      <c r="X279" t="n">
        <v>0</v>
      </c>
      <c r="Y279" t="n">
        <v>0</v>
      </c>
      <c r="Z279" t="n">
        <v>0</v>
      </c>
      <c r="AA279" t="n">
        <v>0</v>
      </c>
      <c r="AB279" t="n">
        <v>0</v>
      </c>
      <c r="AC279" t="n">
        <v>0</v>
      </c>
      <c r="AD279" t="n">
        <v>0</v>
      </c>
      <c r="AE279" t="n">
        <v>1</v>
      </c>
      <c r="AF279" t="inlineStr">
        <is>
          <t>FORT COMERCIO SERVIÇOS E LOCAÇÕES EIRELI:Demais</t>
        </is>
      </c>
      <c r="AH279" t="inlineStr">
        <is>
          <t>pontual</t>
        </is>
      </c>
      <c r="AI279" t="n">
        <v>3</v>
      </c>
      <c r="AJ279" t="n">
        <v>0</v>
      </c>
      <c r="AK279" t="n">
        <v>0</v>
      </c>
      <c r="AL279" t="n">
        <v>0</v>
      </c>
      <c r="AM279" t="n">
        <v>0</v>
      </c>
      <c r="AN279" t="n">
        <v>1</v>
      </c>
      <c r="AP279" t="inlineStr">
        <is>
          <t>s deverão apresentar a seguinte documentação complementar para fins de qualificação técnica: a) Atestado de Capacidade Técnica , emitido por Pessoa Jurídica de Direito Público (que preferencialmente não seja o órgão contratante) ou Privado, em papel timbrado, assinado e datado, declarando já ter for…</t>
        </is>
      </c>
      <c r="AQ279" t="n">
        <v>1</v>
      </c>
      <c r="AR279" t="inlineStr">
        <is>
          <t>fornecimento_puro</t>
        </is>
      </c>
      <c r="AS279" t="inlineStr">
        <is>
          <t>Confirmada exclusao automatica (fornecimento_puro): 67 item(ns), todos classificados como material (sem servico).</t>
        </is>
      </c>
      <c r="AT279" t="n">
        <v>1</v>
      </c>
      <c r="AU279" t="n">
        <v>0</v>
      </c>
    </row>
    <row r="280">
      <c r="A280" t="inlineStr">
        <is>
          <t>02320406000187_2025_87</t>
        </is>
      </c>
      <c r="B280" s="2" t="inlineStr">
        <is>
          <t>https://pncp.gov.br/app/editais/02320406000187/2025/87</t>
        </is>
      </c>
      <c r="C280" t="inlineStr">
        <is>
          <t>2026-09-27T04:02:28.902020+00:00</t>
        </is>
      </c>
      <c r="D280" t="inlineStr">
        <is>
          <t>GO</t>
        </is>
      </c>
      <c r="E280" t="inlineStr">
        <is>
          <t>GO</t>
        </is>
      </c>
      <c r="F280" t="inlineStr">
        <is>
          <t>São Luís de Montes Belos</t>
        </is>
      </c>
      <c r="G280" t="inlineStr">
        <is>
          <t>MUNICIPIO DE SAO LUIS DE MONTES BELOS</t>
        </is>
      </c>
      <c r="H280" t="inlineStr">
        <is>
          <t>Municipal</t>
        </is>
      </c>
      <c r="I280" t="inlineStr">
        <is>
          <t>2025-11-06T10:44:07</t>
        </is>
      </c>
      <c r="J280" t="inlineStr">
        <is>
          <t>Pregão - Eletrônico</t>
        </is>
      </c>
      <c r="K280" t="inlineStr">
        <is>
          <t>A CONTRATAÇÃO DE EMPRESAS PARA LOCAÇÃO, INSTALAÇÃO, MANUTENÇÃO E DESMONTAGEM DE MATERIAIS ELÉTRICOS E DECORAÇÕES DIVERSAS PARA SEREM UTILIZADOS NA ILUMINAÇÃO NATALINA.</t>
        </is>
      </c>
      <c r="L280" t="b">
        <v>0</v>
      </c>
      <c r="M280" t="inlineStr">
        <is>
          <t>iluminacao_publica</t>
        </is>
      </c>
      <c r="N280" t="inlineStr">
        <is>
          <t>iluminacao_publica</t>
        </is>
      </c>
      <c r="O280" t="n">
        <v>3016024.91</v>
      </c>
      <c r="P280" t="n">
        <v>1498492</v>
      </c>
      <c r="Q280" t="n">
        <v>1665033.4932</v>
      </c>
      <c r="R280" t="n">
        <v>0.1000229087764035</v>
      </c>
      <c r="S280" t="n">
        <v>0</v>
      </c>
      <c r="T280" t="n">
        <v>67</v>
      </c>
      <c r="U280" t="n">
        <v>40</v>
      </c>
      <c r="V280" t="n">
        <v>67</v>
      </c>
      <c r="W280" t="n">
        <v>0</v>
      </c>
      <c r="X280" t="n">
        <v>0</v>
      </c>
      <c r="Y280" t="n">
        <v>0</v>
      </c>
      <c r="Z280" t="n">
        <v>0</v>
      </c>
      <c r="AA280" t="n">
        <v>0</v>
      </c>
      <c r="AB280" t="n">
        <v>0</v>
      </c>
      <c r="AC280" t="n">
        <v>0</v>
      </c>
      <c r="AD280" t="n">
        <v>0</v>
      </c>
      <c r="AE280" t="n">
        <v>1</v>
      </c>
      <c r="AF280" t="inlineStr">
        <is>
          <t>BR LED MATERIAIS ELETRICOS EIRELI:Demais</t>
        </is>
      </c>
      <c r="AH280" t="inlineStr">
        <is>
          <t>indefinido</t>
        </is>
      </c>
      <c r="AJ280" t="n">
        <v>0</v>
      </c>
      <c r="AK280" t="n">
        <v>0</v>
      </c>
      <c r="AL280" t="n">
        <v>0</v>
      </c>
      <c r="AM280" t="n">
        <v>0</v>
      </c>
      <c r="AN280" t="n">
        <v>0</v>
      </c>
      <c r="AQ280" t="n">
        <v>0</v>
      </c>
      <c r="AR280" t="inlineStr">
        <is>
          <t>mencao_passagem</t>
        </is>
      </c>
      <c r="AS280" t="inlineStr">
        <is>
          <t>Locação/instalação/manutenção/desmontagem de decorações natalinas iluminadas; não é manutenção de IP de vias.</t>
        </is>
      </c>
      <c r="AT280" t="n">
        <v>0</v>
      </c>
      <c r="AU280" t="n">
        <v>0</v>
      </c>
    </row>
    <row r="281">
      <c r="A281" t="inlineStr">
        <is>
          <t>02320406000187_2026_22</t>
        </is>
      </c>
      <c r="B281" s="2" t="inlineStr">
        <is>
          <t>https://pncp.gov.br/app/editais/02320406000187/2026/22</t>
        </is>
      </c>
      <c r="C281" t="inlineStr">
        <is>
          <t>2026-09-27T04:25:51.334979+00:00</t>
        </is>
      </c>
      <c r="D281" t="inlineStr">
        <is>
          <t>GO</t>
        </is>
      </c>
      <c r="E281" t="inlineStr">
        <is>
          <t>GO</t>
        </is>
      </c>
      <c r="F281" t="inlineStr">
        <is>
          <t>São Luís de Montes Belos</t>
        </is>
      </c>
      <c r="G281" t="inlineStr">
        <is>
          <t>MUNICIPIO DE SAO LUIS DE MONTES BELOS</t>
        </is>
      </c>
      <c r="H281" t="inlineStr">
        <is>
          <t>Municipal</t>
        </is>
      </c>
      <c r="I281" t="inlineStr">
        <is>
          <t>2026-07-09T09:43:05</t>
        </is>
      </c>
      <c r="J281" t="inlineStr">
        <is>
          <t>Pregão - Eletrônico</t>
        </is>
      </c>
      <c r="K281" t="inlineStr">
        <is>
          <t>REGISTRO DE PREÇOS PARA FUTURA E EVENTUAL AQUISIÇÃO DE MATERIAIS DIVERSOS A SEREM UTILIZADOS NA ILUMINAÇÃO PÚBLICA DO MUNICÍPIO E PRÉDIOS PÚBLICOS, EM ATENDIMENTO A SECRETARIA MUNICIPAL DE OBRAS, INFRAESTRUTURA E SERVIÇOS PÚBLICOS</t>
        </is>
      </c>
      <c r="L281" t="b">
        <v>1</v>
      </c>
      <c r="M281" t="inlineStr">
        <is>
          <t>iluminacao_publica</t>
        </is>
      </c>
      <c r="N281" t="inlineStr">
        <is>
          <t>iluminacao_publica</t>
        </is>
      </c>
      <c r="O281" t="n">
        <v>1840679.44</v>
      </c>
      <c r="P281" t="n">
        <v>201394.4</v>
      </c>
      <c r="Q281" t="n">
        <v>388119.16</v>
      </c>
      <c r="R281" t="n">
        <v>0.4811016286853758</v>
      </c>
      <c r="S281" t="n">
        <v>0</v>
      </c>
      <c r="T281" t="n">
        <v>79</v>
      </c>
      <c r="U281" t="n">
        <v>40</v>
      </c>
      <c r="V281" t="n">
        <v>79</v>
      </c>
      <c r="W281" t="n">
        <v>0</v>
      </c>
      <c r="X281" t="n">
        <v>0</v>
      </c>
      <c r="Y281" t="n">
        <v>0</v>
      </c>
      <c r="Z281" t="n">
        <v>0</v>
      </c>
      <c r="AA281" t="n">
        <v>0</v>
      </c>
      <c r="AB281" t="n">
        <v>1</v>
      </c>
      <c r="AC281" t="n">
        <v>0</v>
      </c>
      <c r="AD281" t="n">
        <v>0</v>
      </c>
      <c r="AE281" t="n">
        <v>2</v>
      </c>
      <c r="AF281" t="inlineStr">
        <is>
          <t>FORT COMERCIO, SERVIÇOS E LOCAÇÕES EIRELI:ME; CBX COMERCIAL IMPORTADORA LTDA:Demais</t>
        </is>
      </c>
      <c r="AH281" t="inlineStr">
        <is>
          <t>pontual</t>
        </is>
      </c>
      <c r="AI281" t="n">
        <v>12</v>
      </c>
      <c r="AJ281" t="n">
        <v>0</v>
      </c>
      <c r="AK281" t="n">
        <v>0</v>
      </c>
      <c r="AL281" t="n">
        <v>0</v>
      </c>
      <c r="AM281" t="n">
        <v>0</v>
      </c>
      <c r="AN281" t="n">
        <v>0</v>
      </c>
      <c r="AP281" t="inlineStr">
        <is>
          <t>9.11. PARA FINS DE QUALIFICAÇÃO TÉCNICO -OPERACIONAL, DEVER Á SER APRESENTADO: a) 01 (um) ou mais atestado de capacidade técnica, comprovando já ter executado contratos de fornecimento de objeto desse edital, se foram cumpridos os prazos estabelecidos e o grau de satisfação. Referido atestado deverá…</t>
        </is>
      </c>
      <c r="AQ281" t="n">
        <v>1</v>
      </c>
      <c r="AR281" t="inlineStr">
        <is>
          <t>fornecimento_puro</t>
        </is>
      </c>
      <c r="AS281" t="inlineStr">
        <is>
          <t>Registro de preços/contratação de fornecimento de materiais, sem mão de obra de manutenção contratada.</t>
        </is>
      </c>
      <c r="AT281" t="n">
        <v>1</v>
      </c>
      <c r="AU281" t="n">
        <v>0</v>
      </c>
    </row>
    <row r="282">
      <c r="A282" t="inlineStr">
        <is>
          <t>02321891000103_2026_82</t>
        </is>
      </c>
      <c r="B282" s="2" t="inlineStr">
        <is>
          <t>https://pncp.gov.br/app/editais/02321891000103/2026/82</t>
        </is>
      </c>
      <c r="C282" t="inlineStr">
        <is>
          <t>2026-09-27T14:32:10.718202+00:00</t>
        </is>
      </c>
      <c r="D282" t="inlineStr">
        <is>
          <t>GO</t>
        </is>
      </c>
      <c r="E282" t="inlineStr">
        <is>
          <t>GO</t>
        </is>
      </c>
      <c r="F282" t="inlineStr">
        <is>
          <t>Ivolândia</t>
        </is>
      </c>
      <c r="G282" t="inlineStr">
        <is>
          <t>MUNICIPIO DE IVOLANDIA</t>
        </is>
      </c>
      <c r="H282" t="inlineStr">
        <is>
          <t>Municipal</t>
        </is>
      </c>
      <c r="I282" t="inlineStr">
        <is>
          <t>2026-05-05T13:36:51</t>
        </is>
      </c>
      <c r="J282" t="inlineStr">
        <is>
          <t>Pregão - Eletrônico</t>
        </is>
      </c>
      <c r="K282" t="inlineStr">
        <is>
          <t>PROCESSO LICITATÓRIO PARA A ADESÃO DE ATA JUNTO AO MUNICÍPIO DE IVOLÂNDIA-GO, VISANDO ATENDER ÀS DEMANDAS DA SECRETARIA MUNICIPAL DE ADMINISTRAÇÃO, EM FAVOR DA EMPRESA LUZ LED GERADORES E ENTRETENIMENTOS LTDA, INSCRITA NO CNPJ Nº 48.146.902/0001-67, PARA A CONTRATAÇÃO DE EMPRESA ESPECIALIZADA NA PRESTAÇÃO DE SERVIÇOS DE LOCAÇÃO DE ESTRUTURAS METÁLICAS MÓVEIS E EQUIPAMENTOS DIVERSOS.  A CONTRATAÇÃO COMPREENDE TRANSPORTE, MONTAGEM, INSTALAÇÃO, MANUTENÇÃO DURANTE O PERÍODO DE UTILIZAÇÃO, DESMONTAGEM, DESINSTALAÇÃO E TRANSPORTE FINAL DOS EQUIPAMENTOS, CONFORME AS CONDIÇÕES ESTABELECIDAS NO PREGÃO PRESENCIAL Nº 007/2026 – ADM, REALIZADO PELA PREFEITURA MUNICIPAL DE ABADIA DE GOIÁS-GO. A ADESÃO OBSERVARÁ OS PREÇOS REGISTRADOS NA ATA DE REGISTRO DE PREÇOS DATADA DE 03 DE MARÇO DE 2026 QUE ESTÁ VINCULADA AO PROCESSO LICITATÓRIO Nº 007/2026 E PROCESSO ADMINISTRATIVO Nº 5888/2026 – ADM.</t>
        </is>
      </c>
      <c r="L282" t="b">
        <v>1</v>
      </c>
      <c r="M282" t="inlineStr">
        <is>
          <t>eletrica_predial</t>
        </is>
      </c>
      <c r="N282" t="inlineStr">
        <is>
          <t>eletrica_predial</t>
        </is>
      </c>
      <c r="O282" t="n">
        <v>1233675.6</v>
      </c>
      <c r="P282" t="n">
        <v>779415.6</v>
      </c>
      <c r="Q282" t="n">
        <v>779415.6</v>
      </c>
      <c r="R282" t="n">
        <v>0</v>
      </c>
      <c r="S282" t="n">
        <v>0</v>
      </c>
      <c r="T282" t="n">
        <v>28</v>
      </c>
      <c r="U282" t="n">
        <v>20</v>
      </c>
      <c r="V282" t="n">
        <v>28</v>
      </c>
      <c r="W282" t="n">
        <v>0</v>
      </c>
      <c r="X282" t="n">
        <v>0</v>
      </c>
      <c r="Y282" t="n">
        <v>0</v>
      </c>
      <c r="Z282" t="n">
        <v>0</v>
      </c>
      <c r="AA282" t="n">
        <v>0</v>
      </c>
      <c r="AB282" t="n">
        <v>0</v>
      </c>
      <c r="AC282" t="n">
        <v>0</v>
      </c>
      <c r="AD282" t="n">
        <v>0</v>
      </c>
      <c r="AE282" t="n">
        <v>1</v>
      </c>
      <c r="AF282" t="inlineStr">
        <is>
          <t>LUZ LED GERADORES E ENTRETENIMENTOS LTDA:ME</t>
        </is>
      </c>
      <c r="AH282" t="inlineStr">
        <is>
          <t>indefinido</t>
        </is>
      </c>
      <c r="AJ282" t="n">
        <v>0</v>
      </c>
      <c r="AK282" t="n">
        <v>0</v>
      </c>
      <c r="AL282" t="n">
        <v>0</v>
      </c>
      <c r="AM282" t="n">
        <v>0</v>
      </c>
      <c r="AN282" t="n">
        <v>0</v>
      </c>
      <c r="AQ282" t="n">
        <v>0</v>
      </c>
      <c r="AR282" t="inlineStr">
        <is>
          <t>equipamento_alto</t>
        </is>
      </c>
      <c r="AS282" t="inlineStr">
        <is>
          <t>Confirmada exclusao automatica (equipamento_alto): , visando atender as demandas da secretaria municipal de administracao, em favor da empresa luz led geradores e entretenimentos ltda, inscrita no cnpj no 48.146.902/0001-67, para a</t>
        </is>
      </c>
      <c r="AT282" t="n">
        <v>0</v>
      </c>
      <c r="AU282" t="n">
        <v>0</v>
      </c>
    </row>
    <row r="283">
      <c r="A283" t="inlineStr">
        <is>
          <t>02355675000189_2025_30</t>
        </is>
      </c>
      <c r="B283" s="2" t="inlineStr">
        <is>
          <t>https://pncp.gov.br/app/editais/02355675000189/2025/30</t>
        </is>
      </c>
      <c r="C283" t="inlineStr">
        <is>
          <t>2026-09-27T02:50:15.807147+00:00</t>
        </is>
      </c>
      <c r="D283" t="inlineStr">
        <is>
          <t>GO</t>
        </is>
      </c>
      <c r="E283" t="inlineStr">
        <is>
          <t>GO</t>
        </is>
      </c>
      <c r="F283" t="inlineStr">
        <is>
          <t>Barro Alto</t>
        </is>
      </c>
      <c r="G283" t="inlineStr">
        <is>
          <t>MUNICIPIO DE BARRO ALTO</t>
        </is>
      </c>
      <c r="H283" t="inlineStr">
        <is>
          <t>Municipal</t>
        </is>
      </c>
      <c r="I283" t="inlineStr">
        <is>
          <t>2025-09-15T13:43:02</t>
        </is>
      </c>
      <c r="J283" t="inlineStr">
        <is>
          <t>Pregão - Presencial</t>
        </is>
      </c>
      <c r="K283" t="inlineStr">
        <is>
          <t>CONTRATAÇÃO DE PESSOA JURÍDICA PARA PRESTAÇÃO DE SERVIÇOS DE MANUTENÇÃO
CORRETIVA E PREVENTIVA EM APARELHOS DE AR CONDICIONADO.</t>
        </is>
      </c>
      <c r="L283" t="b">
        <v>1</v>
      </c>
      <c r="M283" t="inlineStr">
        <is>
          <t>climatizacao</t>
        </is>
      </c>
      <c r="N283" t="inlineStr">
        <is>
          <t>climatizacao</t>
        </is>
      </c>
      <c r="O283" t="n">
        <v>1248603.34</v>
      </c>
      <c r="P283" t="n">
        <v>886610</v>
      </c>
      <c r="Q283" t="n">
        <v>978776.015</v>
      </c>
      <c r="R283" t="n">
        <v>0.09416456225687139</v>
      </c>
      <c r="S283" t="n">
        <v>0</v>
      </c>
      <c r="T283" t="n">
        <v>21</v>
      </c>
      <c r="U283" t="n">
        <v>12</v>
      </c>
      <c r="V283" t="n">
        <v>12</v>
      </c>
      <c r="W283" t="n">
        <v>0</v>
      </c>
      <c r="X283" t="n">
        <v>0</v>
      </c>
      <c r="Y283" t="n">
        <v>0</v>
      </c>
      <c r="Z283" t="n">
        <v>0</v>
      </c>
      <c r="AA283" t="n">
        <v>0</v>
      </c>
      <c r="AB283" t="n">
        <v>1</v>
      </c>
      <c r="AC283" t="n">
        <v>0</v>
      </c>
      <c r="AD283" t="n">
        <v>1</v>
      </c>
      <c r="AE283" t="n">
        <v>1</v>
      </c>
      <c r="AF283" t="inlineStr">
        <is>
          <t>MULTI ASSISTENCIA LTDA:ME</t>
        </is>
      </c>
      <c r="AH283" t="inlineStr">
        <is>
          <t>indefinido</t>
        </is>
      </c>
      <c r="AJ283" t="n">
        <v>0</v>
      </c>
      <c r="AK283" t="n">
        <v>0</v>
      </c>
      <c r="AL283" t="n">
        <v>0</v>
      </c>
      <c r="AM283" t="n">
        <v>0</v>
      </c>
      <c r="AN283" t="n">
        <v>0</v>
      </c>
      <c r="AQ283" t="n">
        <v>1</v>
      </c>
      <c r="AS283" t="inlineStr">
        <is>
          <t>objeto e 'prestacao de servicos de manutencao corretiva e preventiva em aparelhos de ar condicionado', servico puro.</t>
        </is>
      </c>
      <c r="AT283" t="n">
        <v>1</v>
      </c>
      <c r="AU283" t="n">
        <v>1</v>
      </c>
    </row>
    <row r="284">
      <c r="A284" t="inlineStr">
        <is>
          <t>02382067000163_2025_551</t>
        </is>
      </c>
      <c r="B284" s="2" t="inlineStr">
        <is>
          <t>https://pncp.gov.br/app/editais/02382067000163/2025/551</t>
        </is>
      </c>
      <c r="C284" t="inlineStr">
        <is>
          <t>2026-09-27T02:59:03.727487+00:00</t>
        </is>
      </c>
      <c r="D284" t="inlineStr">
        <is>
          <t>GO</t>
        </is>
      </c>
      <c r="E284" t="inlineStr">
        <is>
          <t>GO</t>
        </is>
      </c>
      <c r="F284" t="inlineStr">
        <is>
          <t>Crixás</t>
        </is>
      </c>
      <c r="G284" t="inlineStr">
        <is>
          <t>MUNICIPIO DE CRIXAS</t>
        </is>
      </c>
      <c r="H284" t="inlineStr">
        <is>
          <t>Municipal</t>
        </is>
      </c>
      <c r="I284" t="inlineStr">
        <is>
          <t>2025-07-30T11:28:04</t>
        </is>
      </c>
      <c r="J284" t="inlineStr">
        <is>
          <t>Pregão - Presencial</t>
        </is>
      </c>
      <c r="K284" t="inlineStr">
        <is>
          <t>REGISTRAR PREÇOS PARA SERVIÇOS DE INSTALAÇÃO, MANUTENÇÃO E HIGIENIZAÇÃO DE APARELHOS DE AR CONDICIONADO PARA ATENDER AS DEMANDAS DAS SECRETARIAS DO MUNICÍPIO DE CRIXÁS - GO, conforme quantidades e especificações do termo de referência – anexo I do edital.</t>
        </is>
      </c>
      <c r="L284" t="b">
        <v>1</v>
      </c>
      <c r="M284" t="inlineStr">
        <is>
          <t>climatizacao</t>
        </is>
      </c>
      <c r="N284" t="inlineStr">
        <is>
          <t>climatizacao</t>
        </is>
      </c>
      <c r="O284" t="n">
        <v>291288</v>
      </c>
      <c r="P284" t="n">
        <v>109221.6</v>
      </c>
      <c r="Q284" t="n">
        <v>270687.6</v>
      </c>
      <c r="R284" t="n">
        <v>0.5965031275906248</v>
      </c>
      <c r="S284" t="n">
        <v>0</v>
      </c>
      <c r="T284" t="n">
        <v>8</v>
      </c>
      <c r="U284" t="n">
        <v>7</v>
      </c>
      <c r="V284" t="n">
        <v>7</v>
      </c>
      <c r="W284" t="n">
        <v>0</v>
      </c>
      <c r="X284" t="n">
        <v>1</v>
      </c>
      <c r="Y284" t="n">
        <v>0</v>
      </c>
      <c r="Z284" t="n">
        <v>1</v>
      </c>
      <c r="AA284" t="n">
        <v>0</v>
      </c>
      <c r="AB284" t="n">
        <v>0</v>
      </c>
      <c r="AC284" t="n">
        <v>0</v>
      </c>
      <c r="AD284" t="n">
        <v>0</v>
      </c>
      <c r="AE284" t="n">
        <v>1</v>
      </c>
      <c r="AF284" t="inlineStr">
        <is>
          <t>ZF SERVICOS LTDA:ME</t>
        </is>
      </c>
      <c r="AH284" t="inlineStr">
        <is>
          <t>indefinido</t>
        </is>
      </c>
      <c r="AJ284" t="n">
        <v>0</v>
      </c>
      <c r="AK284" t="n">
        <v>0</v>
      </c>
      <c r="AL284" t="n">
        <v>0</v>
      </c>
      <c r="AM284" t="n">
        <v>0</v>
      </c>
      <c r="AN284" t="n">
        <v>0</v>
      </c>
      <c r="AQ284" t="n">
        <v>0</v>
      </c>
      <c r="AS284" t="inlineStr">
        <is>
          <t>heuristica automatica confirmada: servico real de climatizacao, sem sinais de exclusao.</t>
        </is>
      </c>
      <c r="AT284" t="n">
        <v>0</v>
      </c>
      <c r="AU284" t="n">
        <v>1</v>
      </c>
    </row>
    <row r="285">
      <c r="A285" t="inlineStr">
        <is>
          <t>02382067000163_2026_336</t>
        </is>
      </c>
      <c r="B285" s="2" t="inlineStr">
        <is>
          <t>https://pncp.gov.br/app/editais/02382067000163/2026/336</t>
        </is>
      </c>
      <c r="C285" t="inlineStr">
        <is>
          <t>2026-09-27T02:28:53.576085+00:00</t>
        </is>
      </c>
      <c r="D285" t="inlineStr">
        <is>
          <t>GO</t>
        </is>
      </c>
      <c r="E285" t="inlineStr">
        <is>
          <t>GO</t>
        </is>
      </c>
      <c r="F285" t="inlineStr">
        <is>
          <t>Crixás</t>
        </is>
      </c>
      <c r="G285" t="inlineStr">
        <is>
          <t>MUNICIPIO DE CRIXAS</t>
        </is>
      </c>
      <c r="H285" t="inlineStr">
        <is>
          <t>Municipal</t>
        </is>
      </c>
      <c r="I285" t="inlineStr">
        <is>
          <t>2026-08-11T17:43:24</t>
        </is>
      </c>
      <c r="J285" t="inlineStr">
        <is>
          <t>Pregão - Presencial</t>
        </is>
      </c>
      <c r="K285" t="inlineStr">
        <is>
          <t>REGISTRO DE PREÇO PARA PRESTAÇÃO DE SERVIÇOS DE INSTALAÇÃO, MANUTENÇÃO E HIGIENIZAÇÃO DE APARELHOS DE AR CONDICIONADO PARA ATENDER AS DEMANDAS DA SECRETARIA MUNICIPAL DE ADMINISTRAÇÃO, FUNDOS MUNICIPAIS E DEMAIS ÓRGÃOS DO MUNICÍPIO DE CRIXÁS-GO, CONFORME QUANTIDADES E ESPECIFICAÇÕES DO TERMO DE REFERÊNCIA – ANEXO I DO EDITAL, NOS TERMOS DA LEI Nº 14.133/21.</t>
        </is>
      </c>
      <c r="L285" t="b">
        <v>1</v>
      </c>
      <c r="M285" t="inlineStr">
        <is>
          <t>climatizacao</t>
        </is>
      </c>
      <c r="N285" t="inlineStr">
        <is>
          <t>climatizacao</t>
        </is>
      </c>
      <c r="O285" t="n">
        <v>335115.1</v>
      </c>
      <c r="P285" t="n">
        <v>176178.85</v>
      </c>
      <c r="Q285" t="n">
        <v>335115.1</v>
      </c>
      <c r="R285" t="n">
        <v>0.5291801234859307</v>
      </c>
      <c r="S285" t="n">
        <v>0</v>
      </c>
      <c r="T285" t="n">
        <v>7</v>
      </c>
      <c r="U285" t="n">
        <v>7</v>
      </c>
      <c r="V285" t="n">
        <v>6</v>
      </c>
      <c r="W285" t="n">
        <v>0</v>
      </c>
      <c r="X285" t="n">
        <v>1</v>
      </c>
      <c r="Y285" t="n">
        <v>0</v>
      </c>
      <c r="Z285" t="n">
        <v>1</v>
      </c>
      <c r="AA285" t="n">
        <v>0</v>
      </c>
      <c r="AB285" t="n">
        <v>0</v>
      </c>
      <c r="AC285" t="n">
        <v>0</v>
      </c>
      <c r="AD285" t="n">
        <v>0</v>
      </c>
      <c r="AE285" t="n">
        <v>2</v>
      </c>
      <c r="AF285" t="inlineStr">
        <is>
          <t>ZF SERVICOS LTDA:ME; L D COMERCIO E SERVICOS LTDA:ME</t>
        </is>
      </c>
      <c r="AH285" t="inlineStr">
        <is>
          <t>pontual</t>
        </is>
      </c>
      <c r="AI285" t="n">
        <v>12</v>
      </c>
      <c r="AJ285" t="n">
        <v>0</v>
      </c>
      <c r="AK285" t="n">
        <v>0</v>
      </c>
      <c r="AL285" t="n">
        <v>0</v>
      </c>
      <c r="AM285" t="n">
        <v>0</v>
      </c>
      <c r="AN285" t="n">
        <v>0</v>
      </c>
      <c r="AQ285" t="n">
        <v>0</v>
      </c>
      <c r="AS285" t="inlineStr">
        <is>
          <t>heuristica automatica confirmada: servico real de climatizacao, sem sinais de exclusao.</t>
        </is>
      </c>
      <c r="AT285" t="n">
        <v>0</v>
      </c>
      <c r="AU285" t="n">
        <v>1</v>
      </c>
    </row>
    <row r="286">
      <c r="A286" t="inlineStr">
        <is>
          <t>02382836000123_2025_45</t>
        </is>
      </c>
      <c r="B286" s="2" t="inlineStr">
        <is>
          <t>https://pncp.gov.br/app/editais/02382836000123/2025/45</t>
        </is>
      </c>
      <c r="C286" t="inlineStr">
        <is>
          <t>2026-09-27T03:03:01.401547+00:00</t>
        </is>
      </c>
      <c r="D286" t="inlineStr">
        <is>
          <t>GO</t>
        </is>
      </c>
      <c r="E286" t="inlineStr">
        <is>
          <t>GO</t>
        </is>
      </c>
      <c r="F286" t="inlineStr">
        <is>
          <t>Rubiataba</t>
        </is>
      </c>
      <c r="G286" t="inlineStr">
        <is>
          <t>MUNICIPIO DE RUBIATABA</t>
        </is>
      </c>
      <c r="H286" t="inlineStr">
        <is>
          <t>Municipal</t>
        </is>
      </c>
      <c r="I286" t="inlineStr">
        <is>
          <t>2025-05-05T16:14:10</t>
        </is>
      </c>
      <c r="J286" t="inlineStr">
        <is>
          <t>Pregão - Eletrônico</t>
        </is>
      </c>
      <c r="K286" t="inlineStr">
        <is>
          <t>SOLICITAÇÃO PARA FUTURA AQUISIÇÃO DE AR CONDICIONADO,  CORTINA DE AR E CLIMATIZADOR  NOVO   PARA ATENDER AS NECESSIDADES DO MUNICÍPIO DE RUBIATABA: SECRETARIA MUNICIPAL DE ADMINISTRAÇÃO, SECRETARIA JUVENTUDE, DESPORTO E LAZER, SECRETARIA MUNICIPAL DE FINANÇAS, SECRETARIA MUNICIPAL DE TRANSPORTE, FUNDO MUNICIPAL DE SAÚDE, FUNDO MUNICIPAL DE EDUCAÇÃO, FUNDO MUNICIPAL DE MEIO AMBIENTE E FUNDO MUNICIPAL DE ASSISTÊNCIA SOCIAL E FUNDO MUNICIPAL DE CULTURA.</t>
        </is>
      </c>
      <c r="L286" t="b">
        <v>1</v>
      </c>
      <c r="M286" t="inlineStr">
        <is>
          <t>climatizacao</t>
        </is>
      </c>
      <c r="N286" t="inlineStr">
        <is>
          <t>climatizacao</t>
        </is>
      </c>
      <c r="O286" t="n">
        <v>485382.95</v>
      </c>
      <c r="P286" t="n">
        <v>297889.71</v>
      </c>
      <c r="Q286" t="n">
        <v>485382.9484000001</v>
      </c>
      <c r="R286" t="n">
        <v>0.3862789968581434</v>
      </c>
      <c r="S286" t="n">
        <v>0</v>
      </c>
      <c r="T286" t="n">
        <v>8</v>
      </c>
      <c r="U286" t="n">
        <v>8</v>
      </c>
      <c r="V286" t="n">
        <v>8</v>
      </c>
      <c r="W286" t="n">
        <v>0</v>
      </c>
      <c r="X286" t="n">
        <v>0</v>
      </c>
      <c r="Y286" t="n">
        <v>0</v>
      </c>
      <c r="Z286" t="n">
        <v>0</v>
      </c>
      <c r="AA286" t="n">
        <v>0</v>
      </c>
      <c r="AB286" t="n">
        <v>1</v>
      </c>
      <c r="AC286" t="n">
        <v>0</v>
      </c>
      <c r="AD286" t="n">
        <v>1</v>
      </c>
      <c r="AE286" t="n">
        <v>4</v>
      </c>
      <c r="AF286" t="inlineStr">
        <is>
          <t>EMILIANAS COMERCIAL LTDA:ME; MOVEIS CARVALHO LTDA EPP:ME; DANYELE DE OLIVEIRA ALMEIDA 04216688144:ME; SOUL DISTRIBUIDORA DE PRODUTOS E EQUIPAMENTOS INDUSTRIAIS LTDA:ME</t>
        </is>
      </c>
      <c r="AH286" t="inlineStr">
        <is>
          <t>pontual</t>
        </is>
      </c>
      <c r="AJ286" t="n">
        <v>0</v>
      </c>
      <c r="AK286" t="n">
        <v>0</v>
      </c>
      <c r="AL286" t="n">
        <v>0</v>
      </c>
      <c r="AM286" t="n">
        <v>0</v>
      </c>
      <c r="AN286" t="n">
        <v>0</v>
      </c>
      <c r="AQ286" t="n">
        <v>1</v>
      </c>
      <c r="AR286" t="inlineStr">
        <is>
          <t>fornecimento_puro</t>
        </is>
      </c>
      <c r="AS286" t="inlineStr">
        <is>
          <t>heuristica automatica confirmada (fornecimento_puro): 8 item(ns), todos classificados como material (sem servico).</t>
        </is>
      </c>
      <c r="AT286" t="n">
        <v>0</v>
      </c>
      <c r="AU286" t="n">
        <v>0</v>
      </c>
    </row>
    <row r="287">
      <c r="A287" t="inlineStr">
        <is>
          <t>02382836000123_2025_85</t>
        </is>
      </c>
      <c r="B287" s="2" t="inlineStr">
        <is>
          <t>https://pncp.gov.br/app/editais/02382836000123/2025/85</t>
        </is>
      </c>
      <c r="C287" t="inlineStr">
        <is>
          <t>2026-09-27T04:16:14.929689+00:00</t>
        </is>
      </c>
      <c r="D287" t="inlineStr">
        <is>
          <t>GO</t>
        </is>
      </c>
      <c r="E287" t="inlineStr">
        <is>
          <t>GO</t>
        </is>
      </c>
      <c r="F287" t="inlineStr">
        <is>
          <t>Rubiataba</t>
        </is>
      </c>
      <c r="G287" t="inlineStr">
        <is>
          <t>MUNICIPIO DE RUBIATABA</t>
        </is>
      </c>
      <c r="H287" t="inlineStr">
        <is>
          <t>Municipal</t>
        </is>
      </c>
      <c r="I287" t="inlineStr">
        <is>
          <t>2025-06-23T16:52:21</t>
        </is>
      </c>
      <c r="J287" t="inlineStr">
        <is>
          <t>Pregão - Eletrônico</t>
        </is>
      </c>
      <c r="K287" t="inlineStr">
        <is>
          <t>SOLICITAÇÃO PARA FUTURA AQUISIÇÃO DE MATERIAIS ELETRICOS,  PARA ATENDER AS NECESSIDADES  DO MUNICÍPIO DE RUBIATABA, PRÉDIOS PÚBLICOS E DA ILUMINAÇÃO PUBLICA NESTE MUNICÍPIO.</t>
        </is>
      </c>
      <c r="L287" t="b">
        <v>1</v>
      </c>
      <c r="M287" t="inlineStr">
        <is>
          <t>eletrica_predial</t>
        </is>
      </c>
      <c r="N287" t="inlineStr">
        <is>
          <t>eletrica_predial</t>
        </is>
      </c>
      <c r="O287" t="n">
        <v>4049815.63</v>
      </c>
      <c r="P287" t="n">
        <v>682627.64</v>
      </c>
      <c r="Q287" t="n">
        <v>1168915.026</v>
      </c>
      <c r="R287" t="n">
        <v>0.4160160278408467</v>
      </c>
      <c r="S287" t="n">
        <v>0</v>
      </c>
      <c r="T287" t="n">
        <v>120</v>
      </c>
      <c r="U287" t="n">
        <v>40</v>
      </c>
      <c r="V287" t="n">
        <v>115</v>
      </c>
      <c r="W287" t="n">
        <v>0</v>
      </c>
      <c r="X287" t="n">
        <v>5</v>
      </c>
      <c r="Y287" t="n">
        <v>0</v>
      </c>
      <c r="Z287" t="n">
        <v>1</v>
      </c>
      <c r="AA287" t="n">
        <v>0</v>
      </c>
      <c r="AB287" t="n">
        <v>1</v>
      </c>
      <c r="AC287" t="n">
        <v>0</v>
      </c>
      <c r="AD287" t="n">
        <v>1</v>
      </c>
      <c r="AE287" t="n">
        <v>2</v>
      </c>
      <c r="AF287" t="inlineStr">
        <is>
          <t>BRASIL ILUMINACAO E CONSTRUCAO LTDA:ME; CONFFER DISTRIBUIDORA E CONSTRUCAO LTDA:ME</t>
        </is>
      </c>
      <c r="AH287" t="inlineStr">
        <is>
          <t>pontual</t>
        </is>
      </c>
      <c r="AJ287" t="n">
        <v>0</v>
      </c>
      <c r="AK287" t="n">
        <v>0</v>
      </c>
      <c r="AL287" t="n">
        <v>0</v>
      </c>
      <c r="AM287" t="n">
        <v>0</v>
      </c>
      <c r="AN287" t="n">
        <v>0</v>
      </c>
      <c r="AQ287" t="n">
        <v>1</v>
      </c>
      <c r="AR287" t="inlineStr">
        <is>
          <t>fornecimento_puro</t>
        </is>
      </c>
      <c r="AS287" t="inlineStr">
        <is>
          <t>Confirmada exclusao automatica (fornecimento_puro): 120 item(ns), todos classificados como material (sem servico).</t>
        </is>
      </c>
      <c r="AT287" t="n">
        <v>0</v>
      </c>
      <c r="AU287" t="n">
        <v>0</v>
      </c>
    </row>
    <row r="288">
      <c r="A288" t="inlineStr">
        <is>
          <t>02382836000123_2026_105</t>
        </is>
      </c>
      <c r="B288" s="2" t="inlineStr">
        <is>
          <t>https://pncp.gov.br/app/editais/02382836000123/2026/105</t>
        </is>
      </c>
      <c r="C288" t="inlineStr">
        <is>
          <t>2026-09-27T02:33:40.448634+00:00</t>
        </is>
      </c>
      <c r="D288" t="inlineStr">
        <is>
          <t>GO</t>
        </is>
      </c>
      <c r="E288" t="inlineStr">
        <is>
          <t>GO</t>
        </is>
      </c>
      <c r="F288" t="inlineStr">
        <is>
          <t>Rubiataba</t>
        </is>
      </c>
      <c r="G288" t="inlineStr">
        <is>
          <t>MUNICIPIO DE RUBIATABA</t>
        </is>
      </c>
      <c r="H288" t="inlineStr">
        <is>
          <t>Municipal</t>
        </is>
      </c>
      <c r="I288" t="inlineStr">
        <is>
          <t>2026-07-01T08:29:08</t>
        </is>
      </c>
      <c r="J288" t="inlineStr">
        <is>
          <t>Pregão - Eletrônico</t>
        </is>
      </c>
      <c r="K288" t="inlineStr">
        <is>
          <t>[Portal de Compras Públicas] - SOLICITAÇAO PARA CONTRATAÇÃO DE EMPRESA ESPECIALIZADA NA PRESTAÇÃO DE SERVIÇOS DE MANUTENÇÃO PREVENTIVA E CORRETIVA EM APARELHOS DE AR-CONDICIONADO, INCLUINDO SERVIÇOS DE INSTALAÇÃO, DESINSTALAÇÃO, REMANEJAMENTO, RECARGA DE GÁS REFRIGERANTE, MANUTENÇÃO DE COMPONENTES E FORNECIMENTO DE PEÇAS, PARA ATENDER ÀS NECESSIDADES DO MUNICÍPIO DE RUBIATABA/GO.</t>
        </is>
      </c>
      <c r="L288" t="b">
        <v>1</v>
      </c>
      <c r="M288" t="inlineStr">
        <is>
          <t>climatizacao</t>
        </is>
      </c>
      <c r="N288" t="inlineStr">
        <is>
          <t>climatizacao</t>
        </is>
      </c>
      <c r="O288" t="n">
        <v>2874344.01</v>
      </c>
      <c r="P288" t="n">
        <v>239369.95</v>
      </c>
      <c r="Q288" t="n">
        <v>1226039.76</v>
      </c>
      <c r="R288" t="n">
        <v>0.804761674286974</v>
      </c>
      <c r="S288" t="n">
        <v>0</v>
      </c>
      <c r="T288" t="n">
        <v>55</v>
      </c>
      <c r="U288" t="n">
        <v>40</v>
      </c>
      <c r="V288" t="n">
        <v>55</v>
      </c>
      <c r="W288" t="n">
        <v>0</v>
      </c>
      <c r="X288" t="n">
        <v>0</v>
      </c>
      <c r="Y288" t="n">
        <v>0</v>
      </c>
      <c r="Z288" t="n">
        <v>0</v>
      </c>
      <c r="AA288" t="n">
        <v>0</v>
      </c>
      <c r="AB288" t="n">
        <v>0</v>
      </c>
      <c r="AC288" t="n">
        <v>0</v>
      </c>
      <c r="AD288" t="n">
        <v>0</v>
      </c>
      <c r="AE288" t="n">
        <v>1</v>
      </c>
      <c r="AF288" t="inlineStr">
        <is>
          <t>ALCANCE VIBE LTDA:ME</t>
        </is>
      </c>
      <c r="AH288" t="inlineStr">
        <is>
          <t>continuado</t>
        </is>
      </c>
      <c r="AI288" t="n">
        <v>12</v>
      </c>
      <c r="AJ288" t="n">
        <v>0</v>
      </c>
      <c r="AK288" t="n">
        <v>0</v>
      </c>
      <c r="AL288" t="n">
        <v>0</v>
      </c>
      <c r="AM288" t="n">
        <v>1</v>
      </c>
      <c r="AN288" t="n">
        <v>1</v>
      </c>
      <c r="AP288" t="inlineStr">
        <is>
          <t>s normas NR -10 (Segurança em Eletricidade) e NR -35 (Trabalho em Altura). 10.36. Apresentação de atestado de capacidade técnica, expedido por pessoa jurídica de direito público ou privado, que comprove a execução, pela licitante, de serviços compatíveis em características com o objeto desta contrat…</t>
        </is>
      </c>
      <c r="AQ288" t="n">
        <v>1</v>
      </c>
      <c r="AS288" t="inlineStr">
        <is>
          <t>servico de manutencao com instalacao/recarga de gas/fornecimento de pecas por demanda = servico (par de 02382836000123_2026_106 ja incluido).</t>
        </is>
      </c>
      <c r="AT288" t="n">
        <v>1</v>
      </c>
      <c r="AU288" t="n">
        <v>1</v>
      </c>
    </row>
    <row r="289">
      <c r="A289" t="inlineStr">
        <is>
          <t>02382836000123_2026_106</t>
        </is>
      </c>
      <c r="B289" s="2" t="inlineStr">
        <is>
          <t>https://pncp.gov.br/app/editais/02382836000123/2026/106</t>
        </is>
      </c>
      <c r="C289" t="inlineStr">
        <is>
          <t>2026-09-27T02:32:51.085436+00:00</t>
        </is>
      </c>
      <c r="D289" t="inlineStr">
        <is>
          <t>GO</t>
        </is>
      </c>
      <c r="E289" t="inlineStr">
        <is>
          <t>GO</t>
        </is>
      </c>
      <c r="F289" t="inlineStr">
        <is>
          <t>Rubiataba</t>
        </is>
      </c>
      <c r="G289" t="inlineStr">
        <is>
          <t>MUNICIPIO DE RUBIATABA</t>
        </is>
      </c>
      <c r="H289" t="inlineStr">
        <is>
          <t>Municipal</t>
        </is>
      </c>
      <c r="I289" t="inlineStr">
        <is>
          <t>2026-07-01T08:53:45</t>
        </is>
      </c>
      <c r="J289" t="inlineStr">
        <is>
          <t>Pregão - Eletrônico</t>
        </is>
      </c>
      <c r="K289" t="inlineStr">
        <is>
          <t>SOLICITAÇAO PARA CONTRATAÇÃO DE EMPRESA ESPECIALIZADA NA PRESTAÇÃO DE SERVIÇOS DE MANUTENÇÃO PREVENTIVA E CORRETIVA EM APARELHOS DE AR-CONDICIONADO, INCLUINDO SERVIÇOS DE INSTALAÇÃO, DESINSTALAÇÃO, REMANEJAMENTO, RECARGA DE GÁS REFRIGERANTE, MANUTENÇÃO DE COMPONENTES E FORNECIMENTO DE PEÇAS, PARA ATENDER ÀS NECESSIDADES DO MUNICÍPIO DE RUBIATABA/GO.</t>
        </is>
      </c>
      <c r="L289" t="b">
        <v>1</v>
      </c>
      <c r="M289" t="inlineStr">
        <is>
          <t>climatizacao</t>
        </is>
      </c>
      <c r="N289" t="inlineStr">
        <is>
          <t>climatizacao</t>
        </is>
      </c>
      <c r="O289" t="n">
        <v>2874352.51</v>
      </c>
      <c r="P289" t="n">
        <v>239369.95</v>
      </c>
      <c r="Q289" t="n">
        <v>1226047.2289</v>
      </c>
      <c r="R289" t="n">
        <v>0.8047628636502355</v>
      </c>
      <c r="S289" t="n">
        <v>0</v>
      </c>
      <c r="T289" t="n">
        <v>55</v>
      </c>
      <c r="U289" t="n">
        <v>40</v>
      </c>
      <c r="V289" t="n">
        <v>55</v>
      </c>
      <c r="W289" t="n">
        <v>0</v>
      </c>
      <c r="X289" t="n">
        <v>0</v>
      </c>
      <c r="Y289" t="n">
        <v>0</v>
      </c>
      <c r="Z289" t="n">
        <v>0</v>
      </c>
      <c r="AA289" t="n">
        <v>0</v>
      </c>
      <c r="AB289" t="n">
        <v>0</v>
      </c>
      <c r="AC289" t="n">
        <v>0</v>
      </c>
      <c r="AD289" t="n">
        <v>0</v>
      </c>
      <c r="AE289" t="n">
        <v>1</v>
      </c>
      <c r="AF289" t="inlineStr">
        <is>
          <t>ALCANCE VIBE LTDA:ME</t>
        </is>
      </c>
      <c r="AH289" t="inlineStr">
        <is>
          <t>continuado</t>
        </is>
      </c>
      <c r="AI289" t="n">
        <v>12</v>
      </c>
      <c r="AJ289" t="n">
        <v>0</v>
      </c>
      <c r="AK289" t="n">
        <v>0</v>
      </c>
      <c r="AL289" t="n">
        <v>0</v>
      </c>
      <c r="AM289" t="n">
        <v>1</v>
      </c>
      <c r="AN289" t="n">
        <v>1</v>
      </c>
      <c r="AP289" t="inlineStr">
        <is>
          <t>s normas NR -10 (Segurança em Eletricidade) e NR -35 (Trabalho em Altura). 10.36. Apresentação de atestado de capacidade técnica, expedido por pessoa jurídica de direito público ou privado, que comprove a execução, pela licitante, de serviços compatíveis em características com o objeto desta contrat…</t>
        </is>
      </c>
      <c r="AQ289" t="n">
        <v>0</v>
      </c>
      <c r="AS289" t="inlineStr">
        <is>
          <t>heuristica automatica confirmada: servico real de climatizacao, sem sinais de exclusao.</t>
        </is>
      </c>
      <c r="AT289" t="n">
        <v>0</v>
      </c>
      <c r="AU289" t="n">
        <v>1</v>
      </c>
    </row>
    <row r="290">
      <c r="A290" t="inlineStr">
        <is>
          <t>02394757000132_2025_181</t>
        </is>
      </c>
      <c r="B290" s="2" t="inlineStr">
        <is>
          <t>https://pncp.gov.br/app/editais/02394757000132/2025/181</t>
        </is>
      </c>
      <c r="C290" t="inlineStr">
        <is>
          <t>2026-09-27T04:13:18.535120+00:00</t>
        </is>
      </c>
      <c r="D290" t="inlineStr">
        <is>
          <t>GO</t>
        </is>
      </c>
      <c r="E290" t="inlineStr">
        <is>
          <t>GO</t>
        </is>
      </c>
      <c r="F290" t="inlineStr">
        <is>
          <t>Palmeiras de Goiás</t>
        </is>
      </c>
      <c r="G290" t="inlineStr">
        <is>
          <t>MUNICIPIO DE PALMEIRAS DE GOIAS</t>
        </is>
      </c>
      <c r="H290" t="inlineStr">
        <is>
          <t>Municipal</t>
        </is>
      </c>
      <c r="I290" t="inlineStr">
        <is>
          <t>2025-07-28T15:30:16</t>
        </is>
      </c>
      <c r="J290" t="inlineStr">
        <is>
          <t>Pregão - Eletrônico</t>
        </is>
      </c>
      <c r="K290" t="inlineStr">
        <is>
          <t>AQUISIÇÃO DE MATERIAL ELETRICO</t>
        </is>
      </c>
      <c r="L290" t="b">
        <v>1</v>
      </c>
      <c r="M290" t="inlineStr">
        <is>
          <t>eletrica_predial</t>
        </is>
      </c>
      <c r="N290" t="inlineStr">
        <is>
          <t>eletrica_predial</t>
        </is>
      </c>
      <c r="O290" t="n">
        <v>1722272.72</v>
      </c>
      <c r="P290" t="n">
        <v>57902.26</v>
      </c>
      <c r="Q290" t="n">
        <v>131380.2984</v>
      </c>
      <c r="R290" t="n">
        <v>0.5592774509941287</v>
      </c>
      <c r="S290" t="n">
        <v>0</v>
      </c>
      <c r="T290" t="n">
        <v>125</v>
      </c>
      <c r="U290" t="n">
        <v>40</v>
      </c>
      <c r="V290" t="n">
        <v>107</v>
      </c>
      <c r="W290" t="n">
        <v>0</v>
      </c>
      <c r="X290" t="n">
        <v>0</v>
      </c>
      <c r="Y290" t="n">
        <v>0</v>
      </c>
      <c r="Z290" t="n">
        <v>0</v>
      </c>
      <c r="AA290" t="n">
        <v>0</v>
      </c>
      <c r="AB290" t="n">
        <v>0</v>
      </c>
      <c r="AC290" t="n">
        <v>0</v>
      </c>
      <c r="AD290" t="n">
        <v>0</v>
      </c>
      <c r="AE290" t="n">
        <v>4</v>
      </c>
      <c r="AF290" t="inlineStr">
        <is>
          <t>COMERCIAL FPS LTDA:ME; LBM FERRAGISTA E MATERIAIS DE CONSTRUCAO LTDA:ME; LEDLUZ INDUSTRIA E COMERCIO LTDA:ME; CONSTRULUZ COMERCIO E SERVIÇOS LTDA:ME</t>
        </is>
      </c>
      <c r="AH290" t="inlineStr">
        <is>
          <t>pontual</t>
        </is>
      </c>
      <c r="AJ290" t="n">
        <v>0</v>
      </c>
      <c r="AK290" t="n">
        <v>0</v>
      </c>
      <c r="AL290" t="n">
        <v>0</v>
      </c>
      <c r="AM290" t="n">
        <v>0</v>
      </c>
      <c r="AN290" t="n">
        <v>0</v>
      </c>
      <c r="AQ290" t="n">
        <v>1</v>
      </c>
      <c r="AR290" t="inlineStr">
        <is>
          <t>fornecimento_puro</t>
        </is>
      </c>
      <c r="AS290" t="inlineStr">
        <is>
          <t>Confirmada exclusao automatica (fornecimento_puro): 125 item(ns), todos classificados como material (sem servico).</t>
        </is>
      </c>
      <c r="AT290" t="n">
        <v>0</v>
      </c>
      <c r="AU290" t="n">
        <v>0</v>
      </c>
    </row>
    <row r="291">
      <c r="A291" t="inlineStr">
        <is>
          <t>02394757000132_2025_237</t>
        </is>
      </c>
      <c r="B291" s="2" t="inlineStr">
        <is>
          <t>https://pncp.gov.br/app/editais/02394757000132/2025/237</t>
        </is>
      </c>
      <c r="C291" t="inlineStr">
        <is>
          <t>2026-09-27T02:47:31.304054+00:00</t>
        </is>
      </c>
      <c r="D291" t="inlineStr">
        <is>
          <t>GO</t>
        </is>
      </c>
      <c r="E291" t="inlineStr">
        <is>
          <t>GO</t>
        </is>
      </c>
      <c r="F291" t="inlineStr">
        <is>
          <t>Palmeiras de Goiás</t>
        </is>
      </c>
      <c r="G291" t="inlineStr">
        <is>
          <t>MUNICIPIO DE PALMEIRAS DE GOIAS</t>
        </is>
      </c>
      <c r="H291" t="inlineStr">
        <is>
          <t>Municipal</t>
        </is>
      </c>
      <c r="I291" t="inlineStr">
        <is>
          <t>2025-10-07T08:24:45</t>
        </is>
      </c>
      <c r="J291" t="inlineStr">
        <is>
          <t>Pregão - Eletrônico</t>
        </is>
      </c>
      <c r="K291" t="inlineStr">
        <is>
          <t>Contratação de empresa especializada em manutenção preventiva e corretiva de aparelhos de Ar Condicionado pelo período de 12 meses</t>
        </is>
      </c>
      <c r="L291" t="b">
        <v>0</v>
      </c>
      <c r="M291" t="inlineStr">
        <is>
          <t>climatizacao</t>
        </is>
      </c>
      <c r="N291" t="inlineStr">
        <is>
          <t>climatizacao</t>
        </is>
      </c>
      <c r="O291" t="n">
        <v>409242.85</v>
      </c>
      <c r="P291" t="n">
        <v>199999.0000000001</v>
      </c>
      <c r="Q291" t="n">
        <v>409242.85</v>
      </c>
      <c r="R291" t="n">
        <v>0.5112950659980987</v>
      </c>
      <c r="S291" t="n">
        <v>0</v>
      </c>
      <c r="T291" t="n">
        <v>25</v>
      </c>
      <c r="U291" t="n">
        <v>25</v>
      </c>
      <c r="V291" t="n">
        <v>25</v>
      </c>
      <c r="W291" t="n">
        <v>0</v>
      </c>
      <c r="X291" t="n">
        <v>0</v>
      </c>
      <c r="Y291" t="n">
        <v>0</v>
      </c>
      <c r="Z291" t="n">
        <v>0</v>
      </c>
      <c r="AA291" t="n">
        <v>0</v>
      </c>
      <c r="AB291" t="n">
        <v>0</v>
      </c>
      <c r="AC291" t="n">
        <v>0</v>
      </c>
      <c r="AD291" t="n">
        <v>0</v>
      </c>
      <c r="AE291" t="n">
        <v>1</v>
      </c>
      <c r="AF291" t="inlineStr">
        <is>
          <t>PRIME ENGENHARIA E CONSULTORIA LTDA:ME</t>
        </is>
      </c>
      <c r="AH291" t="inlineStr">
        <is>
          <t>indefinido</t>
        </is>
      </c>
      <c r="AI291" t="n">
        <v>12</v>
      </c>
      <c r="AJ291" t="n">
        <v>0</v>
      </c>
      <c r="AK291" t="n">
        <v>0</v>
      </c>
      <c r="AL291" t="n">
        <v>0</v>
      </c>
      <c r="AM291" t="n">
        <v>0</v>
      </c>
      <c r="AN291" t="n">
        <v>0</v>
      </c>
      <c r="AQ291" t="n">
        <v>0</v>
      </c>
      <c r="AS291" t="inlineStr">
        <is>
          <t>heuristica automatica confirmada: servico real de climatizacao, sem sinais de exclusao.</t>
        </is>
      </c>
      <c r="AT291" t="n">
        <v>0</v>
      </c>
      <c r="AU291" t="n">
        <v>1</v>
      </c>
    </row>
    <row r="292">
      <c r="A292" t="inlineStr">
        <is>
          <t>02394757000132_2025_264</t>
        </is>
      </c>
      <c r="B292" s="2" t="inlineStr">
        <is>
          <t>https://pncp.gov.br/app/editais/02394757000132/2025/264</t>
        </is>
      </c>
      <c r="C292" t="inlineStr">
        <is>
          <t>2026-09-27T04:45:24.610266+00:00</t>
        </is>
      </c>
      <c r="D292" t="inlineStr">
        <is>
          <t>GO</t>
        </is>
      </c>
      <c r="E292" t="inlineStr">
        <is>
          <t>GO</t>
        </is>
      </c>
      <c r="F292" t="inlineStr">
        <is>
          <t>Palmeiras de Goiás</t>
        </is>
      </c>
      <c r="G292" t="inlineStr">
        <is>
          <t>MUNICIPIO DE PALMEIRAS DE GOIAS</t>
        </is>
      </c>
      <c r="H292" t="inlineStr">
        <is>
          <t>Municipal</t>
        </is>
      </c>
      <c r="I292" t="inlineStr">
        <is>
          <t>2025-11-19T08:06:18</t>
        </is>
      </c>
      <c r="J292" t="inlineStr">
        <is>
          <t>Pregão - Eletrônico</t>
        </is>
      </c>
      <c r="K292" t="inlineStr">
        <is>
          <t>Contratação de empresa especializada para a prestação de serviços necessários para à realização dos eventos do Município. (PALCO, LED, ILUMINAÇÃO, SONORIZAÇÃO ENTRE OUTROS)</t>
        </is>
      </c>
      <c r="L292" t="b">
        <v>1</v>
      </c>
      <c r="M292" t="inlineStr">
        <is>
          <t>iluminacao_publica</t>
        </is>
      </c>
      <c r="N292" t="inlineStr">
        <is>
          <t>iluminacao_publica</t>
        </is>
      </c>
      <c r="O292" t="n">
        <v>5035777</v>
      </c>
      <c r="P292" t="n">
        <v>3715149.4</v>
      </c>
      <c r="Q292" t="n">
        <v>5035777</v>
      </c>
      <c r="R292" t="n">
        <v>-1.042415579562002</v>
      </c>
      <c r="S292" t="n">
        <v>1</v>
      </c>
      <c r="T292" t="n">
        <v>20</v>
      </c>
      <c r="U292" t="n">
        <v>20</v>
      </c>
      <c r="V292" t="n">
        <v>20</v>
      </c>
      <c r="W292" t="n">
        <v>0</v>
      </c>
      <c r="X292" t="n">
        <v>0</v>
      </c>
      <c r="Y292" t="n">
        <v>0</v>
      </c>
      <c r="Z292" t="n">
        <v>0</v>
      </c>
      <c r="AA292" t="n">
        <v>0</v>
      </c>
      <c r="AB292" t="n">
        <v>0</v>
      </c>
      <c r="AC292" t="n">
        <v>0</v>
      </c>
      <c r="AD292" t="n">
        <v>0</v>
      </c>
      <c r="AE292" t="n">
        <v>5</v>
      </c>
      <c r="AF292" t="inlineStr">
        <is>
          <t>FC LOCACAO DE GERADORES E ESTRUTURAS PARA EVENTOS LTDA:ME; LUZ LED GERADORES E ENTRETENIMENTOS LTDA:ME; ART SOM EVENTOS EIRELI-ME:ME; FABRICA DE SHOWS PRODUÇÕES E EVENTOS LTDA:ME; ESTRUTURA SOM PRODUÇÕES E EVENTOS LTDA:ME</t>
        </is>
      </c>
      <c r="AH292" t="inlineStr">
        <is>
          <t>indefinido</t>
        </is>
      </c>
      <c r="AJ292" t="n">
        <v>0</v>
      </c>
      <c r="AK292" t="n">
        <v>0</v>
      </c>
      <c r="AL292" t="n">
        <v>0</v>
      </c>
      <c r="AM292" t="n">
        <v>0</v>
      </c>
      <c r="AN292" t="n">
        <v>0</v>
      </c>
      <c r="AQ292" t="n">
        <v>0</v>
      </c>
      <c r="AR292" t="inlineStr">
        <is>
          <t>mencao_passagem</t>
        </is>
      </c>
      <c r="AS292" t="inlineStr">
        <is>
          <t>Contratação para eventos do município (palco, LED, iluminação, sonorização); não é manutenção de IP.</t>
        </is>
      </c>
      <c r="AT292" t="n">
        <v>0</v>
      </c>
      <c r="AU292" t="n">
        <v>0</v>
      </c>
    </row>
    <row r="293">
      <c r="A293" t="inlineStr">
        <is>
          <t>02394765000189_2025_418</t>
        </is>
      </c>
      <c r="B293" s="2" t="inlineStr">
        <is>
          <t>https://pncp.gov.br/app/editais/02394765000189/2025/418</t>
        </is>
      </c>
      <c r="C293" t="inlineStr">
        <is>
          <t>2026-09-27T04:11:33.839982+00:00</t>
        </is>
      </c>
      <c r="D293" t="inlineStr">
        <is>
          <t>GO</t>
        </is>
      </c>
      <c r="E293" t="inlineStr">
        <is>
          <t>GO</t>
        </is>
      </c>
      <c r="F293" t="inlineStr">
        <is>
          <t>Paraúna</t>
        </is>
      </c>
      <c r="G293" t="inlineStr">
        <is>
          <t>MUNICIPIO DE PARAUNA</t>
        </is>
      </c>
      <c r="H293" t="inlineStr">
        <is>
          <t>Municipal</t>
        </is>
      </c>
      <c r="I293" t="inlineStr">
        <is>
          <t>2025-08-06T15:39:38</t>
        </is>
      </c>
      <c r="J293" t="inlineStr">
        <is>
          <t>Pregão - Presencial</t>
        </is>
      </c>
      <c r="K293" t="inlineStr">
        <is>
          <t>ADESÃO À ATA DE REGISTRO DE PREÇOS N° 010/2025, REFERENTE AO PROCESSO N° 27129/2025, PREGÃO PRESENCIAL N° 006/2025, REALIZADO PELA PREFEITURA MUNICIPAL DE MATRINCHÃ, VISANDO À AQUISIÇÃO DE MATERIAIS ELÉTRICOS E FERRAMENTAS DESTINADOS À EXECUÇÃO DE REPAROS E MANUTENÇÕES NA REDE DE ILUMINAÇÃO PÚBLICA DO MUNICÍPIO, PARA ATENDIMENTO ÀS DEMANDAS DA SECRETARIA DE INFRAESTRUTURA E SERVIÇOS PÚBLICOS, PELO PERÍODO DE 12 (DOZE) MESES.</t>
        </is>
      </c>
      <c r="L293" t="b">
        <v>1</v>
      </c>
      <c r="M293" t="inlineStr">
        <is>
          <t>eletrica_predial</t>
        </is>
      </c>
      <c r="N293" t="inlineStr">
        <is>
          <t>eletrica_predial</t>
        </is>
      </c>
      <c r="O293" t="n">
        <v>328659.45</v>
      </c>
      <c r="P293" t="n">
        <v>150884.38</v>
      </c>
      <c r="Q293" t="n">
        <v>171539.62</v>
      </c>
      <c r="R293" t="n">
        <v>0.1204108998259411</v>
      </c>
      <c r="S293" t="n">
        <v>0</v>
      </c>
      <c r="T293" t="n">
        <v>69</v>
      </c>
      <c r="U293" t="n">
        <v>40</v>
      </c>
      <c r="V293" t="n">
        <v>69</v>
      </c>
      <c r="W293" t="n">
        <v>0</v>
      </c>
      <c r="X293" t="n">
        <v>0</v>
      </c>
      <c r="Y293" t="n">
        <v>0</v>
      </c>
      <c r="Z293" t="n">
        <v>0</v>
      </c>
      <c r="AA293" t="n">
        <v>0</v>
      </c>
      <c r="AB293" t="n">
        <v>0</v>
      </c>
      <c r="AC293" t="n">
        <v>0</v>
      </c>
      <c r="AD293" t="n">
        <v>0</v>
      </c>
      <c r="AE293" t="n">
        <v>3</v>
      </c>
      <c r="AF293" t="inlineStr">
        <is>
          <t>LUCIAN LOUREDO GOMES DE ARAUJO:Demais; BRASIL ILUMINACAO E CONSTRUCAO EIRELI:Demais; CONSTRUVITA COMERCIO E SERVICOS LTDA:Demais</t>
        </is>
      </c>
      <c r="AH293" t="inlineStr">
        <is>
          <t>pontual</t>
        </is>
      </c>
      <c r="AJ293" t="n">
        <v>0</v>
      </c>
      <c r="AK293" t="n">
        <v>0</v>
      </c>
      <c r="AL293" t="n">
        <v>0</v>
      </c>
      <c r="AM293" t="n">
        <v>0</v>
      </c>
      <c r="AN293" t="n">
        <v>0</v>
      </c>
      <c r="AQ293" t="n">
        <v>1</v>
      </c>
      <c r="AR293" t="inlineStr">
        <is>
          <t>fornecimento_puro</t>
        </is>
      </c>
      <c r="AS293" t="inlineStr">
        <is>
          <t>Confirmada exclusao automatica (fornecimento_puro): 69 item(ns), todos classificados como material (sem servico).</t>
        </is>
      </c>
      <c r="AT293" t="n">
        <v>1</v>
      </c>
      <c r="AU293" t="n">
        <v>0</v>
      </c>
    </row>
    <row r="294">
      <c r="A294" t="inlineStr">
        <is>
          <t>02395812000109_2026_48</t>
        </is>
      </c>
      <c r="B294" s="2" t="inlineStr">
        <is>
          <t>https://pncp.gov.br/app/editais/02395812000109/2026/48</t>
        </is>
      </c>
      <c r="C294" t="inlineStr">
        <is>
          <t>2026-09-27T04:28:19.139291+00:00</t>
        </is>
      </c>
      <c r="D294" t="inlineStr">
        <is>
          <t>GO</t>
        </is>
      </c>
      <c r="E294" t="inlineStr">
        <is>
          <t>GO</t>
        </is>
      </c>
      <c r="F294" t="inlineStr">
        <is>
          <t>Formoso</t>
        </is>
      </c>
      <c r="G294" t="inlineStr">
        <is>
          <t>MUNICIPIO DE FORMOSO</t>
        </is>
      </c>
      <c r="H294" t="inlineStr">
        <is>
          <t>Municipal</t>
        </is>
      </c>
      <c r="I294" t="inlineStr">
        <is>
          <t>2026-06-16T16:44:44</t>
        </is>
      </c>
      <c r="J294" t="inlineStr">
        <is>
          <t>Pregão - Presencial</t>
        </is>
      </c>
      <c r="K294" t="inlineStr">
        <is>
          <t>REGISTRO DE PREÇOS PARA CONTRATAÇÃO, SOB DEMANDA, DE EMPRESA ESPECIALIZADA NA PRESTAÇÃO DE SERVIÇOS DE LOCAÇÃO DE ESTRUTURAS, SONORIZAÇÃO, PALCO E ILUMINAÇÃO PARA REALIZAÇÃO DE EVENTO NO MUNICÍPIO DE FORMOSO/GO.</t>
        </is>
      </c>
      <c r="L294" t="b">
        <v>1</v>
      </c>
      <c r="M294" t="inlineStr">
        <is>
          <t>iluminacao_publica</t>
        </is>
      </c>
      <c r="N294" t="inlineStr">
        <is>
          <t>iluminacao_publica</t>
        </is>
      </c>
      <c r="O294" t="n">
        <v>1981315.25</v>
      </c>
      <c r="P294" t="n">
        <v>1858162.5</v>
      </c>
      <c r="Q294" t="n">
        <v>1975428.25</v>
      </c>
      <c r="R294" t="n">
        <v>0.05936219146405344</v>
      </c>
      <c r="S294" t="n">
        <v>0</v>
      </c>
      <c r="T294" t="n">
        <v>41</v>
      </c>
      <c r="U294" t="n">
        <v>40</v>
      </c>
      <c r="V294" t="n">
        <v>41</v>
      </c>
      <c r="W294" t="n">
        <v>0</v>
      </c>
      <c r="X294" t="n">
        <v>0</v>
      </c>
      <c r="Y294" t="n">
        <v>0</v>
      </c>
      <c r="Z294" t="n">
        <v>0</v>
      </c>
      <c r="AA294" t="n">
        <v>0</v>
      </c>
      <c r="AB294" t="n">
        <v>0</v>
      </c>
      <c r="AC294" t="n">
        <v>0</v>
      </c>
      <c r="AD294" t="n">
        <v>0</v>
      </c>
      <c r="AE294" t="n">
        <v>2</v>
      </c>
      <c r="AF294" t="inlineStr">
        <is>
          <t>DISPAULO LTDA:ME; 55.383.303 AMARYLLO JHONATAS DO CARMO SILVA:ME</t>
        </is>
      </c>
      <c r="AH294" t="inlineStr">
        <is>
          <t>pontual</t>
        </is>
      </c>
      <c r="AJ294" t="n">
        <v>0</v>
      </c>
      <c r="AK294" t="n">
        <v>0</v>
      </c>
      <c r="AL294" t="n">
        <v>0</v>
      </c>
      <c r="AM294" t="n">
        <v>1</v>
      </c>
      <c r="AN294" t="n">
        <v>1</v>
      </c>
      <c r="AQ294" t="n">
        <v>1</v>
      </c>
      <c r="AR294" t="inlineStr">
        <is>
          <t>mencao_passagem</t>
        </is>
      </c>
      <c r="AS294" t="inlineStr">
        <is>
          <t>Locação de estruturas, sonorização, palco e iluminação para evento; não é manutenção de IP.</t>
        </is>
      </c>
      <c r="AT294" t="n">
        <v>1</v>
      </c>
      <c r="AU294" t="n">
        <v>0</v>
      </c>
    </row>
    <row r="295">
      <c r="A295" t="inlineStr">
        <is>
          <t>02395812000109_2026_62</t>
        </is>
      </c>
      <c r="B295" s="2" t="inlineStr">
        <is>
          <t>https://pncp.gov.br/app/editais/02395812000109/2026/62</t>
        </is>
      </c>
      <c r="C295" t="inlineStr">
        <is>
          <t>2026-09-27T04:24:13.729556+00:00</t>
        </is>
      </c>
      <c r="D295" t="inlineStr">
        <is>
          <t>GO</t>
        </is>
      </c>
      <c r="E295" t="inlineStr">
        <is>
          <t>GO</t>
        </is>
      </c>
      <c r="F295" t="inlineStr">
        <is>
          <t>Formoso</t>
        </is>
      </c>
      <c r="G295" t="inlineStr">
        <is>
          <t>MUNICIPIO DE FORMOSO</t>
        </is>
      </c>
      <c r="H295" t="inlineStr">
        <is>
          <t>Municipal</t>
        </is>
      </c>
      <c r="I295" t="inlineStr">
        <is>
          <t>2026-07-27T09:58:47</t>
        </is>
      </c>
      <c r="J295" t="inlineStr">
        <is>
          <t>Pregão - Presencial</t>
        </is>
      </c>
      <c r="K295" t="inlineStr">
        <is>
          <t>SOLICITAÇÃO DE ABERTURA DE PROCEDIMENTO PARA ADESÃO À ATA DE REGISTRO DE PREÇOS VISANDO A CONTRATAÇÃO DE EMPRESA PARA O EVENTUAL FORNECIMENTO DE MATERIAL ELÉTRICO E DE ILUMINAÇÃO PÚBLICA, OBJETIVANDO ATENDER ÀS NECESSIDADES DA PREFEITURA MUNICIPAL DE FORMOSO/GO E SUAS SECRETARIAS.</t>
        </is>
      </c>
      <c r="L295" t="b">
        <v>1</v>
      </c>
      <c r="M295" t="inlineStr">
        <is>
          <t>iluminacao_publica</t>
        </is>
      </c>
      <c r="N295" t="inlineStr">
        <is>
          <t>iluminacao_publica</t>
        </is>
      </c>
      <c r="O295" t="n">
        <v>1074808.85</v>
      </c>
      <c r="P295" t="n">
        <v>192672.8</v>
      </c>
      <c r="Q295" t="n">
        <v>204125.7602</v>
      </c>
      <c r="R295" t="n">
        <v>0.05610737316435965</v>
      </c>
      <c r="S295" t="n">
        <v>0</v>
      </c>
      <c r="T295" t="n">
        <v>130</v>
      </c>
      <c r="U295" t="n">
        <v>40</v>
      </c>
      <c r="V295" t="n">
        <v>130</v>
      </c>
      <c r="W295" t="n">
        <v>0</v>
      </c>
      <c r="X295" t="n">
        <v>0</v>
      </c>
      <c r="Y295" t="n">
        <v>0</v>
      </c>
      <c r="Z295" t="n">
        <v>0</v>
      </c>
      <c r="AA295" t="n">
        <v>0</v>
      </c>
      <c r="AB295" t="n">
        <v>0</v>
      </c>
      <c r="AC295" t="n">
        <v>0</v>
      </c>
      <c r="AD295" t="n">
        <v>0</v>
      </c>
      <c r="AE295" t="n">
        <v>1</v>
      </c>
      <c r="AF295" t="inlineStr">
        <is>
          <t>OUROLUZ MATERIAIS ELETRICOS E ILUMINACAO LTDA:Demais</t>
        </is>
      </c>
      <c r="AH295" t="inlineStr">
        <is>
          <t>pontual</t>
        </is>
      </c>
      <c r="AJ295" t="n">
        <v>0</v>
      </c>
      <c r="AK295" t="n">
        <v>0</v>
      </c>
      <c r="AL295" t="n">
        <v>0</v>
      </c>
      <c r="AM295" t="n">
        <v>0</v>
      </c>
      <c r="AN295" t="n">
        <v>0</v>
      </c>
      <c r="AQ295" t="n">
        <v>1</v>
      </c>
      <c r="AR295" t="inlineStr">
        <is>
          <t>fornecimento_puro</t>
        </is>
      </c>
      <c r="AS295" t="inlineStr">
        <is>
          <t>Registro de preços/contratação de fornecimento de materiais, sem mão de obra de manutenção contratada.</t>
        </is>
      </c>
      <c r="AT295" t="n">
        <v>0</v>
      </c>
      <c r="AU295" t="n">
        <v>0</v>
      </c>
    </row>
    <row r="296">
      <c r="A296" t="inlineStr">
        <is>
          <t>02396166000102_2025_1</t>
        </is>
      </c>
      <c r="B296" s="2" t="inlineStr">
        <is>
          <t>https://pncp.gov.br/app/editais/02396166000102/2025/1</t>
        </is>
      </c>
      <c r="C296" t="inlineStr">
        <is>
          <t>2026-09-27T05:42:04.221721+00:00</t>
        </is>
      </c>
      <c r="D296" t="inlineStr">
        <is>
          <t>TO</t>
        </is>
      </c>
      <c r="E296" t="inlineStr">
        <is>
          <t>vizinhos</t>
        </is>
      </c>
      <c r="F296" t="inlineStr">
        <is>
          <t>Peixe</t>
        </is>
      </c>
      <c r="G296" t="inlineStr">
        <is>
          <t>MUNICIPIO DE PEIXE</t>
        </is>
      </c>
      <c r="H296" t="inlineStr">
        <is>
          <t>Municipal</t>
        </is>
      </c>
      <c r="I296" t="inlineStr">
        <is>
          <t>2026-06-08T10:38:17</t>
        </is>
      </c>
      <c r="J296" t="inlineStr">
        <is>
          <t>Concorrência - Eletrônica</t>
        </is>
      </c>
      <c r="K296" t="inlineStr">
        <is>
          <t>CONTRATAÇÃO DE EMPRESA ESPECIALIZADA EM ENGENHARIA PARA CONCLUSÃO DAS OBRAS DE INFRAESTRUTURA URBANA NO MUNICÍPIO DE PEIXE-TO, COMPREENDENDO A EXECUÇÃO DE 60.164,01 M² DE PAVIMENTAÇÃO ASFÁLTICA EM TSD, 1.427,60 M³ DE PASSEIOS (CALÇADAS), 17.663,78M DE MEIO-FIO, SINALIZAÇÃO VIÁRIA E IMPLANTAÇÃO DE 34 POSTES DE ILUMINAÇÃO PÚBLICA EM AÇO CÔNICO CONTÍNUO CURVO DUPLO DE 9,00M DE ALTURA, COM LUMINÁRIAS, PINTURA E ATERRAMENTO, TUDO ORIUNDO DO CONVENIO PLATAFORMA+BRASIL Nº 938331/2022, CONFORME PROJETOS, PLANILHA ORÇAMENTÁRIA, CRONOGRAMA, MEMORIAL DESCRITIVO E DEMAIS ESPECIFICAÇÕES.</t>
        </is>
      </c>
      <c r="L296" t="b">
        <v>0</v>
      </c>
      <c r="M296" t="inlineStr">
        <is>
          <t>munck</t>
        </is>
      </c>
      <c r="N296" t="inlineStr">
        <is>
          <t>munck</t>
        </is>
      </c>
      <c r="O296" t="n">
        <v>9055837.640000001</v>
      </c>
      <c r="P296" t="n">
        <v>7102240.5</v>
      </c>
      <c r="Q296" t="n">
        <v>9055837.640000001</v>
      </c>
      <c r="R296" t="n">
        <v>0.2157279334791608</v>
      </c>
      <c r="S296" t="n">
        <v>0</v>
      </c>
      <c r="T296" t="n">
        <v>2</v>
      </c>
      <c r="U296" t="n">
        <v>2</v>
      </c>
      <c r="V296" t="n">
        <v>2</v>
      </c>
      <c r="W296" t="n">
        <v>0</v>
      </c>
      <c r="X296" t="n">
        <v>0</v>
      </c>
      <c r="Y296" t="n">
        <v>0</v>
      </c>
      <c r="Z296" t="n">
        <v>0</v>
      </c>
      <c r="AA296" t="n">
        <v>0</v>
      </c>
      <c r="AB296" t="n">
        <v>0</v>
      </c>
      <c r="AC296" t="n">
        <v>0</v>
      </c>
      <c r="AD296" t="n">
        <v>0</v>
      </c>
      <c r="AE296" t="n">
        <v>1</v>
      </c>
      <c r="AF296" t="inlineStr">
        <is>
          <t>PLENO CONSTRUCOES LTDA:Demais</t>
        </is>
      </c>
      <c r="AH296" t="inlineStr">
        <is>
          <t>indefinido</t>
        </is>
      </c>
      <c r="AJ296" t="n">
        <v>0</v>
      </c>
      <c r="AK296" t="n">
        <v>0</v>
      </c>
      <c r="AL296" t="n">
        <v>0</v>
      </c>
      <c r="AM296" t="n">
        <v>0</v>
      </c>
      <c r="AN296" t="n">
        <v>0</v>
      </c>
      <c r="AQ296" t="n">
        <v>0</v>
      </c>
      <c r="AR296" t="inlineStr">
        <is>
          <t>obra_grande</t>
        </is>
      </c>
      <c r="AS296" t="inlineStr">
        <is>
          <t>Obra de infraestrutura urbana (pavimentação asfáltica, calçadas, meio-fio, sinalização) com implantação de 34 postes de iluminação como item incidental; valor R$9,06 milhões &gt; limiar de R$1,5 milhão -- confirma exclusão por obra_grande.</t>
        </is>
      </c>
      <c r="AT296" t="n">
        <v>0</v>
      </c>
      <c r="AU296" t="n">
        <v>0</v>
      </c>
    </row>
    <row r="297">
      <c r="A297" t="inlineStr">
        <is>
          <t>02451938000153_2025_346</t>
        </is>
      </c>
      <c r="B297" s="2" t="inlineStr">
        <is>
          <t>https://pncp.gov.br/app/editais/02451938000153/2025/346</t>
        </is>
      </c>
      <c r="C297" t="inlineStr">
        <is>
          <t>2026-09-27T04:02:32.908914+00:00</t>
        </is>
      </c>
      <c r="D297" t="inlineStr">
        <is>
          <t>GO</t>
        </is>
      </c>
      <c r="E297" t="inlineStr">
        <is>
          <t>GO</t>
        </is>
      </c>
      <c r="F297" t="inlineStr">
        <is>
          <t>Itaberaí</t>
        </is>
      </c>
      <c r="G297" t="inlineStr">
        <is>
          <t>MUNICIPIO DE ITABERAI</t>
        </is>
      </c>
      <c r="H297" t="inlineStr">
        <is>
          <t>Municipal</t>
        </is>
      </c>
      <c r="I297" t="inlineStr">
        <is>
          <t>2025-10-30T07:00:01</t>
        </is>
      </c>
      <c r="J297" t="inlineStr">
        <is>
          <t>Concorrência - Eletrônica</t>
        </is>
      </c>
      <c r="K297" t="inlineStr">
        <is>
          <t>Construção de cobertura para espaço de vivência e reforma de instalaçõees elétricas na Escola Padre Elígio</t>
        </is>
      </c>
      <c r="L297" t="b">
        <v>0</v>
      </c>
      <c r="M297" t="inlineStr">
        <is>
          <t>eletrica_predial</t>
        </is>
      </c>
      <c r="N297" t="inlineStr">
        <is>
          <t>eletrica_predial</t>
        </is>
      </c>
      <c r="O297" t="n">
        <v>796669.59</v>
      </c>
      <c r="P297" t="n">
        <v>749000</v>
      </c>
      <c r="Q297" t="n">
        <v>796669.59</v>
      </c>
      <c r="R297" t="n">
        <v>0.05983608587344214</v>
      </c>
      <c r="S297" t="n">
        <v>0</v>
      </c>
      <c r="T297" t="n">
        <v>1</v>
      </c>
      <c r="U297" t="n">
        <v>1</v>
      </c>
      <c r="V297" t="n">
        <v>1</v>
      </c>
      <c r="W297" t="n">
        <v>0</v>
      </c>
      <c r="X297" t="n">
        <v>0</v>
      </c>
      <c r="Y297" t="n">
        <v>0</v>
      </c>
      <c r="Z297" t="n">
        <v>0</v>
      </c>
      <c r="AA297" t="n">
        <v>0</v>
      </c>
      <c r="AB297" t="n">
        <v>0</v>
      </c>
      <c r="AC297" t="n">
        <v>0</v>
      </c>
      <c r="AD297" t="n">
        <v>0</v>
      </c>
      <c r="AE297" t="n">
        <v>1</v>
      </c>
      <c r="AF297" t="inlineStr">
        <is>
          <t>SWS ENGENHARIA LTDA:ME</t>
        </is>
      </c>
      <c r="AH297" t="inlineStr">
        <is>
          <t>indefinido</t>
        </is>
      </c>
      <c r="AJ297" t="n">
        <v>0</v>
      </c>
      <c r="AK297" t="n">
        <v>0</v>
      </c>
      <c r="AL297" t="n">
        <v>0</v>
      </c>
      <c r="AM297" t="n">
        <v>0</v>
      </c>
      <c r="AN297" t="n">
        <v>0</v>
      </c>
      <c r="AQ297" t="n">
        <v>0</v>
      </c>
      <c r="AS297" t="inlineStr">
        <is>
          <t>Construcao de cobertura + reforma de instalacoes eletricas em escola, item unico de servico, vencedora e empresa de engenharia -- adequacao pontual mista (civil + eletrica).</t>
        </is>
      </c>
      <c r="AT297" t="n">
        <v>0</v>
      </c>
      <c r="AU297" t="n">
        <v>1</v>
      </c>
    </row>
    <row r="298">
      <c r="A298" t="inlineStr">
        <is>
          <t>02451938000153_2025_70</t>
        </is>
      </c>
      <c r="B298" s="2" t="inlineStr">
        <is>
          <t>https://pncp.gov.br/app/editais/02451938000153/2025/70</t>
        </is>
      </c>
      <c r="C298" t="inlineStr">
        <is>
          <t>2026-09-27T03:06:11.039685+00:00</t>
        </is>
      </c>
      <c r="D298" t="inlineStr">
        <is>
          <t>GO</t>
        </is>
      </c>
      <c r="E298" t="inlineStr">
        <is>
          <t>GO</t>
        </is>
      </c>
      <c r="F298" t="inlineStr">
        <is>
          <t>Itaberaí</t>
        </is>
      </c>
      <c r="G298" t="inlineStr">
        <is>
          <t>MUNICIPIO DE ITABERAI</t>
        </is>
      </c>
      <c r="H298" t="inlineStr">
        <is>
          <t>Municipal</t>
        </is>
      </c>
      <c r="I298" t="inlineStr">
        <is>
          <t>2025-02-18T07:04:52</t>
        </is>
      </c>
      <c r="J298" t="inlineStr">
        <is>
          <t>Pregão - Eletrônico</t>
        </is>
      </c>
      <c r="K298" t="inlineStr">
        <is>
          <t xml:space="preserve">Contratação de empresa especializada em serviços de desinstalações, instalações, manutenções corretivas e preventivas em aparelhos condicionadores de ar.   </t>
        </is>
      </c>
      <c r="L298" t="b">
        <v>1</v>
      </c>
      <c r="M298" t="inlineStr">
        <is>
          <t>climatizacao</t>
        </is>
      </c>
      <c r="N298" t="inlineStr">
        <is>
          <t>climatizacao</t>
        </is>
      </c>
      <c r="O298" t="n">
        <v>440520</v>
      </c>
      <c r="P298" t="n">
        <v>124532</v>
      </c>
      <c r="Q298" t="n">
        <v>365920</v>
      </c>
      <c r="R298" t="n">
        <v>0.659674245736773</v>
      </c>
      <c r="S298" t="n">
        <v>0</v>
      </c>
      <c r="T298" t="n">
        <v>22</v>
      </c>
      <c r="U298" t="n">
        <v>19</v>
      </c>
      <c r="V298" t="n">
        <v>22</v>
      </c>
      <c r="W298" t="n">
        <v>0</v>
      </c>
      <c r="X298" t="n">
        <v>0</v>
      </c>
      <c r="Y298" t="n">
        <v>0</v>
      </c>
      <c r="Z298" t="n">
        <v>0</v>
      </c>
      <c r="AA298" t="n">
        <v>1</v>
      </c>
      <c r="AB298" t="n">
        <v>0</v>
      </c>
      <c r="AC298" t="n">
        <v>0</v>
      </c>
      <c r="AD298" t="n">
        <v>0</v>
      </c>
      <c r="AE298" t="n">
        <v>1</v>
      </c>
      <c r="AF298" t="inlineStr">
        <is>
          <t>LICITUS TECNOLOGIA E SERVICOS LTDA:ME</t>
        </is>
      </c>
      <c r="AH298" t="inlineStr">
        <is>
          <t>indefinido</t>
        </is>
      </c>
      <c r="AJ298" t="n">
        <v>0</v>
      </c>
      <c r="AK298" t="n">
        <v>0</v>
      </c>
      <c r="AL298" t="n">
        <v>0</v>
      </c>
      <c r="AM298" t="n">
        <v>0</v>
      </c>
      <c r="AN298" t="n">
        <v>0</v>
      </c>
      <c r="AQ298" t="n">
        <v>0</v>
      </c>
      <c r="AS298" t="inlineStr">
        <is>
          <t>heuristica automatica confirmada: servico real de climatizacao, sem sinais de exclusao.</t>
        </is>
      </c>
      <c r="AT298" t="n">
        <v>0</v>
      </c>
      <c r="AU298" t="n">
        <v>1</v>
      </c>
    </row>
    <row r="299">
      <c r="A299" t="inlineStr">
        <is>
          <t>02542538000153_2026_27</t>
        </is>
      </c>
      <c r="B299" s="2" t="inlineStr">
        <is>
          <t>https://pncp.gov.br/app/editais/02542538000153/2026/27</t>
        </is>
      </c>
      <c r="C299" t="inlineStr">
        <is>
          <t>2026-09-27T03:51:43.131174+00:00</t>
        </is>
      </c>
      <c r="D299" t="inlineStr">
        <is>
          <t>GO</t>
        </is>
      </c>
      <c r="E299" t="inlineStr">
        <is>
          <t>GO</t>
        </is>
      </c>
      <c r="F299" t="inlineStr">
        <is>
          <t>Carmo do Rio Verde</t>
        </is>
      </c>
      <c r="G299" t="inlineStr">
        <is>
          <t>MUNICIPIO DE CARMO DO RIO VERDE</t>
        </is>
      </c>
      <c r="H299" t="inlineStr">
        <is>
          <t>Municipal</t>
        </is>
      </c>
      <c r="I299" t="inlineStr">
        <is>
          <t>2026-03-18T14:41:11</t>
        </is>
      </c>
      <c r="J299" t="inlineStr">
        <is>
          <t>Pregão - Eletrônico</t>
        </is>
      </c>
      <c r="K299" t="inlineStr">
        <is>
          <t>PROCEDIMENTO LICITATÓRIO PARA CONTRATAÇÃO DE EMPRESA ESPECIALIZADA PARA PRESTAÇÃO DE SERVIÇOS MECÂNICOS, ELÉTRICOS E CORRELATOS, COM FORNECIMENTO DE PEÇAS, DESTINADOS À MANUTENÇÃO CORRETIVA DA MOTONIVELADORA XCMG, INTEGRANTE DA FROTA DA SECRETARIA MUNICIPAL DE TRANSPORTE E TRÂNSITO, A QUAL SOFREU AVARIAS DECORRENTES DE INCÊNDIO, INCLUINDO SUBSTITUIÇÃO DE COMPONENTES DANIFICADOS, MÃO DE OBRA ESPECIALIZADA, TESTES E ENTREGA DO EQUIPAMENTO EM PLENO FUNCIONAMENTO.</t>
        </is>
      </c>
      <c r="L299" t="b">
        <v>1</v>
      </c>
      <c r="M299" t="inlineStr">
        <is>
          <t>eletrica_predial</t>
        </is>
      </c>
      <c r="N299" t="inlineStr">
        <is>
          <t>eletrica_predial</t>
        </is>
      </c>
      <c r="O299" t="n">
        <v>170727.87</v>
      </c>
      <c r="P299" t="n">
        <v>169000</v>
      </c>
      <c r="Q299" t="n">
        <v>170727.866</v>
      </c>
      <c r="R299" t="n">
        <v>0.01012058570450358</v>
      </c>
      <c r="S299" t="n">
        <v>0</v>
      </c>
      <c r="T299" t="n">
        <v>1</v>
      </c>
      <c r="U299" t="n">
        <v>1</v>
      </c>
      <c r="V299" t="n">
        <v>1</v>
      </c>
      <c r="W299" t="n">
        <v>0</v>
      </c>
      <c r="X299" t="n">
        <v>0</v>
      </c>
      <c r="Y299" t="n">
        <v>0</v>
      </c>
      <c r="Z299" t="n">
        <v>0</v>
      </c>
      <c r="AA299" t="n">
        <v>0</v>
      </c>
      <c r="AB299" t="n">
        <v>0</v>
      </c>
      <c r="AC299" t="n">
        <v>0</v>
      </c>
      <c r="AD299" t="n">
        <v>0</v>
      </c>
      <c r="AE299" t="n">
        <v>1</v>
      </c>
      <c r="AF299" t="inlineStr">
        <is>
          <t>OTTO MAQUINAS LTDA:Não Informado</t>
        </is>
      </c>
      <c r="AH299" t="inlineStr">
        <is>
          <t>pontual</t>
        </is>
      </c>
      <c r="AJ299" t="n">
        <v>0</v>
      </c>
      <c r="AK299" t="n">
        <v>0</v>
      </c>
      <c r="AL299" t="n">
        <v>0</v>
      </c>
      <c r="AM299" t="n">
        <v>0</v>
      </c>
      <c r="AN299" t="n">
        <v>0</v>
      </c>
      <c r="AQ299" t="n">
        <v>0</v>
      </c>
      <c r="AR299" t="inlineStr">
        <is>
          <t>fora_de_escopo</t>
        </is>
      </c>
      <c r="AS299" t="inlineStr">
        <is>
          <t>Servicos mecanicos/eletricos com fornecimento de pecas para reparo de motoniveladora incendiada (frota pesada) -- e mecanica de maquinas/equipamentos moveis, nao eletrica predial.</t>
        </is>
      </c>
      <c r="AT299" t="n">
        <v>0</v>
      </c>
      <c r="AU299" t="n">
        <v>0</v>
      </c>
    </row>
    <row r="300">
      <c r="A300" t="inlineStr">
        <is>
          <t>02756070000108_2025_15</t>
        </is>
      </c>
      <c r="B300" s="2" t="inlineStr">
        <is>
          <t>https://pncp.gov.br/app/editais/02756070000108/2025/15</t>
        </is>
      </c>
      <c r="C300" t="inlineStr">
        <is>
          <t>2026-09-27T03:05:30.762398+00:00</t>
        </is>
      </c>
      <c r="D300" t="inlineStr">
        <is>
          <t>GO</t>
        </is>
      </c>
      <c r="E300" t="inlineStr">
        <is>
          <t>GO</t>
        </is>
      </c>
      <c r="F300" t="inlineStr">
        <is>
          <t>Anápolis</t>
        </is>
      </c>
      <c r="G300" t="inlineStr">
        <is>
          <t>ANAPOLIS CAMARA MUNICIPAL DE ANAPOLIS</t>
        </is>
      </c>
      <c r="H300" t="inlineStr">
        <is>
          <t>Municipal</t>
        </is>
      </c>
      <c r="I300" t="inlineStr">
        <is>
          <t>2025-03-10T07:29:57</t>
        </is>
      </c>
      <c r="J300" t="inlineStr">
        <is>
          <t>Pregão - Eletrônico</t>
        </is>
      </c>
      <c r="K300" t="inlineStr">
        <is>
          <t>Contratação de pessoa jurídica especializada na prestação de serviços continuados de manutenção preventiva e corretiva de 100 (cem) ares condicionados instalados na sede da Câmara Municipal de Anápolis, com fornecimento de mão de obra e das peças necessárias, bem como elaboração do Plano de Manutenção, Operação e Controle - PMOC, nos termos, condições e exigências estabelecidas no edital e seus anexos, pelo período de 12 (doze) meses.</t>
        </is>
      </c>
      <c r="L300" t="b">
        <v>0</v>
      </c>
      <c r="M300" t="inlineStr">
        <is>
          <t>climatizacao</t>
        </is>
      </c>
      <c r="N300" t="inlineStr">
        <is>
          <t>climatizacao</t>
        </is>
      </c>
      <c r="O300" t="n">
        <v>138316.62</v>
      </c>
      <c r="P300" t="n">
        <v>41881</v>
      </c>
      <c r="Q300" t="n">
        <v>138316.62</v>
      </c>
      <c r="R300" t="n">
        <v>0.6972092001669792</v>
      </c>
      <c r="S300" t="n">
        <v>0</v>
      </c>
      <c r="T300" t="n">
        <v>2</v>
      </c>
      <c r="U300" t="n">
        <v>2</v>
      </c>
      <c r="V300" t="n">
        <v>2</v>
      </c>
      <c r="W300" t="n">
        <v>0</v>
      </c>
      <c r="X300" t="n">
        <v>0</v>
      </c>
      <c r="Y300" t="n">
        <v>0</v>
      </c>
      <c r="Z300" t="n">
        <v>0</v>
      </c>
      <c r="AA300" t="n">
        <v>0</v>
      </c>
      <c r="AB300" t="n">
        <v>0</v>
      </c>
      <c r="AC300" t="n">
        <v>0</v>
      </c>
      <c r="AD300" t="n">
        <v>0</v>
      </c>
      <c r="AE300" t="n">
        <v>1</v>
      </c>
      <c r="AF300" t="inlineStr">
        <is>
          <t>PHB COMERCIO, IMPORTACAO E PRESTACAO DE SERVICOS LTDA:ME</t>
        </is>
      </c>
      <c r="AH300" t="inlineStr">
        <is>
          <t>continuado</t>
        </is>
      </c>
      <c r="AI300" t="n">
        <v>12</v>
      </c>
      <c r="AJ300" t="n">
        <v>0</v>
      </c>
      <c r="AK300" t="n">
        <v>0</v>
      </c>
      <c r="AL300" t="n">
        <v>0</v>
      </c>
      <c r="AM300" t="n">
        <v>0</v>
      </c>
      <c r="AN300" t="n">
        <v>0</v>
      </c>
      <c r="AQ300" t="n">
        <v>0</v>
      </c>
      <c r="AS300" t="inlineStr">
        <is>
          <t>heuristica automatica confirmada: servico real de climatizacao, sem sinais de exclusao.</t>
        </is>
      </c>
      <c r="AT300" t="n">
        <v>0</v>
      </c>
      <c r="AU300" t="n">
        <v>1</v>
      </c>
    </row>
    <row r="301">
      <c r="A301" t="inlineStr">
        <is>
          <t>03155926000144_2026_33</t>
        </is>
      </c>
      <c r="B301" s="2" t="inlineStr">
        <is>
          <t>https://pncp.gov.br/app/editais/03155926000144/2026/33</t>
        </is>
      </c>
      <c r="C301" t="inlineStr">
        <is>
          <t>2026-09-27T05:23:59.924300+00:00</t>
        </is>
      </c>
      <c r="D301" t="inlineStr">
        <is>
          <t>MS</t>
        </is>
      </c>
      <c r="E301" t="inlineStr">
        <is>
          <t>vizinhos</t>
        </is>
      </c>
      <c r="F301" t="inlineStr">
        <is>
          <t>Dourados</t>
        </is>
      </c>
      <c r="G301" t="inlineStr">
        <is>
          <t>MUNICIPIO DE DOURADOS</t>
        </is>
      </c>
      <c r="H301" t="inlineStr">
        <is>
          <t>Municipal</t>
        </is>
      </c>
      <c r="I301" t="inlineStr">
        <is>
          <t>2026-04-13T08:55:15</t>
        </is>
      </c>
      <c r="J301" t="inlineStr">
        <is>
          <t>Pregão - Eletrônico</t>
        </is>
      </c>
      <c r="K301" t="inlineStr">
        <is>
          <t>Serviços de manutenção preventiva e corretiva de equipamentos de refrigeração (geladeiras, freezers e bebedouros), visando atender as demandas da Secretaria Municipal de Saúde.</t>
        </is>
      </c>
      <c r="L301" t="b">
        <v>1</v>
      </c>
      <c r="M301" t="inlineStr">
        <is>
          <t>refrigeracao</t>
        </is>
      </c>
      <c r="N301" t="inlineStr">
        <is>
          <t>refrigeracao</t>
        </is>
      </c>
      <c r="O301" t="n">
        <v>477830.32</v>
      </c>
      <c r="P301" t="n">
        <v>384839</v>
      </c>
      <c r="Q301" t="n">
        <v>477830.32</v>
      </c>
      <c r="R301" t="n">
        <v>0.1946115935045729</v>
      </c>
      <c r="S301" t="n">
        <v>0</v>
      </c>
      <c r="T301" t="n">
        <v>26</v>
      </c>
      <c r="U301" t="n">
        <v>26</v>
      </c>
      <c r="V301" t="n">
        <v>26</v>
      </c>
      <c r="W301" t="n">
        <v>0</v>
      </c>
      <c r="X301" t="n">
        <v>0</v>
      </c>
      <c r="Y301" t="n">
        <v>0</v>
      </c>
      <c r="Z301" t="n">
        <v>0</v>
      </c>
      <c r="AA301" t="n">
        <v>0</v>
      </c>
      <c r="AB301" t="n">
        <v>0</v>
      </c>
      <c r="AC301" t="n">
        <v>0</v>
      </c>
      <c r="AD301" t="n">
        <v>0</v>
      </c>
      <c r="AE301" t="n">
        <v>1</v>
      </c>
      <c r="AF301" t="inlineStr">
        <is>
          <t>CAMPOZANO COMERCIO E SERVICOS LTDA:ME</t>
        </is>
      </c>
      <c r="AH301" t="inlineStr">
        <is>
          <t>indefinido</t>
        </is>
      </c>
      <c r="AJ301" t="n">
        <v>0</v>
      </c>
      <c r="AK301" t="n">
        <v>0</v>
      </c>
      <c r="AL301" t="n">
        <v>0</v>
      </c>
      <c r="AM301" t="n">
        <v>0</v>
      </c>
      <c r="AN301" t="n">
        <v>0</v>
      </c>
      <c r="AQ301" t="n">
        <v>0</v>
      </c>
      <c r="AS301" t="inlineStr">
        <is>
          <t>100% do valor em geladeiras, freezers e bebedouros -- nucleo claro de refrigeracao comercial.</t>
        </is>
      </c>
      <c r="AT301" t="n">
        <v>0</v>
      </c>
      <c r="AU301" t="n">
        <v>1</v>
      </c>
    </row>
    <row r="302">
      <c r="A302" t="inlineStr">
        <is>
          <t>03155926000144_2026_43</t>
        </is>
      </c>
      <c r="B302" s="2" t="inlineStr">
        <is>
          <t>https://pncp.gov.br/app/editais/03155926000144/2026/43</t>
        </is>
      </c>
      <c r="C302" t="inlineStr">
        <is>
          <t>2026-09-27T05:23:26.299130+00:00</t>
        </is>
      </c>
      <c r="D302" t="inlineStr">
        <is>
          <t>MS</t>
        </is>
      </c>
      <c r="E302" t="inlineStr">
        <is>
          <t>vizinhos</t>
        </is>
      </c>
      <c r="F302" t="inlineStr">
        <is>
          <t>Dourados</t>
        </is>
      </c>
      <c r="G302" t="inlineStr">
        <is>
          <t>MUNICIPIO DE DOURADOS</t>
        </is>
      </c>
      <c r="H302" t="inlineStr">
        <is>
          <t>Municipal</t>
        </is>
      </c>
      <c r="I302" t="inlineStr">
        <is>
          <t>2026-04-29T08:39:49</t>
        </is>
      </c>
      <c r="J302" t="inlineStr">
        <is>
          <t>Pregão - Eletrônico</t>
        </is>
      </c>
      <c r="K302" t="inlineStr">
        <is>
          <t>Aquisição de equipamentos de refrigeração, mobiliário, materiais esportivos, recreativos, educativos e de copa e cozinha em geral, para atender escolas municipais, com recursos provenientes de transferência da Emenda Parlamentar Individual n.º 101/2023 que gerou o Convênio n.º 289 - Processo 29/070.425/2023 e da Emenda Parlamentar Individual n.º 102/2023 que gerou o Convênio n.º 291 - Processo 29/027.1218/2024.</t>
        </is>
      </c>
      <c r="L302" t="b">
        <v>0</v>
      </c>
      <c r="M302" t="inlineStr">
        <is>
          <t>climatizacao</t>
        </is>
      </c>
      <c r="N302" t="inlineStr">
        <is>
          <t>climatizacao</t>
        </is>
      </c>
      <c r="O302" t="n">
        <v>210817.34</v>
      </c>
      <c r="P302" t="n">
        <v>138403.26</v>
      </c>
      <c r="Q302" t="n">
        <v>209479.04</v>
      </c>
      <c r="R302" t="n">
        <v>0.3392978123252809</v>
      </c>
      <c r="S302" t="n">
        <v>0</v>
      </c>
      <c r="T302" t="n">
        <v>25</v>
      </c>
      <c r="U302" t="n">
        <v>24</v>
      </c>
      <c r="V302" t="n">
        <v>24</v>
      </c>
      <c r="W302" t="n">
        <v>0</v>
      </c>
      <c r="X302" t="n">
        <v>0</v>
      </c>
      <c r="Y302" t="n">
        <v>0</v>
      </c>
      <c r="Z302" t="n">
        <v>0</v>
      </c>
      <c r="AA302" t="n">
        <v>1</v>
      </c>
      <c r="AB302" t="n">
        <v>0</v>
      </c>
      <c r="AC302" t="n">
        <v>0</v>
      </c>
      <c r="AD302" t="n">
        <v>1</v>
      </c>
      <c r="AE302" t="n">
        <v>50</v>
      </c>
      <c r="AF302" t="inlineStr">
        <is>
          <t>ALTIPLANO COMERCIO E REPRESENTACOES LTDA:Demais; BR SERV COMERCIO E SERVIÇOS LTDA:Demais; LOPEZ &amp; FILHOS COMERCIO E SERVICOS LTDA:EPP; GZ COMERCIO E SERVICOS LTDA:ME; GLOBAL SOLUÇOES COMERCIO E SERVIÇOS LTDA:Demais; GWS GLOBAL LIMITADA:Demais; BUUM DE OFERTAS COMERCIO DE BRINQUEDOS LTDA:EPP; COMERCIAL USUAL LTDA EPP:Demais; IDEALIZE COMERCIO DE MOVEIS E BRINQUEDOS LTDA:Demais; E ANTONINI COMERCIO E SERVIÇOS LTDA:Demais; JDN SENSORY:Demais; LAD SOLUÇÕES INTEGRADAS LTDA:Demais; INOVA COMERCIO E SOLUCOES LTDA:Demais; CAPILE COMERCIO E TECNOLOGIA LTDA:EPP; EBENEZER PRESTADORA DE SERVICOS LTDA:ME; 58.508.063 MARCIA M  DA SILVA SOLUÇÕES EM COMÉRCIO  E SERVIÇOS:Demais; RMM SPORTS COMERCIO DE PRODUTOS ESPORTIVOS LTDA:EPP; PARASOU LTDA:Demais; SALVI, LOPES &amp; CIA. LTDA:ME; GUIDONI DISTRIBUIDORA LTDA:Demais; MARIA EDUARDA ALVES CLEMENTE:Demais; CASTRO EQUIPAMENTOS LTDA:ME; FELIPE ALTAMIRO ESPINDOLA:Demais; B2W INFORMATICA LTDA:Demais; MICRON INFORMATICA LTDA:ME; INOVA TECH INFORMÁTICA LTDA:Demais; COMPRE CONOSCO COMERCIO ELETRONICO LTDA.:Demais; AGN COMERCIO E TECNOLOGIA LTDA:Demais; P.C.F. MAROLLA LTDA:EPP; LICITARIA COMERCIO DE MAQUINAS E EQUIPAM:EPP; MULTISOLUÇOES FE LTDA:Demais; M FELIPE GALVÃO:ME; ARPEJO COMUNICACAO, COMERCIO E SERVICOS LTDA:Demais; JHP AR CONDICIONADO LTDA:EPP; ECOMERCIO AR CONDICIONADOS LTDA:Demais; D M R BICAS:ME; VALE COMERCIO DE MATERIAIS LTDA:ME; ATENA COMERCIO COMPRA E VENDA LTDA:ME; W PERSOA COMERCIO E CONSULTORIA UNIPESSOAL LTDA:Demais; CH3 ELETRO E ELETRONICOS LTDA:Demais; LICITAINFO LTDA:Demais; DM SERVIÇOS DE CLIMATIZAÇÃO E AQUECIMENTO LTDA:Demais; ROA ASSISTANCE COM. SERV. LTDA ME:Demais; TRUST EQUIPAMENTOS E LOCAÇÃO LTDA:Demais; LEANDRO ANTONIO OZANA LTDA:Demais; ROSILENE APARECIDA HERNANDES LTDA:ME; PHM COMERCIO E CONFECCOES LTDA:ME; EMMA INDUSTRIA E COMERCIO DE MOVEIS LTDA:Demais; HBO INDUSTRIA E COMERCIO DE MOVEIS DE ACO LTDA:ME; CELI PRODUTOS DE ACO LTDA EPP:EPP</t>
        </is>
      </c>
      <c r="AH302" t="inlineStr">
        <is>
          <t>pontual</t>
        </is>
      </c>
      <c r="AJ302" t="n">
        <v>0</v>
      </c>
      <c r="AK302" t="n">
        <v>0</v>
      </c>
      <c r="AL302" t="n">
        <v>0</v>
      </c>
      <c r="AM302" t="n">
        <v>0</v>
      </c>
      <c r="AN302" t="n">
        <v>0</v>
      </c>
      <c r="AQ302" t="n">
        <v>1</v>
      </c>
      <c r="AR302" t="inlineStr">
        <is>
          <t>fornecimento_puro</t>
        </is>
      </c>
      <c r="AS302" t="inlineStr">
        <is>
          <t>heuristica automatica confirmada (fornecimento_puro): 25 item(ns), todos classificados como material (sem servico).</t>
        </is>
      </c>
      <c r="AT302" t="n">
        <v>0</v>
      </c>
      <c r="AU302" t="n">
        <v>0</v>
      </c>
    </row>
    <row r="303">
      <c r="A303" t="inlineStr">
        <is>
          <t>03184041000173_2025_118</t>
        </is>
      </c>
      <c r="B303" s="2" t="inlineStr">
        <is>
          <t>https://pncp.gov.br/app/editais/03184041000173/2025/118</t>
        </is>
      </c>
      <c r="C303" t="inlineStr">
        <is>
          <t>2026-09-27T05:28:48.679910+00:00</t>
        </is>
      </c>
      <c r="D303" t="inlineStr">
        <is>
          <t>MS</t>
        </is>
      </c>
      <c r="E303" t="inlineStr">
        <is>
          <t>vizinhos</t>
        </is>
      </c>
      <c r="F303" t="inlineStr">
        <is>
          <t>Três Lagoas</t>
        </is>
      </c>
      <c r="G303" t="inlineStr">
        <is>
          <t>MUNICIPIO DE TRES LAGOAS</t>
        </is>
      </c>
      <c r="H303" t="inlineStr">
        <is>
          <t>Municipal</t>
        </is>
      </c>
      <c r="I303" t="inlineStr">
        <is>
          <t>2025-09-19T08:43:31</t>
        </is>
      </c>
      <c r="J303" t="inlineStr">
        <is>
          <t>Pregão - Eletrônico</t>
        </is>
      </c>
      <c r="K303" t="inlineStr">
        <is>
          <t>REGISTRO DE PREÇOS (SRP) - PARA CONTRATAÇÃO, SOB DEMANDA, DE SERVIÇOS COMUNS DE ENGENHARIA, PARA MANUTENÇÃO PREDIAL (PREVENTIVA, CORRETIVA E EMERGENCIAL) E ADEQUAÇÃO DE LAYOUTS DE AMBIENTES, COM FORNECIMENTO DE INSUMOS, MATERIAIS, EQUIPAMENTOS, MÃO-DE-OBRA E PLANOS DE MANUTENÇÃO NECESSÁRIOS, NO ÂMBITO DOS PRÉDIOS PÚBLICOS (PRÓPRIOS OU LOCADOS), DA ADMINISTRAÇÃO MUNICIPAL DE TRÊS LAGOAS/MS, EM CONFORMIDADE COM AS CONDIÇÕES, QUANTIDADES E EXIGÊNCIAS ESPECIFICADAS NO EDITAL, NO TERMO DE REFERÊNCIA (TR) E SEUS ANEXOS.</t>
        </is>
      </c>
      <c r="L303" t="b">
        <v>1</v>
      </c>
      <c r="M303" t="inlineStr">
        <is>
          <t>manutencao_predial</t>
        </is>
      </c>
      <c r="N303" t="inlineStr">
        <is>
          <t>manutencao_predial</t>
        </is>
      </c>
      <c r="O303" t="n">
        <v>5.07</v>
      </c>
      <c r="P303" t="n">
        <v>13</v>
      </c>
      <c r="Q303" t="n">
        <v>5.07</v>
      </c>
      <c r="R303" t="n">
        <v>-1.564102564102564</v>
      </c>
      <c r="S303" t="n">
        <v>1</v>
      </c>
      <c r="T303" t="n">
        <v>1</v>
      </c>
      <c r="U303" t="n">
        <v>1</v>
      </c>
      <c r="V303" t="n">
        <v>1</v>
      </c>
      <c r="W303" t="n">
        <v>0</v>
      </c>
      <c r="X303" t="n">
        <v>0</v>
      </c>
      <c r="Y303" t="n">
        <v>0</v>
      </c>
      <c r="Z303" t="n">
        <v>0</v>
      </c>
      <c r="AA303" t="n">
        <v>0</v>
      </c>
      <c r="AB303" t="n">
        <v>0</v>
      </c>
      <c r="AC303" t="n">
        <v>0</v>
      </c>
      <c r="AD303" t="n">
        <v>0</v>
      </c>
      <c r="AE303" t="n">
        <v>1</v>
      </c>
      <c r="AF303" t="inlineStr">
        <is>
          <t>NOVA JRA EMPREENDIMENTOS E ENGENHARIA LTDA:Demais</t>
        </is>
      </c>
      <c r="AH303" t="inlineStr">
        <is>
          <t>pontual</t>
        </is>
      </c>
      <c r="AJ303" t="n">
        <v>0</v>
      </c>
      <c r="AK303" t="n">
        <v>0</v>
      </c>
      <c r="AL303" t="n">
        <v>0</v>
      </c>
      <c r="AM303" t="n">
        <v>0</v>
      </c>
      <c r="AN303" t="n">
        <v>0</v>
      </c>
      <c r="AQ303" t="n">
        <v>1</v>
      </c>
      <c r="AR303" t="inlineStr">
        <is>
          <t>fornecimento_puro</t>
        </is>
      </c>
      <c r="AS303" t="inlineStr">
        <is>
          <t>1 item(ns), todos classificados como material (sem servico).</t>
        </is>
      </c>
      <c r="AT303" t="n">
        <v>1</v>
      </c>
      <c r="AU303" t="n">
        <v>0</v>
      </c>
    </row>
    <row r="304">
      <c r="A304" t="inlineStr">
        <is>
          <t>03184066000177_2026_84</t>
        </is>
      </c>
      <c r="B304" s="2" t="inlineStr">
        <is>
          <t>https://pncp.gov.br/app/editais/03184066000177/2026/84</t>
        </is>
      </c>
      <c r="C304" t="inlineStr">
        <is>
          <t>2026-09-27T05:18:18.119391+00:00</t>
        </is>
      </c>
      <c r="D304" t="inlineStr">
        <is>
          <t>MS</t>
        </is>
      </c>
      <c r="E304" t="inlineStr">
        <is>
          <t>vizinhos</t>
        </is>
      </c>
      <c r="F304" t="inlineStr">
        <is>
          <t>Água Clara</t>
        </is>
      </c>
      <c r="G304" t="inlineStr">
        <is>
          <t>MUNICIPIO DE AGUA CLARA</t>
        </is>
      </c>
      <c r="H304" t="inlineStr">
        <is>
          <t>Municipal</t>
        </is>
      </c>
      <c r="I304" t="inlineStr">
        <is>
          <t>2026-07-23T11:12:33</t>
        </is>
      </c>
      <c r="J304" t="inlineStr">
        <is>
          <t>Pregão - Eletrônico</t>
        </is>
      </c>
      <c r="K304" t="inlineStr">
        <is>
          <t xml:space="preserve">REGISTRO DE PREÇO PARA FUTURO EVENTUAL PRESTAÇÃO DE SERVIÇOS DE LOCAÇÃO, INSTALAÇÃO, MONTAGEM, DESMONTAGEM, OPERAÇÃO E MANUTENÇÃO DE ESTRUTURAS, COMPREENDENDO LOCAÇÃO DE PALCO, SERVIÇO DE LOCUÇÃO EM EVENTOS, SERVIÇO DE HOSPEDAGEM, SISTEMA DE SONORIZAÇÃO, SISTEMA DE ILUMINAÇÃO, BRINQUEDOS INFLÁVEIS E BANHEIROS QUÍMICOS, INCLUINDO TRANSPORTE, INSTALAÇÃO, ASSISTÊNCIA TÉCNICA E DEMAIS ENCARGOS NECESSÁRIOS À PLENA EXECUÇÃO DOS SERVIÇOS DE ACORDO COM AS DEMANDAS E CALENDÁRIO ANUAL DE EVENTOS DA SECRETARIA MUNICIPAL DE CULTURA/MS, CONFORME AS CONDIÇÕES, PRAZO E ESPECIFICAÇÕES DOS ITENS RELACIONADOS NO TERMO DE REFERÊNCIA, EDITAL E SEUS ANEXOS. </t>
        </is>
      </c>
      <c r="L304" t="b">
        <v>1</v>
      </c>
      <c r="M304" t="inlineStr">
        <is>
          <t>iluminacao_publica</t>
        </is>
      </c>
      <c r="N304" t="inlineStr">
        <is>
          <t>iluminacao_publica</t>
        </is>
      </c>
      <c r="O304" t="n">
        <v>2383630.15</v>
      </c>
      <c r="P304" t="n">
        <v>1119888.35</v>
      </c>
      <c r="Q304" t="n">
        <v>1718760.6</v>
      </c>
      <c r="R304" t="n">
        <v>0.3484326147574013</v>
      </c>
      <c r="S304" t="n">
        <v>0</v>
      </c>
      <c r="T304" t="n">
        <v>64</v>
      </c>
      <c r="U304" t="n">
        <v>40</v>
      </c>
      <c r="V304" t="n">
        <v>63</v>
      </c>
      <c r="W304" t="n">
        <v>0</v>
      </c>
      <c r="X304" t="n">
        <v>1</v>
      </c>
      <c r="Y304" t="n">
        <v>0</v>
      </c>
      <c r="Z304" t="n">
        <v>1</v>
      </c>
      <c r="AA304" t="n">
        <v>0</v>
      </c>
      <c r="AB304" t="n">
        <v>0</v>
      </c>
      <c r="AC304" t="n">
        <v>0</v>
      </c>
      <c r="AD304" t="n">
        <v>0</v>
      </c>
      <c r="AE304" t="n">
        <v>4</v>
      </c>
      <c r="AF304" t="inlineStr">
        <is>
          <t>MICHAEL BUREMAN DOS SANTOS:ME; RCH EVENTOS LTDA:ME; LC ENTRETERIMENTO E EVENTOS LTDA:ME; VANESSA VITORINO DA SILVA:ME</t>
        </is>
      </c>
      <c r="AH304" t="inlineStr">
        <is>
          <t>pontual</t>
        </is>
      </c>
      <c r="AJ304" t="n">
        <v>0</v>
      </c>
      <c r="AK304" t="n">
        <v>0</v>
      </c>
      <c r="AL304" t="n">
        <v>0</v>
      </c>
      <c r="AM304" t="n">
        <v>0</v>
      </c>
      <c r="AN304" t="n">
        <v>0</v>
      </c>
      <c r="AQ304" t="n">
        <v>1</v>
      </c>
      <c r="AR304" t="inlineStr">
        <is>
          <t>mencao_passagem</t>
        </is>
      </c>
      <c r="AS304" t="inlineStr">
        <is>
          <t>Locação de estruturas para evento (palco, locução, hospedagem, som, iluminação, infláveis); não é manutenção de IP.</t>
        </is>
      </c>
      <c r="AT304" t="n">
        <v>1</v>
      </c>
      <c r="AU304" t="n">
        <v>0</v>
      </c>
    </row>
    <row r="305">
      <c r="A305" t="inlineStr">
        <is>
          <t>03214145000183_2026_83</t>
        </is>
      </c>
      <c r="B305" s="2" t="inlineStr">
        <is>
          <t>https://pncp.gov.br/app/editais/03214145000183/2026/83</t>
        </is>
      </c>
      <c r="C305" t="inlineStr">
        <is>
          <t>2026-09-27T04:59:58.592524+00:00</t>
        </is>
      </c>
      <c r="D305" t="inlineStr">
        <is>
          <t>MT</t>
        </is>
      </c>
      <c r="E305" t="inlineStr">
        <is>
          <t>vizinhos</t>
        </is>
      </c>
      <c r="F305" t="inlineStr">
        <is>
          <t>Cáceres</t>
        </is>
      </c>
      <c r="G305" t="inlineStr">
        <is>
          <t>MUNICIPIO DE CACERES</t>
        </is>
      </c>
      <c r="H305" t="inlineStr">
        <is>
          <t>Municipal</t>
        </is>
      </c>
      <c r="I305" t="inlineStr">
        <is>
          <t>2026-07-30T10:46:47</t>
        </is>
      </c>
      <c r="J305" t="inlineStr">
        <is>
          <t>Pregão - Eletrônico</t>
        </is>
      </c>
      <c r="K305" t="inlineStr">
        <is>
          <t>[LICITANET] - Registro de preço para futura e eventual contratação de empresa especializada na prestação de serviços de manutenção preventiva e corretiva de equipamento de climatização, com fornecimento de peças, componentes e acessórios, para atender a Prefeitura Municipal de Cáceres/MT.</t>
        </is>
      </c>
      <c r="L305" t="b">
        <v>1</v>
      </c>
      <c r="M305" t="inlineStr">
        <is>
          <t>climatizacao</t>
        </is>
      </c>
      <c r="N305" t="inlineStr">
        <is>
          <t>climatizacao</t>
        </is>
      </c>
      <c r="O305" t="n">
        <v>1748723.24</v>
      </c>
      <c r="P305" t="n">
        <v>1049322.77</v>
      </c>
      <c r="Q305" t="n">
        <v>1744466.24</v>
      </c>
      <c r="R305" t="n">
        <v>0.3984849084840988</v>
      </c>
      <c r="S305" t="n">
        <v>0</v>
      </c>
      <c r="T305" t="n">
        <v>35</v>
      </c>
      <c r="U305" t="n">
        <v>34</v>
      </c>
      <c r="V305" t="n">
        <v>34</v>
      </c>
      <c r="W305" t="n">
        <v>0</v>
      </c>
      <c r="X305" t="n">
        <v>1</v>
      </c>
      <c r="Y305" t="n">
        <v>0</v>
      </c>
      <c r="Z305" t="n">
        <v>1</v>
      </c>
      <c r="AA305" t="n">
        <v>0</v>
      </c>
      <c r="AB305" t="n">
        <v>1</v>
      </c>
      <c r="AC305" t="n">
        <v>0</v>
      </c>
      <c r="AD305" t="n">
        <v>0</v>
      </c>
      <c r="AE305" t="n">
        <v>1</v>
      </c>
      <c r="AF305" t="inlineStr">
        <is>
          <t>GUARANI CLIMATIZAÇOES COMERCIO E SERVIÇOS LTDA:ME</t>
        </is>
      </c>
      <c r="AH305" t="inlineStr">
        <is>
          <t>pontual</t>
        </is>
      </c>
      <c r="AJ305" t="n">
        <v>0</v>
      </c>
      <c r="AK305" t="n">
        <v>0</v>
      </c>
      <c r="AL305" t="n">
        <v>0</v>
      </c>
      <c r="AM305" t="n">
        <v>0</v>
      </c>
      <c r="AN305" t="n">
        <v>0</v>
      </c>
      <c r="AQ305" t="n">
        <v>0</v>
      </c>
      <c r="AS305" t="inlineStr">
        <is>
          <t>heuristica automatica confirmada: servico real de climatizacao, sem sinais de exclusao.</t>
        </is>
      </c>
      <c r="AT305" t="n">
        <v>0</v>
      </c>
      <c r="AU305" t="n">
        <v>1</v>
      </c>
    </row>
    <row r="306">
      <c r="A306" t="inlineStr">
        <is>
          <t>03238631000131_2026_48</t>
        </is>
      </c>
      <c r="B306" s="2" t="inlineStr">
        <is>
          <t>https://pncp.gov.br/app/editais/03238631000131/2026/48</t>
        </is>
      </c>
      <c r="C306" t="inlineStr">
        <is>
          <t>2026-09-27T05:01:21.560855+00:00</t>
        </is>
      </c>
      <c r="D306" t="inlineStr">
        <is>
          <t>MT</t>
        </is>
      </c>
      <c r="E306" t="inlineStr">
        <is>
          <t>vizinhos</t>
        </is>
      </c>
      <c r="F306" t="inlineStr">
        <is>
          <t>Peixoto de Azevedo</t>
        </is>
      </c>
      <c r="G306" t="inlineStr">
        <is>
          <t>MUNICIPIO DE PEIXOTO DE AZEVEDO</t>
        </is>
      </c>
      <c r="H306" t="inlineStr">
        <is>
          <t>Municipal</t>
        </is>
      </c>
      <c r="I306" t="inlineStr">
        <is>
          <t>2026-07-06T13:32:56</t>
        </is>
      </c>
      <c r="J306" t="inlineStr">
        <is>
          <t>Pregão - Presencial</t>
        </is>
      </c>
      <c r="K306" t="inlineStr">
        <is>
          <t>“REGISTRO DE PREÇOS PARA FUTURA E EVENTUAL CONTRATAÇÃO DE EMPRESA ESPECIALIZADA NA PRESTAÇÃO DE SERVIÇOS DE MANUTENÇÃO PREVENTIVA E CORRETIVA BEM COMO INSTALAÇÃO E DESISTALAÇÃO DE APARELHOS DE AR CONDICIONADO, COM EMPREGO DE MATERIAIS, PEÇAS E ACESSÓRIOS,</t>
        </is>
      </c>
      <c r="L306" t="b">
        <v>1</v>
      </c>
      <c r="M306" t="inlineStr">
        <is>
          <t>climatizacao</t>
        </is>
      </c>
      <c r="N306" t="inlineStr">
        <is>
          <t>climatizacao</t>
        </is>
      </c>
      <c r="O306" t="n">
        <v>5554993.51</v>
      </c>
      <c r="P306" t="n">
        <v>3606740.85</v>
      </c>
      <c r="Q306" t="n">
        <v>3606740.85</v>
      </c>
      <c r="R306" t="n">
        <v>0</v>
      </c>
      <c r="S306" t="n">
        <v>0</v>
      </c>
      <c r="T306" t="n">
        <v>61</v>
      </c>
      <c r="U306" t="n">
        <v>40</v>
      </c>
      <c r="V306" t="n">
        <v>61</v>
      </c>
      <c r="W306" t="n">
        <v>0</v>
      </c>
      <c r="X306" t="n">
        <v>0</v>
      </c>
      <c r="Y306" t="n">
        <v>0</v>
      </c>
      <c r="Z306" t="n">
        <v>0</v>
      </c>
      <c r="AA306" t="n">
        <v>0</v>
      </c>
      <c r="AB306" t="n">
        <v>0</v>
      </c>
      <c r="AC306" t="n">
        <v>0</v>
      </c>
      <c r="AD306" t="n">
        <v>0</v>
      </c>
      <c r="AE306" t="n">
        <v>1</v>
      </c>
      <c r="AF306" t="inlineStr">
        <is>
          <t>M.C. LOCADORA E PRESTAÇÃO DE SERVIÇOS LTDA:Demais</t>
        </is>
      </c>
      <c r="AH306" t="inlineStr">
        <is>
          <t>pontual</t>
        </is>
      </c>
      <c r="AJ306" t="n">
        <v>0</v>
      </c>
      <c r="AK306" t="n">
        <v>0</v>
      </c>
      <c r="AL306" t="n">
        <v>0</v>
      </c>
      <c r="AM306" t="n">
        <v>0</v>
      </c>
      <c r="AN306" t="n">
        <v>0</v>
      </c>
      <c r="AQ306" t="n">
        <v>0</v>
      </c>
      <c r="AS306" t="inlineStr">
        <is>
          <t>heuristica automatica confirmada: servico real de climatizacao, sem sinais de exclusao.</t>
        </is>
      </c>
      <c r="AT306" t="n">
        <v>0</v>
      </c>
      <c r="AU306" t="n">
        <v>1</v>
      </c>
    </row>
    <row r="307">
      <c r="A307" t="inlineStr">
        <is>
          <t>03239076000162_2026_104</t>
        </is>
      </c>
      <c r="B307" s="2" t="inlineStr">
        <is>
          <t>https://pncp.gov.br/app/editais/03239076000162/2026/104</t>
        </is>
      </c>
      <c r="C307" t="inlineStr">
        <is>
          <t>2026-09-27T05:14:36.279995+00:00</t>
        </is>
      </c>
      <c r="D307" t="inlineStr">
        <is>
          <t>MT</t>
        </is>
      </c>
      <c r="E307" t="inlineStr">
        <is>
          <t>vizinhos</t>
        </is>
      </c>
      <c r="F307" t="inlineStr">
        <is>
          <t>Sorriso</t>
        </is>
      </c>
      <c r="G307" t="inlineStr">
        <is>
          <t>MUNICIPIO DE SORRISO</t>
        </is>
      </c>
      <c r="H307" t="inlineStr">
        <is>
          <t>Municipal</t>
        </is>
      </c>
      <c r="I307" t="inlineStr">
        <is>
          <t>2026-06-02T17:40:32</t>
        </is>
      </c>
      <c r="J307" t="inlineStr">
        <is>
          <t>Pregão - Eletrônico</t>
        </is>
      </c>
      <c r="K307" t="inlineStr">
        <is>
          <t>REGISTRO DE PREÇOS PARA FUTURA E EVENTUAL CONTRATAÇÃO DE EMPRESA ESPECIALIZADA NA LOCAÇÃO DE CAMINHÃO TRUCADO COM SISTEMA HIDROJATO, CAMINHÃO MUNCK E CAMINHÃO PIPA, DESTINADOS À EXECUÇÃO DE SERVIÇOS DE DESOBSTRUÇÃO, LIMPEZA E MANUTENÇÃO DE BOCAS DE LOBO, BUEIROS E GALERIAS PLUVIAIS, VISANDO ASSEGURAR O ADEQUADO FUNCIONAMENTO DO SISTEMA DE DRENAGEM URBANA DO MUNICÍPIO DE SORRISO/MT, CONFORME CONDIÇÕES, QUANTIDADES E EXIGÊNCIAS ESTABELECIDAS NO TERMO DE REFERÊNCIA.</t>
        </is>
      </c>
      <c r="L307" t="b">
        <v>1</v>
      </c>
      <c r="M307" t="inlineStr">
        <is>
          <t>munck</t>
        </is>
      </c>
      <c r="N307" t="inlineStr">
        <is>
          <t>munck</t>
        </is>
      </c>
      <c r="O307" t="n">
        <v>4084893.75</v>
      </c>
      <c r="P307" t="n">
        <v>2475000</v>
      </c>
      <c r="Q307" t="n">
        <v>4084893.75</v>
      </c>
      <c r="R307" t="n">
        <v>0.3941090879046731</v>
      </c>
      <c r="S307" t="n">
        <v>0</v>
      </c>
      <c r="T307" t="n">
        <v>1</v>
      </c>
      <c r="U307" t="n">
        <v>1</v>
      </c>
      <c r="V307" t="n">
        <v>1</v>
      </c>
      <c r="W307" t="n">
        <v>0</v>
      </c>
      <c r="X307" t="n">
        <v>0</v>
      </c>
      <c r="Y307" t="n">
        <v>0</v>
      </c>
      <c r="Z307" t="n">
        <v>0</v>
      </c>
      <c r="AA307" t="n">
        <v>0</v>
      </c>
      <c r="AB307" t="n">
        <v>0</v>
      </c>
      <c r="AC307" t="n">
        <v>0</v>
      </c>
      <c r="AD307" t="n">
        <v>1</v>
      </c>
      <c r="AE307" t="n">
        <v>1</v>
      </c>
      <c r="AF307" t="inlineStr">
        <is>
          <t>BIG CLEAN SERVICOS DE LIMPEZA LTDA:ME</t>
        </is>
      </c>
      <c r="AH307" t="inlineStr">
        <is>
          <t>pontual</t>
        </is>
      </c>
      <c r="AJ307" t="n">
        <v>0</v>
      </c>
      <c r="AK307" t="n">
        <v>0</v>
      </c>
      <c r="AL307" t="n">
        <v>0</v>
      </c>
      <c r="AM307" t="n">
        <v>0</v>
      </c>
      <c r="AN307" t="n">
        <v>0</v>
      </c>
      <c r="AQ307" t="n">
        <v>0</v>
      </c>
      <c r="AR307" t="inlineStr">
        <is>
          <t>fora_escopo</t>
        </is>
      </c>
      <c r="AS307" t="inlineStr">
        <is>
          <t>Apesar de o objeto citar caminhão munck, o único item efetivamente licitado e homologado é o caminhão hidrojato trucado para limpeza de bueiros/drenagem; não há item de munck disputável (n_itens=1).</t>
        </is>
      </c>
      <c r="AT307" t="n">
        <v>0</v>
      </c>
      <c r="AU307" t="n">
        <v>0</v>
      </c>
    </row>
    <row r="308">
      <c r="A308" t="inlineStr">
        <is>
          <t>03288908000483_2025_67</t>
        </is>
      </c>
      <c r="B308" s="2" t="inlineStr">
        <is>
          <t>https://pncp.gov.br/app/editais/03288908000483/2025/67</t>
        </is>
      </c>
      <c r="C308" t="inlineStr">
        <is>
          <t>2026-09-27T04:58:35.854804+00:00</t>
        </is>
      </c>
      <c r="D308" t="inlineStr">
        <is>
          <t>DF</t>
        </is>
      </c>
      <c r="E308" t="inlineStr">
        <is>
          <t>vizinhos</t>
        </is>
      </c>
      <c r="F308" t="inlineStr">
        <is>
          <t>Brasília</t>
        </is>
      </c>
      <c r="G308" t="inlineStr">
        <is>
          <t>SESC-SERVICO SOCIAL DO COMERCIO-ADMINISTRACAO REGIONAL DO DF</t>
        </is>
      </c>
      <c r="H308" t="inlineStr">
        <is>
          <t>Não se aplica</t>
        </is>
      </c>
      <c r="I308" t="inlineStr">
        <is>
          <t>2025-09-10T07:32:38</t>
        </is>
      </c>
      <c r="J308" t="inlineStr">
        <is>
          <t>Pregão - Eletrônico</t>
        </is>
      </c>
      <c r="K308" t="inlineStr">
        <is>
          <t>Contratação de empresa especializada para prestação de serviços técnicos profissionais de criação e execução de projeto para montagem e desmontagem de estrutura de estande, locação de equipamentos, iluminação e afins, para realização da 22º Semana Nacional de Ciência e Tecnologia – SNCT 2025.</t>
        </is>
      </c>
      <c r="L308" t="b">
        <v>0</v>
      </c>
      <c r="M308" t="inlineStr">
        <is>
          <t>iluminacao_publica</t>
        </is>
      </c>
      <c r="N308" t="inlineStr">
        <is>
          <t>iluminacao_publica</t>
        </is>
      </c>
      <c r="O308" t="n">
        <v>251543.12</v>
      </c>
      <c r="P308" t="n">
        <v>176000</v>
      </c>
      <c r="Q308" t="n">
        <v>251543.12</v>
      </c>
      <c r="R308" t="n">
        <v>0.3003187684083747</v>
      </c>
      <c r="S308" t="n">
        <v>0</v>
      </c>
      <c r="T308" t="n">
        <v>1</v>
      </c>
      <c r="U308" t="n">
        <v>1</v>
      </c>
      <c r="V308" t="n">
        <v>1</v>
      </c>
      <c r="W308" t="n">
        <v>0</v>
      </c>
      <c r="X308" t="n">
        <v>0</v>
      </c>
      <c r="Y308" t="n">
        <v>0</v>
      </c>
      <c r="Z308" t="n">
        <v>0</v>
      </c>
      <c r="AA308" t="n">
        <v>0</v>
      </c>
      <c r="AB308" t="n">
        <v>0</v>
      </c>
      <c r="AC308" t="n">
        <v>0</v>
      </c>
      <c r="AD308" t="n">
        <v>0</v>
      </c>
      <c r="AE308" t="n">
        <v>1</v>
      </c>
      <c r="AF308" t="inlineStr">
        <is>
          <t>ACTION GROUP LTDA.:ME</t>
        </is>
      </c>
      <c r="AH308" t="inlineStr">
        <is>
          <t>indefinido</t>
        </is>
      </c>
      <c r="AJ308" t="n">
        <v>0</v>
      </c>
      <c r="AK308" t="n">
        <v>0</v>
      </c>
      <c r="AL308" t="n">
        <v>0</v>
      </c>
      <c r="AM308" t="n">
        <v>0</v>
      </c>
      <c r="AN308" t="n">
        <v>0</v>
      </c>
      <c r="AQ308" t="n">
        <v>0</v>
      </c>
      <c r="AR308" t="inlineStr">
        <is>
          <t>mencao_passagem</t>
        </is>
      </c>
      <c r="AS308" t="inlineStr">
        <is>
          <t>Montagem de estande com iluminação para semana de ciência e tecnologia; evento, não manutenção de IP.</t>
        </is>
      </c>
      <c r="AT308" t="n">
        <v>0</v>
      </c>
      <c r="AU308" t="n">
        <v>0</v>
      </c>
    </row>
    <row r="309">
      <c r="A309" t="inlineStr">
        <is>
          <t>03288908000483_2025_77</t>
        </is>
      </c>
      <c r="B309" s="2" t="inlineStr">
        <is>
          <t>https://pncp.gov.br/app/editais/03288908000483/2025/77</t>
        </is>
      </c>
      <c r="C309" t="inlineStr">
        <is>
          <t>2026-09-27T04:57:48.071113+00:00</t>
        </is>
      </c>
      <c r="D309" t="inlineStr">
        <is>
          <t>DF</t>
        </is>
      </c>
      <c r="E309" t="inlineStr">
        <is>
          <t>vizinhos</t>
        </is>
      </c>
      <c r="F309" t="inlineStr">
        <is>
          <t>Brasília</t>
        </is>
      </c>
      <c r="G309" t="inlineStr">
        <is>
          <t>SESC-SERVICO SOCIAL DO COMERCIO-ADMINISTRACAO REGIONAL DO DF</t>
        </is>
      </c>
      <c r="H309" t="inlineStr">
        <is>
          <t>Não se aplica</t>
        </is>
      </c>
      <c r="I309" t="inlineStr">
        <is>
          <t>2025-10-08T07:09:13</t>
        </is>
      </c>
      <c r="J309" t="inlineStr">
        <is>
          <t>Pregão - Eletrônico</t>
        </is>
      </c>
      <c r="K309" t="inlineStr">
        <is>
          <t>Contratação de empresa especializada para a execução de projeto operacional, executivo e cenográfico com montagem, coordenação, execução, realização, manutenção e desmontagem de uma Vila Natalina no Sesc Ceilândia, Unidade Bartolomeu Gonçalves Martins e Sesc Gama, Unidade Euzébio Pires de Araújo, bem como para a iluminação temática das fachadas das Unidades Operacionais do Sesc DF, no âmbito do projeto "Magnífico Espetáculo Natalino".</t>
        </is>
      </c>
      <c r="L309" t="b">
        <v>0</v>
      </c>
      <c r="M309" t="inlineStr">
        <is>
          <t>iluminacao_publica</t>
        </is>
      </c>
      <c r="N309" t="inlineStr">
        <is>
          <t>iluminacao_publica</t>
        </is>
      </c>
      <c r="O309" t="n">
        <v>3752650</v>
      </c>
      <c r="P309" t="n">
        <v>1876000</v>
      </c>
      <c r="Q309" t="n">
        <v>3752650</v>
      </c>
      <c r="R309" t="n">
        <v>0.5000866054654711</v>
      </c>
      <c r="S309" t="n">
        <v>0</v>
      </c>
      <c r="T309" t="n">
        <v>1</v>
      </c>
      <c r="U309" t="n">
        <v>1</v>
      </c>
      <c r="V309" t="n">
        <v>1</v>
      </c>
      <c r="W309" t="n">
        <v>0</v>
      </c>
      <c r="X309" t="n">
        <v>0</v>
      </c>
      <c r="Y309" t="n">
        <v>0</v>
      </c>
      <c r="Z309" t="n">
        <v>0</v>
      </c>
      <c r="AA309" t="n">
        <v>0</v>
      </c>
      <c r="AB309" t="n">
        <v>0</v>
      </c>
      <c r="AC309" t="n">
        <v>0</v>
      </c>
      <c r="AD309" t="n">
        <v>0</v>
      </c>
      <c r="AE309" t="n">
        <v>1</v>
      </c>
      <c r="AF309" t="inlineStr">
        <is>
          <t>OCTARTE ARQUITETURA EM EVENTOS LTDA:ME</t>
        </is>
      </c>
      <c r="AH309" t="inlineStr">
        <is>
          <t>indefinido</t>
        </is>
      </c>
      <c r="AJ309" t="n">
        <v>0</v>
      </c>
      <c r="AK309" t="n">
        <v>0</v>
      </c>
      <c r="AL309" t="n">
        <v>0</v>
      </c>
      <c r="AM309" t="n">
        <v>0</v>
      </c>
      <c r="AN309" t="n">
        <v>0</v>
      </c>
      <c r="AQ309" t="n">
        <v>0</v>
      </c>
      <c r="AR309" t="inlineStr">
        <is>
          <t>mencao_passagem</t>
        </is>
      </c>
      <c r="AS309" t="inlineStr">
        <is>
          <t>Vila Natalina do Sesc (decoração/iluminação natalina); evento/decoração temporária, não manutenção de IP.</t>
        </is>
      </c>
      <c r="AT309" t="n">
        <v>0</v>
      </c>
      <c r="AU309" t="n">
        <v>0</v>
      </c>
    </row>
    <row r="310">
      <c r="A310" t="inlineStr">
        <is>
          <t>03296968000790_2025_44</t>
        </is>
      </c>
      <c r="B310" s="2" t="inlineStr">
        <is>
          <t>https://pncp.gov.br/app/editais/03296968000790/2025/44</t>
        </is>
      </c>
      <c r="C310" t="inlineStr">
        <is>
          <t>2026-09-27T04:58:31.891125+00:00</t>
        </is>
      </c>
      <c r="D310" t="inlineStr">
        <is>
          <t>DF</t>
        </is>
      </c>
      <c r="E310" t="inlineStr">
        <is>
          <t>vizinhos</t>
        </is>
      </c>
      <c r="F310" t="inlineStr">
        <is>
          <t>Brasília</t>
        </is>
      </c>
      <c r="G310" t="inlineStr">
        <is>
          <t>SENAC - SERVICO NACIONAL DE APRENDIZAGEM COMERCIAL - ADMINIS</t>
        </is>
      </c>
      <c r="H310" t="inlineStr">
        <is>
          <t>Não se aplica</t>
        </is>
      </c>
      <c r="I310" t="inlineStr">
        <is>
          <t>2025-09-24T07:34:09</t>
        </is>
      </c>
      <c r="J310" t="inlineStr">
        <is>
          <t>Pregão - Eletrônico</t>
        </is>
      </c>
      <c r="K310" t="inlineStr">
        <is>
          <t>Registro de preços para a eventual aquisição de equipamentos de infraestrutura, iluminação, estúdio, fotografia, vídeo, áudio e informática, para atender às necessidades do Senac AR/DF.</t>
        </is>
      </c>
      <c r="L310" t="b">
        <v>1</v>
      </c>
      <c r="M310" t="inlineStr">
        <is>
          <t>iluminacao_publica</t>
        </is>
      </c>
      <c r="N310" t="inlineStr">
        <is>
          <t>iluminacao_publica</t>
        </is>
      </c>
      <c r="O310" t="n">
        <v>3498865.4</v>
      </c>
      <c r="P310" t="n">
        <v>976448.8300000001</v>
      </c>
      <c r="Q310" t="n">
        <v>1045859.7</v>
      </c>
      <c r="R310" t="n">
        <v>0.06636728616658621</v>
      </c>
      <c r="S310" t="n">
        <v>0</v>
      </c>
      <c r="T310" t="n">
        <v>173</v>
      </c>
      <c r="U310" t="n">
        <v>40</v>
      </c>
      <c r="V310" t="n">
        <v>67</v>
      </c>
      <c r="W310" t="n">
        <v>0</v>
      </c>
      <c r="X310" t="n">
        <v>35</v>
      </c>
      <c r="Y310" t="n">
        <v>0</v>
      </c>
      <c r="Z310" t="n">
        <v>1</v>
      </c>
      <c r="AA310" t="n">
        <v>0</v>
      </c>
      <c r="AB310" t="n">
        <v>0</v>
      </c>
      <c r="AC310" t="n">
        <v>0</v>
      </c>
      <c r="AD310" t="n">
        <v>0</v>
      </c>
      <c r="AE310" t="n">
        <v>5</v>
      </c>
      <c r="AF310" t="inlineStr">
        <is>
          <t>G2B COMERCIO E REPRESENTACOES LTDA:ME; DOUBLE SOLUCOES E TECNOLOGIA LTDA:ME; ASSUNTEC - ASSUNTOS TECNOLOGICOS COMERCIO DE EQUIPAMENTOS LTDA:ME; FRP COMERCIO E SERVICOS DE INFORMATICA LTDA:ME; ELETROQUIP COMERCIO E LICITACOES LTDA:ME</t>
        </is>
      </c>
      <c r="AH310" t="inlineStr">
        <is>
          <t>pontual</t>
        </is>
      </c>
      <c r="AJ310" t="n">
        <v>0</v>
      </c>
      <c r="AK310" t="n">
        <v>0</v>
      </c>
      <c r="AL310" t="n">
        <v>0</v>
      </c>
      <c r="AM310" t="n">
        <v>0</v>
      </c>
      <c r="AN310" t="n">
        <v>0</v>
      </c>
      <c r="AQ310" t="n">
        <v>1</v>
      </c>
      <c r="AR310" t="inlineStr">
        <is>
          <t>fornecimento_puro</t>
        </is>
      </c>
      <c r="AS310" t="inlineStr">
        <is>
          <t>Registro de preços/contratação de fornecimento de materiais, sem mão de obra de manutenção contratada.</t>
        </is>
      </c>
      <c r="AT310" t="n">
        <v>0</v>
      </c>
      <c r="AU310" t="n">
        <v>0</v>
      </c>
    </row>
    <row r="311">
      <c r="A311" t="inlineStr">
        <is>
          <t>03296968000790_2025_47</t>
        </is>
      </c>
      <c r="B311" s="2" t="inlineStr">
        <is>
          <t>https://pncp.gov.br/app/editais/03296968000790/2025/47</t>
        </is>
      </c>
      <c r="C311" t="inlineStr">
        <is>
          <t>2026-09-27T04:57:44.071691+00:00</t>
        </is>
      </c>
      <c r="D311" t="inlineStr">
        <is>
          <t>DF</t>
        </is>
      </c>
      <c r="E311" t="inlineStr">
        <is>
          <t>vizinhos</t>
        </is>
      </c>
      <c r="F311" t="inlineStr">
        <is>
          <t>Brasília</t>
        </is>
      </c>
      <c r="G311" t="inlineStr">
        <is>
          <t>SENAC - SERVICO NACIONAL DE APRENDIZAGEM COMERCIAL - ADMINIS</t>
        </is>
      </c>
      <c r="H311" t="inlineStr">
        <is>
          <t>Não se aplica</t>
        </is>
      </c>
      <c r="I311" t="inlineStr">
        <is>
          <t>2025-10-24T07:22:40</t>
        </is>
      </c>
      <c r="J311" t="inlineStr">
        <is>
          <t>Pregão - Eletrônico</t>
        </is>
      </c>
      <c r="K311" t="inlineStr">
        <is>
          <t>Aquisição de equipamentos de infraestrutura, iluminação audiovisual, foto e vídeo para atender às necessidades do Senac AR/DF</t>
        </is>
      </c>
      <c r="L311" t="b">
        <v>0</v>
      </c>
      <c r="M311" t="inlineStr">
        <is>
          <t>iluminacao_publica</t>
        </is>
      </c>
      <c r="N311" t="inlineStr">
        <is>
          <t>iluminacao_publica</t>
        </is>
      </c>
      <c r="O311" t="n">
        <v>39064.77</v>
      </c>
      <c r="P311" t="n">
        <v>18596.11</v>
      </c>
      <c r="Q311" t="n">
        <v>22095</v>
      </c>
      <c r="R311" t="n">
        <v>0.158356641774157</v>
      </c>
      <c r="S311" t="n">
        <v>0</v>
      </c>
      <c r="T311" t="n">
        <v>35</v>
      </c>
      <c r="U311" t="n">
        <v>8</v>
      </c>
      <c r="V311" t="n">
        <v>8</v>
      </c>
      <c r="W311" t="n">
        <v>14</v>
      </c>
      <c r="X311" t="n">
        <v>13</v>
      </c>
      <c r="Y311" t="n">
        <v>0</v>
      </c>
      <c r="Z311" t="n">
        <v>1</v>
      </c>
      <c r="AA311" t="n">
        <v>0</v>
      </c>
      <c r="AB311" t="n">
        <v>0</v>
      </c>
      <c r="AC311" t="n">
        <v>0</v>
      </c>
      <c r="AD311" t="n">
        <v>0</v>
      </c>
      <c r="AE311" t="n">
        <v>4</v>
      </c>
      <c r="AF311" t="inlineStr">
        <is>
          <t>CAPITAL DISTRIBUICAO E IMPORTACAO LTDA:ME; S H V INDUSTRIA E COMERCIO DE MOVEIS LTDA:ME; EMGESA EMPRESA DE GERENCIAMENTO DE SOBRESSALENTES E AUTOMACAO LTDA:ME; MAX QUALITY COMERCIO LTDA:ME</t>
        </is>
      </c>
      <c r="AH311" t="inlineStr">
        <is>
          <t>pontual</t>
        </is>
      </c>
      <c r="AJ311" t="n">
        <v>0</v>
      </c>
      <c r="AK311" t="n">
        <v>0</v>
      </c>
      <c r="AL311" t="n">
        <v>0</v>
      </c>
      <c r="AM311" t="n">
        <v>0</v>
      </c>
      <c r="AN311" t="n">
        <v>0</v>
      </c>
      <c r="AQ311" t="n">
        <v>1</v>
      </c>
      <c r="AR311" t="inlineStr">
        <is>
          <t>fornecimento_puro</t>
        </is>
      </c>
      <c r="AS311" t="inlineStr">
        <is>
          <t>Registro de preços/contratação de fornecimento de materiais, sem mão de obra de manutenção contratada.</t>
        </is>
      </c>
      <c r="AT311" t="n">
        <v>0</v>
      </c>
      <c r="AU311" t="n">
        <v>0</v>
      </c>
    </row>
    <row r="312">
      <c r="A312" t="inlineStr">
        <is>
          <t>03342938000188_2025_98</t>
        </is>
      </c>
      <c r="B312" s="2" t="inlineStr">
        <is>
          <t>https://pncp.gov.br/app/editais/03342938000188/2025/98</t>
        </is>
      </c>
      <c r="C312" t="inlineStr">
        <is>
          <t>2026-09-27T05:26:20.486031+00:00</t>
        </is>
      </c>
      <c r="D312" t="inlineStr">
        <is>
          <t>MS</t>
        </is>
      </c>
      <c r="E312" t="inlineStr">
        <is>
          <t>vizinhos</t>
        </is>
      </c>
      <c r="F312" t="inlineStr">
        <is>
          <t>Inocência</t>
        </is>
      </c>
      <c r="G312" t="inlineStr">
        <is>
          <t>MUNICIPIO DE INOCENCIA</t>
        </is>
      </c>
      <c r="H312" t="inlineStr">
        <is>
          <t>Municipal</t>
        </is>
      </c>
      <c r="I312" t="inlineStr">
        <is>
          <t>2025-11-25T17:31:02</t>
        </is>
      </c>
      <c r="J312" t="inlineStr">
        <is>
          <t>Pregão - Eletrônico</t>
        </is>
      </c>
      <c r="K312" t="inlineStr">
        <is>
          <t xml:space="preserve">objeto da presente licitação é contratação de empresa especializada para disponibilização de sistema de gerenciamento, orçamento e intermediação para fornecimento de peças e serviços de manutenção preventiva e corretiva, instalação e desinstalação de equipamentos de climatização e refrigeração, visando atender às necessidades das secretarias e fundos do município de inocência/ms, pelo período de 12 (doze) meses as especificações e condições estabelecidas neste edital e em seus anexos. </t>
        </is>
      </c>
      <c r="L312" t="b">
        <v>0</v>
      </c>
      <c r="M312" t="inlineStr">
        <is>
          <t>climatizacao</t>
        </is>
      </c>
      <c r="N312" t="inlineStr">
        <is>
          <t>climatizacao</t>
        </is>
      </c>
      <c r="O312" t="n">
        <v>456100</v>
      </c>
      <c r="P312" t="n">
        <v>1.36</v>
      </c>
      <c r="Q312" t="n">
        <v>456100</v>
      </c>
      <c r="R312" t="n">
        <v>0.9999970181977633</v>
      </c>
      <c r="S312" t="n">
        <v>1</v>
      </c>
      <c r="T312" t="n">
        <v>23</v>
      </c>
      <c r="U312" t="n">
        <v>23</v>
      </c>
      <c r="V312" t="n">
        <v>23</v>
      </c>
      <c r="W312" t="n">
        <v>0</v>
      </c>
      <c r="X312" t="n">
        <v>0</v>
      </c>
      <c r="Y312" t="n">
        <v>0</v>
      </c>
      <c r="Z312" t="n">
        <v>0</v>
      </c>
      <c r="AA312" t="n">
        <v>0</v>
      </c>
      <c r="AB312" t="n">
        <v>0</v>
      </c>
      <c r="AC312" t="n">
        <v>0</v>
      </c>
      <c r="AD312" t="n">
        <v>0</v>
      </c>
      <c r="AE312" t="n">
        <v>1</v>
      </c>
      <c r="AF312" t="inlineStr">
        <is>
          <t>NP3 COMERCIO E SERVIÇOS LTDA:Demais</t>
        </is>
      </c>
      <c r="AH312" t="inlineStr">
        <is>
          <t>pontual</t>
        </is>
      </c>
      <c r="AI312" t="n">
        <v>12</v>
      </c>
      <c r="AJ312" t="n">
        <v>0</v>
      </c>
      <c r="AK312" t="n">
        <v>0</v>
      </c>
      <c r="AL312" t="n">
        <v>0</v>
      </c>
      <c r="AM312" t="n">
        <v>0</v>
      </c>
      <c r="AN312" t="n">
        <v>0</v>
      </c>
      <c r="AQ312" t="n">
        <v>1</v>
      </c>
      <c r="AS312" t="inlineStr">
        <is>
          <t>servico de gerenciamento/intermediacao de manutencao preventiva/corretiva com pecas por demanda; modelo atipico mas ainda servico de manutencao.</t>
        </is>
      </c>
      <c r="AT312" t="n">
        <v>1</v>
      </c>
      <c r="AU312" t="n">
        <v>1</v>
      </c>
    </row>
    <row r="313">
      <c r="A313" t="inlineStr">
        <is>
          <t>03342938000188_2025_99</t>
        </is>
      </c>
      <c r="B313" s="2" t="inlineStr">
        <is>
          <t>https://pncp.gov.br/app/editais/03342938000188/2025/99</t>
        </is>
      </c>
      <c r="C313" t="inlineStr">
        <is>
          <t>2026-09-27T05:29:58.962433+00:00</t>
        </is>
      </c>
      <c r="D313" t="inlineStr">
        <is>
          <t>MS</t>
        </is>
      </c>
      <c r="E313" t="inlineStr">
        <is>
          <t>vizinhos</t>
        </is>
      </c>
      <c r="F313" t="inlineStr">
        <is>
          <t>Inocência</t>
        </is>
      </c>
      <c r="G313" t="inlineStr">
        <is>
          <t>MUNICIPIO DE INOCENCIA</t>
        </is>
      </c>
      <c r="H313" t="inlineStr">
        <is>
          <t>Municipal</t>
        </is>
      </c>
      <c r="I313" t="inlineStr">
        <is>
          <t>2025-11-25T18:02:50</t>
        </is>
      </c>
      <c r="J313" t="inlineStr">
        <is>
          <t>Pregão - Eletrônico</t>
        </is>
      </c>
      <c r="K313" t="inlineStr">
        <is>
          <t xml:space="preserve">Aquisição e instalação de poli guindaste duplo articulado, novo, de primeiro uso, com capacidade de içamento de até 16 toneladas, compatível com caçambas estacionárias tipo Brooks de 3 a 5 m³, incluindo todos os componentes e serviços necessários para a sua instalação completa e funcionamento no caminhão Mercedes-Benz, modelo MB/L 1620, ano 2001, cor branca, chassi nº 6953011B258471, placa HQH-6104.
O objeto também inclui a aquisição de caçambas estacionárias (tipo Brooks), com capacidade volumétrica de 5 m³ cada, devidamente compatíveis com o equipamento fornecido, fabricadas conforme normas técnicas vigentes e dotadas de estrutura metálica reforçada, pintura anticorrosiva e sistema de engate compatível com o poli guindaste instalado.
Todo o fornecimento deverá respeitar as normas de segurança e operação pertinentes, e os equipamentos deverão ser entregues com manual técnico, certificado de garantia mínima de 12 meses (para o poli guindaste, instalação e caçambas), e termo de instalação assinado por responsável técnico
</t>
        </is>
      </c>
      <c r="L313" t="b">
        <v>0</v>
      </c>
      <c r="M313" t="inlineStr">
        <is>
          <t>munck</t>
        </is>
      </c>
      <c r="N313" t="inlineStr">
        <is>
          <t>munck</t>
        </is>
      </c>
      <c r="O313" t="n">
        <v>356133.33</v>
      </c>
      <c r="P313" t="n">
        <v>241133.33</v>
      </c>
      <c r="Q313" t="n">
        <v>356133.33</v>
      </c>
      <c r="R313" t="n">
        <v>0.3229127697764206</v>
      </c>
      <c r="S313" t="n">
        <v>0</v>
      </c>
      <c r="T313" t="n">
        <v>2</v>
      </c>
      <c r="U313" t="n">
        <v>2</v>
      </c>
      <c r="V313" t="n">
        <v>2</v>
      </c>
      <c r="W313" t="n">
        <v>0</v>
      </c>
      <c r="X313" t="n">
        <v>0</v>
      </c>
      <c r="Y313" t="n">
        <v>0</v>
      </c>
      <c r="Z313" t="n">
        <v>0</v>
      </c>
      <c r="AA313" t="n">
        <v>0</v>
      </c>
      <c r="AB313" t="n">
        <v>0</v>
      </c>
      <c r="AC313" t="n">
        <v>0</v>
      </c>
      <c r="AD313" t="n">
        <v>0</v>
      </c>
      <c r="AE313" t="n">
        <v>2</v>
      </c>
      <c r="AF313" t="inlineStr">
        <is>
          <t>IKIGAI COMERCIO:EPP; UNIFER METALURGICA E SERRALHERIA EIRELI:Demais</t>
        </is>
      </c>
      <c r="AH313" t="inlineStr">
        <is>
          <t>pontual</t>
        </is>
      </c>
      <c r="AI313" t="n">
        <v>12</v>
      </c>
      <c r="AJ313" t="n">
        <v>0</v>
      </c>
      <c r="AK313" t="n">
        <v>0</v>
      </c>
      <c r="AL313" t="n">
        <v>0</v>
      </c>
      <c r="AM313" t="n">
        <v>0</v>
      </c>
      <c r="AN313" t="n">
        <v>0</v>
      </c>
      <c r="AQ313" t="n">
        <v>1</v>
      </c>
      <c r="AR313" t="inlineStr">
        <is>
          <t>fornecimento_puro</t>
        </is>
      </c>
      <c r="AS313" t="inlineStr">
        <is>
          <t>Aquisição e instalação de poliguindaste duplo articulado (guincho de basculamento para caçambas estacionárias tipo Brooks) em caminhão já existente da prefeitura; equipamento de guincho de caçamba (diferente do guindauto/munck de içamento), e é aquisição de bem, não locação de serviço.</t>
        </is>
      </c>
      <c r="AT313" t="n">
        <v>1</v>
      </c>
      <c r="AU313" t="n">
        <v>0</v>
      </c>
    </row>
    <row r="314">
      <c r="A314" t="inlineStr">
        <is>
          <t>03354560000132_2025_58</t>
        </is>
      </c>
      <c r="B314" s="2" t="inlineStr">
        <is>
          <t>https://pncp.gov.br/app/editais/03354560000132/2025/58</t>
        </is>
      </c>
      <c r="C314" t="inlineStr">
        <is>
          <t>2026-09-27T05:30:05.960492+00:00</t>
        </is>
      </c>
      <c r="D314" t="inlineStr">
        <is>
          <t>MS</t>
        </is>
      </c>
      <c r="E314" t="inlineStr">
        <is>
          <t>vizinhos</t>
        </is>
      </c>
      <c r="F314" t="inlineStr">
        <is>
          <t>Rio Verde de Mato Grosso</t>
        </is>
      </c>
      <c r="G314" t="inlineStr">
        <is>
          <t>MUNICIPIO DE RIO VERDE DE MATO GROSSO</t>
        </is>
      </c>
      <c r="H314" t="inlineStr">
        <is>
          <t>Municipal</t>
        </is>
      </c>
      <c r="I314" t="inlineStr">
        <is>
          <t>2025-11-13T11:24:01</t>
        </is>
      </c>
      <c r="J314" t="inlineStr">
        <is>
          <t>Pregão - Eletrônico</t>
        </is>
      </c>
      <c r="K314" t="inlineStr">
        <is>
          <t>CONTRATAÇÃO DE EMPRESA ESPECIALIZADA PARA ATENDER IMPLANTAÇÃO COM FORNECIMENTO DE MATERIAL E EQUIPAMENTOS PARA ORNAMENTAÇÃO DE SUPER POSTES EM DIVERSOS LOCAIS NO MUNICÍPIO DE RIO VERDE DE MT/MS.</t>
        </is>
      </c>
      <c r="L314" t="b">
        <v>0</v>
      </c>
      <c r="M314" t="inlineStr">
        <is>
          <t>munck</t>
        </is>
      </c>
      <c r="N314" t="inlineStr">
        <is>
          <t>munck</t>
        </is>
      </c>
      <c r="O314" t="n">
        <v>197157.88</v>
      </c>
      <c r="P314" t="n">
        <v>191320.01</v>
      </c>
      <c r="Q314" t="n">
        <v>197157.88</v>
      </c>
      <c r="R314" t="n">
        <v>0.02961012768041524</v>
      </c>
      <c r="S314" t="n">
        <v>0</v>
      </c>
      <c r="T314" t="n">
        <v>4</v>
      </c>
      <c r="U314" t="n">
        <v>4</v>
      </c>
      <c r="V314" t="n">
        <v>4</v>
      </c>
      <c r="W314" t="n">
        <v>0</v>
      </c>
      <c r="X314" t="n">
        <v>0</v>
      </c>
      <c r="Y314" t="n">
        <v>0</v>
      </c>
      <c r="Z314" t="n">
        <v>0</v>
      </c>
      <c r="AA314" t="n">
        <v>0</v>
      </c>
      <c r="AB314" t="n">
        <v>0</v>
      </c>
      <c r="AC314" t="n">
        <v>0</v>
      </c>
      <c r="AD314" t="n">
        <v>0</v>
      </c>
      <c r="AE314" t="n">
        <v>1</v>
      </c>
      <c r="AF314" t="inlineStr">
        <is>
          <t>LASER ILUMINAÇÃO LTDA.:ME</t>
        </is>
      </c>
      <c r="AH314" t="inlineStr">
        <is>
          <t>pontual</t>
        </is>
      </c>
      <c r="AJ314" t="n">
        <v>0</v>
      </c>
      <c r="AK314" t="n">
        <v>0</v>
      </c>
      <c r="AL314" t="n">
        <v>0</v>
      </c>
      <c r="AM314" t="n">
        <v>0</v>
      </c>
      <c r="AN314" t="n">
        <v>0</v>
      </c>
      <c r="AQ314" t="n">
        <v>1</v>
      </c>
      <c r="AS314" t="inlineStr">
        <is>
          <t>RECLASSIFICADO de fornecimento_puro: obra pequena (R$197 mil) de implantação/ornamentação de postes com item explícito de 'MÃO DE OBRA' separado do material; abaixo do limiar de obra grande, dentro do escopo de 'implantação de postes'.</t>
        </is>
      </c>
      <c r="AT314" t="n">
        <v>0</v>
      </c>
      <c r="AU314" t="n">
        <v>1</v>
      </c>
    </row>
    <row r="315">
      <c r="A315" t="inlineStr">
        <is>
          <t>03408911000140_2026_23</t>
        </is>
      </c>
      <c r="B315" s="2" t="inlineStr">
        <is>
          <t>https://pncp.gov.br/app/editais/03408911000140/2026/23</t>
        </is>
      </c>
      <c r="C315" t="inlineStr">
        <is>
          <t>2026-09-27T05:14:53.142057+00:00</t>
        </is>
      </c>
      <c r="D315" t="inlineStr">
        <is>
          <t>MT</t>
        </is>
      </c>
      <c r="E315" t="inlineStr">
        <is>
          <t>vizinhos</t>
        </is>
      </c>
      <c r="F315" t="inlineStr">
        <is>
          <t>Poxoréu</t>
        </is>
      </c>
      <c r="G315" t="inlineStr">
        <is>
          <t>MUNICIPIO DE POXOREO</t>
        </is>
      </c>
      <c r="H315" t="inlineStr">
        <is>
          <t>Municipal</t>
        </is>
      </c>
      <c r="I315" t="inlineStr">
        <is>
          <t>2026-05-20T09:03:25</t>
        </is>
      </c>
      <c r="J315" t="inlineStr">
        <is>
          <t>Pregão - Eletrônico</t>
        </is>
      </c>
      <c r="K315" t="inlineStr">
        <is>
          <t>CONTRATAÇÃO DE EMPRESA ESPECIALIZADA PARA PRESTAÇÃO DE SERVIÇOS DE LOCAÇÃO DE ROLOS COMPACTADORES, CAMINHÃO PIPA, TRATOR ESTEIRA, CAMINHÃO PRENSA (COMPACTADOR), CAMINHÃO MUNCK E CAMINHÃO TIPO ¾, DESTINADOS À MANUTENÇÃO DAS ESTRADAS, VIAS E APOIO OPERACIONAL DA SECRETARIA MUNICIPAL DE VIAÇÃO E OBRAS.</t>
        </is>
      </c>
      <c r="L315" t="b">
        <v>1</v>
      </c>
      <c r="M315" t="inlineStr">
        <is>
          <t>munck</t>
        </is>
      </c>
      <c r="N315" t="inlineStr">
        <is>
          <t>munck</t>
        </is>
      </c>
      <c r="O315" t="n">
        <v>2343999.96</v>
      </c>
      <c r="P315" t="n">
        <v>2162399.88</v>
      </c>
      <c r="Q315" t="n">
        <v>2343999.96</v>
      </c>
      <c r="R315" t="n">
        <v>0.07747443818215771</v>
      </c>
      <c r="S315" t="n">
        <v>0</v>
      </c>
      <c r="T315" t="n">
        <v>6</v>
      </c>
      <c r="U315" t="n">
        <v>6</v>
      </c>
      <c r="V315" t="n">
        <v>6</v>
      </c>
      <c r="W315" t="n">
        <v>0</v>
      </c>
      <c r="X315" t="n">
        <v>0</v>
      </c>
      <c r="Y315" t="n">
        <v>0</v>
      </c>
      <c r="Z315" t="n">
        <v>0</v>
      </c>
      <c r="AA315" t="n">
        <v>0</v>
      </c>
      <c r="AB315" t="n">
        <v>0</v>
      </c>
      <c r="AC315" t="n">
        <v>0</v>
      </c>
      <c r="AD315" t="n">
        <v>0</v>
      </c>
      <c r="AE315" t="n">
        <v>3</v>
      </c>
      <c r="AF315" t="inlineStr">
        <is>
          <t>UDSON DANILO DO NASCIMENO FERREIRA 03880160198:Não Informado; PRENCON INCORPORADORA E IMOBILIARIA LTDA:Não Informado; IZABELA SILVA PAULINO:Não Informado</t>
        </is>
      </c>
      <c r="AH315" t="inlineStr">
        <is>
          <t>indefinido</t>
        </is>
      </c>
      <c r="AJ315" t="n">
        <v>0</v>
      </c>
      <c r="AK315" t="n">
        <v>0</v>
      </c>
      <c r="AL315" t="n">
        <v>0</v>
      </c>
      <c r="AM315" t="n">
        <v>0</v>
      </c>
      <c r="AN315" t="n">
        <v>0</v>
      </c>
      <c r="AQ315" t="n">
        <v>1</v>
      </c>
      <c r="AS315" t="inlineStr">
        <is>
          <t>RECLASSIFICADO parcialmente: frota mista de equipamentos rodoviários (rolo compactador, trator de esteira, caminhão 3/4), mas o item 4 é especificamente locação de caminhão munck 10 t / lança 21,8 m vertical -- disputável isoladamente; itens mal codificados como material pelo órgão.</t>
        </is>
      </c>
      <c r="AT315" t="n">
        <v>1</v>
      </c>
      <c r="AU315" t="n">
        <v>1</v>
      </c>
    </row>
    <row r="316">
      <c r="A316" t="inlineStr">
        <is>
          <t>03408911000140_2026_59</t>
        </is>
      </c>
      <c r="B316" s="2" t="inlineStr">
        <is>
          <t>https://pncp.gov.br/app/editais/03408911000140/2026/59</t>
        </is>
      </c>
      <c r="C316" t="inlineStr">
        <is>
          <t>2026-09-27T05:07:36.824062+00:00</t>
        </is>
      </c>
      <c r="D316" t="inlineStr">
        <is>
          <t>MT</t>
        </is>
      </c>
      <c r="E316" t="inlineStr">
        <is>
          <t>vizinhos</t>
        </is>
      </c>
      <c r="F316" t="inlineStr">
        <is>
          <t>Poxoréu</t>
        </is>
      </c>
      <c r="G316" t="inlineStr">
        <is>
          <t>MUNICIPIO DE POXOREO</t>
        </is>
      </c>
      <c r="H316" t="inlineStr">
        <is>
          <t>Municipal</t>
        </is>
      </c>
      <c r="I316" t="inlineStr">
        <is>
          <t>2026-08-11T16:37:43</t>
        </is>
      </c>
      <c r="J316" t="inlineStr">
        <is>
          <t>Pregão - Eletrônico</t>
        </is>
      </c>
      <c r="K316" t="inlineStr">
        <is>
          <t xml:space="preserve"> CONTRATAÇÃO DE EMPRESA ESPECIALIZADA NA LIMPEZA, MANUTENÇÃO PREVENTIVA, MANUTENÇÃO CORRETIVA E HIGIENIZAÇÃO DE BEBEDOUROS E PURIFICADORES DE ÀGUA.</t>
        </is>
      </c>
      <c r="L316" t="b">
        <v>1</v>
      </c>
      <c r="M316" t="inlineStr">
        <is>
          <t>refrigeracao</t>
        </is>
      </c>
      <c r="N316" t="inlineStr">
        <is>
          <t>refrigeracao</t>
        </is>
      </c>
      <c r="O316" t="n">
        <v>67453.36</v>
      </c>
      <c r="P316" t="n">
        <v>40947.28</v>
      </c>
      <c r="Q316" t="n">
        <v>67453.36</v>
      </c>
      <c r="R316" t="n">
        <v>0.3929541834535744</v>
      </c>
      <c r="S316" t="n">
        <v>0</v>
      </c>
      <c r="T316" t="n">
        <v>1</v>
      </c>
      <c r="U316" t="n">
        <v>1</v>
      </c>
      <c r="V316" t="n">
        <v>1</v>
      </c>
      <c r="W316" t="n">
        <v>0</v>
      </c>
      <c r="X316" t="n">
        <v>0</v>
      </c>
      <c r="Y316" t="n">
        <v>0</v>
      </c>
      <c r="Z316" t="n">
        <v>0</v>
      </c>
      <c r="AA316" t="n">
        <v>0</v>
      </c>
      <c r="AB316" t="n">
        <v>0</v>
      </c>
      <c r="AC316" t="n">
        <v>0</v>
      </c>
      <c r="AD316" t="n">
        <v>0</v>
      </c>
      <c r="AE316" t="n">
        <v>1</v>
      </c>
      <c r="AF316" t="inlineStr">
        <is>
          <t>CASA DOS FILTROS COMERCIO E SERVICOS LTDA - ME:Não Informado</t>
        </is>
      </c>
      <c r="AH316" t="inlineStr">
        <is>
          <t>indefinido</t>
        </is>
      </c>
      <c r="AJ316" t="n">
        <v>0</v>
      </c>
      <c r="AK316" t="n">
        <v>0</v>
      </c>
      <c r="AL316" t="n">
        <v>0</v>
      </c>
      <c r="AM316" t="n">
        <v>0</v>
      </c>
      <c r="AN316" t="n">
        <v>0</v>
      </c>
      <c r="AQ316" t="n">
        <v>1</v>
      </c>
      <c r="AS316" t="inlineStr">
        <is>
          <t>Item unico cadastrado como 'Material' no PNCP, mas a descricao e 'Prestacao de servico de Limpeza, higienizacao periodica de Bebedouros e purificadores de Agua, incluindo manutencao preventiva e corretiva', cobrado por HORA (632h) -- servico real de manutencao de bebedouros/purificadores, mal cadastrado pelo orgao como material.</t>
        </is>
      </c>
      <c r="AT316" t="n">
        <v>1</v>
      </c>
      <c r="AU316" t="n">
        <v>1</v>
      </c>
    </row>
    <row r="317">
      <c r="A317" t="inlineStr">
        <is>
          <t>03501509000106_2026_85</t>
        </is>
      </c>
      <c r="B317" s="2" t="inlineStr">
        <is>
          <t>https://pncp.gov.br/app/editais/03501509000106/2026/85</t>
        </is>
      </c>
      <c r="C317" t="inlineStr">
        <is>
          <t>2026-09-27T05:21:05.680557+00:00</t>
        </is>
      </c>
      <c r="D317" t="inlineStr">
        <is>
          <t>MS</t>
        </is>
      </c>
      <c r="E317" t="inlineStr">
        <is>
          <t>vizinhos</t>
        </is>
      </c>
      <c r="F317" t="inlineStr">
        <is>
          <t>Campo Grande</t>
        </is>
      </c>
      <c r="G317" t="inlineStr">
        <is>
          <t>MUNICIPIO DE CAMPO GRANDE</t>
        </is>
      </c>
      <c r="H317" t="inlineStr">
        <is>
          <t>Municipal</t>
        </is>
      </c>
      <c r="I317" t="inlineStr">
        <is>
          <t>2026-07-02T11:04:12</t>
        </is>
      </c>
      <c r="J317" t="inlineStr">
        <is>
          <t>Pregão - Eletrônico</t>
        </is>
      </c>
      <c r="K317" t="inlineStr">
        <is>
          <t>Aquisição de aparelhos de ar condicionado para a Escola de Governo</t>
        </is>
      </c>
      <c r="L317" t="b">
        <v>0</v>
      </c>
      <c r="M317" t="inlineStr">
        <is>
          <t>climatizacao</t>
        </is>
      </c>
      <c r="N317" t="inlineStr">
        <is>
          <t>climatizacao</t>
        </is>
      </c>
      <c r="O317" t="n">
        <v>254018.89</v>
      </c>
      <c r="P317" t="n">
        <v>229989.99</v>
      </c>
      <c r="Q317" t="n">
        <v>254018.89</v>
      </c>
      <c r="R317" t="n">
        <v>0.09459493347128632</v>
      </c>
      <c r="S317" t="n">
        <v>0</v>
      </c>
      <c r="T317" t="n">
        <v>10</v>
      </c>
      <c r="U317" t="n">
        <v>10</v>
      </c>
      <c r="V317" t="n">
        <v>10</v>
      </c>
      <c r="W317" t="n">
        <v>0</v>
      </c>
      <c r="X317" t="n">
        <v>0</v>
      </c>
      <c r="Y317" t="n">
        <v>0</v>
      </c>
      <c r="Z317" t="n">
        <v>0</v>
      </c>
      <c r="AA317" t="n">
        <v>0</v>
      </c>
      <c r="AB317" t="n">
        <v>0</v>
      </c>
      <c r="AC317" t="n">
        <v>0</v>
      </c>
      <c r="AD317" t="n">
        <v>0</v>
      </c>
      <c r="AE317" t="n">
        <v>1</v>
      </c>
      <c r="AF317" t="inlineStr">
        <is>
          <t>ARPEJO COMUNICAÇÃO COMÉRCIO E SERVIÇOS LTDA:Não Informado</t>
        </is>
      </c>
      <c r="AH317" t="inlineStr">
        <is>
          <t>pontual</t>
        </is>
      </c>
      <c r="AJ317" t="n">
        <v>0</v>
      </c>
      <c r="AK317" t="n">
        <v>0</v>
      </c>
      <c r="AL317" t="n">
        <v>0</v>
      </c>
      <c r="AM317" t="n">
        <v>0</v>
      </c>
      <c r="AN317" t="n">
        <v>0</v>
      </c>
      <c r="AQ317" t="n">
        <v>0.7935355122605253</v>
      </c>
      <c r="AR317" t="inlineStr">
        <is>
          <t>equipamento_alto</t>
        </is>
      </c>
      <c r="AS317" t="inlineStr">
        <is>
          <t>heuristica automatica confirmada (equipamento_alto): fracao estimada em itens de material = 79% (&gt; 40%).</t>
        </is>
      </c>
      <c r="AT317" t="n">
        <v>0</v>
      </c>
      <c r="AU317" t="n">
        <v>0</v>
      </c>
    </row>
    <row r="318">
      <c r="A318" t="inlineStr">
        <is>
          <t>03501525000107_2025_110</t>
        </is>
      </c>
      <c r="B318" s="2" t="inlineStr">
        <is>
          <t>https://pncp.gov.br/app/editais/03501525000107/2025/110</t>
        </is>
      </c>
      <c r="C318" t="inlineStr">
        <is>
          <t>2026-09-27T05:27:17.471373+00:00</t>
        </is>
      </c>
      <c r="D318" t="inlineStr">
        <is>
          <t>MS</t>
        </is>
      </c>
      <c r="E318" t="inlineStr">
        <is>
          <t>vizinhos</t>
        </is>
      </c>
      <c r="F318" t="inlineStr">
        <is>
          <t>Corguinho</t>
        </is>
      </c>
      <c r="G318" t="inlineStr">
        <is>
          <t>MUNICIPIO DE CORGUINHO</t>
        </is>
      </c>
      <c r="H318" t="inlineStr">
        <is>
          <t>Municipal</t>
        </is>
      </c>
      <c r="I318" t="inlineStr">
        <is>
          <t>2025-11-28T15:49:02</t>
        </is>
      </c>
      <c r="J318" t="inlineStr">
        <is>
          <t>Pregão - Eletrônico</t>
        </is>
      </c>
      <c r="K318" t="inlineStr">
        <is>
          <t>Contratação de empresa especializada na prestação de serviços continuados de manutenção preventiva e corretiva, instalação, ampliação e reforma da rede predial elétrica, lógica e de cabeamento estruturado, bem como manutenção preventiva e corretiva da iluminação pública no município de Corguinho/MS. Os serviços deverão atender todas as unidades da Prefeitura Municipal de Corguinho, incluindo feiras culturais, eventos oficiais, distritos, assentamentos e demais localidades do território municipal</t>
        </is>
      </c>
      <c r="L318" t="b">
        <v>0</v>
      </c>
      <c r="M318" t="inlineStr">
        <is>
          <t>iluminacao_publica</t>
        </is>
      </c>
      <c r="N318" t="inlineStr">
        <is>
          <t>iluminacao_publica</t>
        </is>
      </c>
      <c r="O318" t="n">
        <v>0</v>
      </c>
      <c r="S318" t="n">
        <v>0</v>
      </c>
      <c r="T318" t="n">
        <v>2</v>
      </c>
      <c r="U318" t="n">
        <v>0</v>
      </c>
      <c r="V318" t="n">
        <v>0</v>
      </c>
      <c r="W318" t="n">
        <v>0</v>
      </c>
      <c r="X318" t="n">
        <v>0</v>
      </c>
      <c r="Y318" t="n">
        <v>2</v>
      </c>
      <c r="Z318" t="n">
        <v>0</v>
      </c>
      <c r="AA318" t="n">
        <v>0</v>
      </c>
      <c r="AB318" t="n">
        <v>0</v>
      </c>
      <c r="AC318" t="n">
        <v>0</v>
      </c>
      <c r="AD318" t="n">
        <v>0</v>
      </c>
      <c r="AE318" t="n">
        <v>0</v>
      </c>
      <c r="AF318" t="inlineStr"/>
      <c r="AH318" t="inlineStr">
        <is>
          <t>continuado</t>
        </is>
      </c>
      <c r="AJ318" t="n">
        <v>0</v>
      </c>
      <c r="AK318" t="n">
        <v>0</v>
      </c>
      <c r="AL318" t="n">
        <v>0</v>
      </c>
      <c r="AM318" t="n">
        <v>0</v>
      </c>
      <c r="AN318" t="n">
        <v>0</v>
      </c>
      <c r="AQ318" t="n">
        <v>1</v>
      </c>
      <c r="AS318" t="inlineStr">
        <is>
          <t>Objeto é 'prestação de serviços continuados de manutenção preventiva e corretiva... da rede predial elétrica... bem como manutenção preventiva e corretiva da iluminação pública' (mão de obra); os 2 itens do PNCP vieram codificados como material, mas a natureza do contrato é de serviço continuado. Processo sem resultado homologado (itens anulados/cancelados) — sem dado de valor utilizável, mas mantido como evidência de demanda por manutenção contínua de IP.</t>
        </is>
      </c>
      <c r="AT318" t="n">
        <v>1</v>
      </c>
      <c r="AU318" t="n">
        <v>1</v>
      </c>
    </row>
    <row r="319">
      <c r="A319" t="inlineStr">
        <is>
          <t>03501525000107_2026_15</t>
        </is>
      </c>
      <c r="B319" s="2" t="inlineStr">
        <is>
          <t>https://pncp.gov.br/app/editais/03501525000107/2026/15</t>
        </is>
      </c>
      <c r="C319" t="inlineStr">
        <is>
          <t>2026-09-27T05:26:25.239060+00:00</t>
        </is>
      </c>
      <c r="D319" t="inlineStr">
        <is>
          <t>MS</t>
        </is>
      </c>
      <c r="E319" t="inlineStr">
        <is>
          <t>vizinhos</t>
        </is>
      </c>
      <c r="F319" t="inlineStr">
        <is>
          <t>Corguinho</t>
        </is>
      </c>
      <c r="G319" t="inlineStr">
        <is>
          <t>MUNICIPIO DE CORGUINHO</t>
        </is>
      </c>
      <c r="H319" t="inlineStr">
        <is>
          <t>Municipal</t>
        </is>
      </c>
      <c r="I319" t="inlineStr">
        <is>
          <t>2026-03-13T10:55:33</t>
        </is>
      </c>
      <c r="J319" t="inlineStr">
        <is>
          <t>Pregão - Eletrônico</t>
        </is>
      </c>
      <c r="K319" t="inlineStr">
        <is>
          <t>contratação de empresa especializada na prestação de serviços continuados de manutenção preventiva e corretiva, instalação, ampliação e reforma da rede predial elétrica, lógica e de cabeamento estruturado, bem como manutenção preventiva e corretiva da iluminação pública no município de Corguinho/MS. Os serviços deverão atender todas as unidades da Prefeitura Municipal de Corguinho, incluindo feiras culturais, eventos oficiais, distritos, assentamentos e demais localidades do território municipal</t>
        </is>
      </c>
      <c r="L319" t="b">
        <v>0</v>
      </c>
      <c r="M319" t="inlineStr">
        <is>
          <t>iluminacao_publica</t>
        </is>
      </c>
      <c r="N319" t="inlineStr">
        <is>
          <t>iluminacao_publica</t>
        </is>
      </c>
      <c r="O319" t="n">
        <v>101887.08</v>
      </c>
      <c r="P319" t="n">
        <v>101848.92</v>
      </c>
      <c r="Q319" t="n">
        <v>101887.08</v>
      </c>
      <c r="R319" t="n">
        <v>0.0003745322763200618</v>
      </c>
      <c r="S319" t="n">
        <v>0</v>
      </c>
      <c r="T319" t="n">
        <v>2</v>
      </c>
      <c r="U319" t="n">
        <v>2</v>
      </c>
      <c r="V319" t="n">
        <v>2</v>
      </c>
      <c r="W319" t="n">
        <v>0</v>
      </c>
      <c r="X319" t="n">
        <v>0</v>
      </c>
      <c r="Y319" t="n">
        <v>0</v>
      </c>
      <c r="Z319" t="n">
        <v>0</v>
      </c>
      <c r="AA319" t="n">
        <v>0</v>
      </c>
      <c r="AB319" t="n">
        <v>0</v>
      </c>
      <c r="AC319" t="n">
        <v>0</v>
      </c>
      <c r="AD319" t="n">
        <v>0</v>
      </c>
      <c r="AE319" t="n">
        <v>1</v>
      </c>
      <c r="AF319" t="inlineStr">
        <is>
          <t>LUCIANO SURIANO DE OLIVEIRA :ME</t>
        </is>
      </c>
      <c r="AH319" t="inlineStr">
        <is>
          <t>continuado</t>
        </is>
      </c>
      <c r="AJ319" t="n">
        <v>0</v>
      </c>
      <c r="AK319" t="n">
        <v>0</v>
      </c>
      <c r="AL319" t="n">
        <v>0</v>
      </c>
      <c r="AM319" t="n">
        <v>0</v>
      </c>
      <c r="AN319" t="n">
        <v>0</v>
      </c>
      <c r="AQ319" t="n">
        <v>1</v>
      </c>
      <c r="AS319" t="inlineStr">
        <is>
          <t>Mesmo objeto de serviço continuado de manutenção de IP/rede predial do caso anterior (mesma prefeitura, novo processo), desta vez com resultado homologado (R$101.848,92, desconto ~0,04%). Reclassificado por revisão manual — natureza de serviço continuado de manutenção, não fornecimento de material.</t>
        </is>
      </c>
      <c r="AT319" t="n">
        <v>1</v>
      </c>
      <c r="AU319" t="n">
        <v>1</v>
      </c>
    </row>
    <row r="320">
      <c r="A320" t="inlineStr">
        <is>
          <t>03501525000107_2026_61</t>
        </is>
      </c>
      <c r="B320" s="2" t="inlineStr">
        <is>
          <t>https://pncp.gov.br/app/editais/03501525000107/2026/61</t>
        </is>
      </c>
      <c r="C320" t="inlineStr">
        <is>
          <t>2026-09-27T05:16:20.091088+00:00</t>
        </is>
      </c>
      <c r="D320" t="inlineStr">
        <is>
          <t>MS</t>
        </is>
      </c>
      <c r="E320" t="inlineStr">
        <is>
          <t>vizinhos</t>
        </is>
      </c>
      <c r="F320" t="inlineStr">
        <is>
          <t>Corguinho</t>
        </is>
      </c>
      <c r="G320" t="inlineStr">
        <is>
          <t>MUNICIPIO DE CORGUINHO</t>
        </is>
      </c>
      <c r="H320" t="inlineStr">
        <is>
          <t>Municipal</t>
        </is>
      </c>
      <c r="I320" t="inlineStr">
        <is>
          <t>2026-09-23T12:02:51</t>
        </is>
      </c>
      <c r="J320" t="inlineStr">
        <is>
          <t>Pregão - Eletrônico</t>
        </is>
      </c>
      <c r="K320" t="inlineStr">
        <is>
          <t>CONTRATAÇÃO DE EMPRESA ESPECIALIZADA PARA O FORNECIMENTO PARCELADO DE MATERIAIS ELÉTRICOS E EQUIPAMENTOS DE ILUMINAÇÃO PÚBLICA, DESTINADOS À MANUTENÇÃO, MODERNIZAÇÃO, AMPLIAÇÃO E RECUPERAÇÃO DA REDE DE ILUMINAÇÃO PÚBLICA DO MUNICÍPIO DE CORGUINHO/MS, MEDIANTE ADESÃO À ATA DE REGISTRO DE PREÇOS Nº 010/2024 (PREGÃO ELETRÔNICO Nº 011/2024) DO MUNICÍPIO DE NOVO GAMA/GO.</t>
        </is>
      </c>
      <c r="L320" t="b">
        <v>1</v>
      </c>
      <c r="M320" t="inlineStr">
        <is>
          <t>iluminacao_publica</t>
        </is>
      </c>
      <c r="N320" t="inlineStr">
        <is>
          <t>iluminacao_publica</t>
        </is>
      </c>
      <c r="O320" t="n">
        <v>939635.05</v>
      </c>
      <c r="P320" t="n">
        <v>799740.7</v>
      </c>
      <c r="Q320" t="n">
        <v>939635.05</v>
      </c>
      <c r="R320" t="n">
        <v>0.148881579076898</v>
      </c>
      <c r="S320" t="n">
        <v>0</v>
      </c>
      <c r="T320" t="n">
        <v>29</v>
      </c>
      <c r="U320" t="n">
        <v>29</v>
      </c>
      <c r="V320" t="n">
        <v>29</v>
      </c>
      <c r="W320" t="n">
        <v>0</v>
      </c>
      <c r="X320" t="n">
        <v>0</v>
      </c>
      <c r="Y320" t="n">
        <v>0</v>
      </c>
      <c r="Z320" t="n">
        <v>0</v>
      </c>
      <c r="AA320" t="n">
        <v>0</v>
      </c>
      <c r="AB320" t="n">
        <v>0</v>
      </c>
      <c r="AC320" t="n">
        <v>0</v>
      </c>
      <c r="AD320" t="n">
        <v>1</v>
      </c>
      <c r="AE320" t="n">
        <v>1</v>
      </c>
      <c r="AF320" t="inlineStr">
        <is>
          <t>LEDLUZ INDUSTRIA E COMERCIO LTDA:EPP</t>
        </is>
      </c>
      <c r="AH320" t="inlineStr">
        <is>
          <t>pontual</t>
        </is>
      </c>
      <c r="AJ320" t="n">
        <v>0</v>
      </c>
      <c r="AK320" t="n">
        <v>0</v>
      </c>
      <c r="AL320" t="n">
        <v>0</v>
      </c>
      <c r="AM320" t="n">
        <v>0</v>
      </c>
      <c r="AN320" t="n">
        <v>0</v>
      </c>
      <c r="AQ320" t="n">
        <v>1</v>
      </c>
      <c r="AR320" t="inlineStr">
        <is>
          <t>fornecimento_puro</t>
        </is>
      </c>
      <c r="AS320" t="inlineStr">
        <is>
          <t>Registro de preços/contratação de fornecimento de materiais, sem mão de obra de manutenção contratada.</t>
        </is>
      </c>
      <c r="AT320" t="n">
        <v>1</v>
      </c>
      <c r="AU320" t="n">
        <v>0</v>
      </c>
    </row>
    <row r="321">
      <c r="A321" t="inlineStr">
        <is>
          <t>03501533000145_2026_39</t>
        </is>
      </c>
      <c r="B321" s="2" t="inlineStr">
        <is>
          <t>https://pncp.gov.br/app/editais/03501533000145/2026/39</t>
        </is>
      </c>
      <c r="C321" t="inlineStr">
        <is>
          <t>2026-09-27T05:16:38.098133+00:00</t>
        </is>
      </c>
      <c r="D321" t="inlineStr">
        <is>
          <t>MS</t>
        </is>
      </c>
      <c r="E321" t="inlineStr">
        <is>
          <t>vizinhos</t>
        </is>
      </c>
      <c r="F321" t="inlineStr">
        <is>
          <t>Jaraguari</t>
        </is>
      </c>
      <c r="G321" t="inlineStr">
        <is>
          <t>MUNICIPIO DE JARAGUARI</t>
        </is>
      </c>
      <c r="H321" t="inlineStr">
        <is>
          <t>Municipal</t>
        </is>
      </c>
      <c r="I321" t="inlineStr">
        <is>
          <t>2026-08-31T15:00:24</t>
        </is>
      </c>
      <c r="J321" t="inlineStr">
        <is>
          <t>Pregão - Eletrônico</t>
        </is>
      </c>
      <c r="K321" t="inlineStr">
        <is>
          <t>REGISTRO DE PREÇO PARA FUTURA AQUISIÇÃO DE MATERIAIS DE ILUMINAÇÃO PÚBLICA, CONFORME
CONDIÇÕES, QUANTIDADES E EXIGÊNCIAS ESTABELECIDAS NESTE INSTRUMENTO.</t>
        </is>
      </c>
      <c r="L321" t="b">
        <v>0</v>
      </c>
      <c r="M321" t="inlineStr">
        <is>
          <t>iluminacao_publica</t>
        </is>
      </c>
      <c r="N321" t="inlineStr">
        <is>
          <t>iluminacao_publica</t>
        </is>
      </c>
      <c r="O321" t="n">
        <v>226758.02</v>
      </c>
      <c r="P321" t="n">
        <v>67407.48</v>
      </c>
      <c r="Q321" t="n">
        <v>226758.02</v>
      </c>
      <c r="R321" t="n">
        <v>0.702733865818726</v>
      </c>
      <c r="S321" t="n">
        <v>0</v>
      </c>
      <c r="T321" t="n">
        <v>15</v>
      </c>
      <c r="U321" t="n">
        <v>15</v>
      </c>
      <c r="V321" t="n">
        <v>15</v>
      </c>
      <c r="W321" t="n">
        <v>0</v>
      </c>
      <c r="X321" t="n">
        <v>0</v>
      </c>
      <c r="Y321" t="n">
        <v>0</v>
      </c>
      <c r="Z321" t="n">
        <v>0</v>
      </c>
      <c r="AA321" t="n">
        <v>0</v>
      </c>
      <c r="AB321" t="n">
        <v>1</v>
      </c>
      <c r="AC321" t="n">
        <v>0</v>
      </c>
      <c r="AD321" t="n">
        <v>0</v>
      </c>
      <c r="AE321" t="n">
        <v>5</v>
      </c>
      <c r="AF321" t="inlineStr">
        <is>
          <t>P&amp;G COMERCIO E SERVIÇO LTDA:EPP; M LUZ MATERIAIS ELETRICOS E CONSTRUCAO LTDA:ME; KP MATERIAIS ELETRICO E CONSTRUÇÃO LTDA:ME; GLOBEXX DO BRASIL IMPORTAÇÃO E EXPORTAÇÃO  LTDA:ME; ILUMINA GOIAS ILUMINAÇÃO LTDA:ME</t>
        </is>
      </c>
      <c r="AH321" t="inlineStr">
        <is>
          <t>pontual</t>
        </is>
      </c>
      <c r="AJ321" t="n">
        <v>0</v>
      </c>
      <c r="AK321" t="n">
        <v>0</v>
      </c>
      <c r="AL321" t="n">
        <v>0</v>
      </c>
      <c r="AM321" t="n">
        <v>0</v>
      </c>
      <c r="AN321" t="n">
        <v>0</v>
      </c>
      <c r="AQ321" t="n">
        <v>1</v>
      </c>
      <c r="AR321" t="inlineStr">
        <is>
          <t>fornecimento_puro</t>
        </is>
      </c>
      <c r="AS321" t="inlineStr">
        <is>
          <t>Registro de preços/contratação de fornecimento de materiais, sem mão de obra de manutenção contratada.</t>
        </is>
      </c>
      <c r="AT321" t="n">
        <v>0</v>
      </c>
      <c r="AU321" t="n">
        <v>0</v>
      </c>
    </row>
    <row r="322">
      <c r="A322" t="inlineStr">
        <is>
          <t>03507415002864_2026_144</t>
        </is>
      </c>
      <c r="B322" s="2" t="inlineStr">
        <is>
          <t>https://pncp.gov.br/app/editais/03507415002864/2026/144</t>
        </is>
      </c>
      <c r="C322" t="inlineStr">
        <is>
          <t>2026-09-27T05:11:06.347296+00:00</t>
        </is>
      </c>
      <c r="D322" t="inlineStr">
        <is>
          <t>MT</t>
        </is>
      </c>
      <c r="E322" t="inlineStr">
        <is>
          <t>vizinhos</t>
        </is>
      </c>
      <c r="F322" t="inlineStr">
        <is>
          <t>Cuiabá</t>
        </is>
      </c>
      <c r="G322" t="inlineStr">
        <is>
          <t>ESTADO DE MATO GROSSO</t>
        </is>
      </c>
      <c r="H322" t="inlineStr">
        <is>
          <t>Estadual</t>
        </is>
      </c>
      <c r="I322" t="inlineStr">
        <is>
          <t>2026-09-10T11:46:10</t>
        </is>
      </c>
      <c r="J322" t="inlineStr">
        <is>
          <t>Pregão - Eletrônico</t>
        </is>
      </c>
      <c r="K322" t="inlineStr">
        <is>
          <t>Aquisição de equipamentos de iluminação e sinalização para atividades periciais da Perícia Oficial e Identificação Técnica (POLITEC).</t>
        </is>
      </c>
      <c r="L322" t="b">
        <v>0</v>
      </c>
      <c r="M322" t="inlineStr">
        <is>
          <t>iluminacao_publica</t>
        </is>
      </c>
      <c r="N322" t="inlineStr">
        <is>
          <t>iluminacao_publica</t>
        </is>
      </c>
      <c r="O322" t="n">
        <v>173176.8</v>
      </c>
      <c r="P322" t="n">
        <v>34399.78</v>
      </c>
      <c r="Q322" t="n">
        <v>56556.8</v>
      </c>
      <c r="R322" t="n">
        <v>0.3917658000452643</v>
      </c>
      <c r="S322" t="n">
        <v>0</v>
      </c>
      <c r="T322" t="n">
        <v>8</v>
      </c>
      <c r="U322" t="n">
        <v>6</v>
      </c>
      <c r="V322" t="n">
        <v>6</v>
      </c>
      <c r="W322" t="n">
        <v>0</v>
      </c>
      <c r="X322" t="n">
        <v>0</v>
      </c>
      <c r="Y322" t="n">
        <v>0</v>
      </c>
      <c r="Z322" t="n">
        <v>0</v>
      </c>
      <c r="AA322" t="n">
        <v>0</v>
      </c>
      <c r="AB322" t="n">
        <v>1</v>
      </c>
      <c r="AC322" t="n">
        <v>0</v>
      </c>
      <c r="AD322" t="n">
        <v>0</v>
      </c>
      <c r="AE322" t="n">
        <v>4</v>
      </c>
      <c r="AF322" t="inlineStr">
        <is>
          <t>EFFORT NEGÓCIOS LTDA:ME; MB COMERCIO DE MAQUINAS FERRAMENTAS E SERVICOS LTDA:ME; M LUZ MATERIAIS ELETRICOS E CONSTRUÇÃO LTDA:ME; J &amp; A E-COMMERCE LTDA:ME</t>
        </is>
      </c>
      <c r="AH322" t="inlineStr">
        <is>
          <t>pontual</t>
        </is>
      </c>
      <c r="AJ322" t="n">
        <v>0</v>
      </c>
      <c r="AK322" t="n">
        <v>0</v>
      </c>
      <c r="AL322" t="n">
        <v>0</v>
      </c>
      <c r="AM322" t="n">
        <v>0</v>
      </c>
      <c r="AN322" t="n">
        <v>0</v>
      </c>
      <c r="AQ322" t="n">
        <v>1</v>
      </c>
      <c r="AR322" t="inlineStr">
        <is>
          <t>mencao_passagem</t>
        </is>
      </c>
      <c r="AS322" t="inlineStr">
        <is>
          <t>Equipamentos de iluminação/sinalização para perícia técnica (POLITEC); não é IP de vias.</t>
        </is>
      </c>
      <c r="AT322" t="n">
        <v>0</v>
      </c>
      <c r="AU322" t="n">
        <v>0</v>
      </c>
    </row>
    <row r="323">
      <c r="A323" t="inlineStr">
        <is>
          <t>03507498000171_2026_113</t>
        </is>
      </c>
      <c r="B323" s="2" t="inlineStr">
        <is>
          <t>https://pncp.gov.br/app/editais/03507498000171/2026/113</t>
        </is>
      </c>
      <c r="C323" t="inlineStr">
        <is>
          <t>2026-09-27T05:07:32.687582+00:00</t>
        </is>
      </c>
      <c r="D323" t="inlineStr">
        <is>
          <t>MT</t>
        </is>
      </c>
      <c r="E323" t="inlineStr">
        <is>
          <t>vizinhos</t>
        </is>
      </c>
      <c r="F323" t="inlineStr">
        <is>
          <t>Aripuanã</t>
        </is>
      </c>
      <c r="G323" t="inlineStr">
        <is>
          <t>MUNICIPIO DE ARIPUANA</t>
        </is>
      </c>
      <c r="H323" t="inlineStr">
        <is>
          <t>Municipal</t>
        </is>
      </c>
      <c r="I323" t="inlineStr">
        <is>
          <t>2026-08-27T11:24:56</t>
        </is>
      </c>
      <c r="J323" t="inlineStr">
        <is>
          <t>Pregão - Presencial</t>
        </is>
      </c>
      <c r="K323" t="inlineStr">
        <is>
          <t>Registro de preços para futura e eventual contratação de empresa especializada para o fornecimento e manutenção de filtros, purificadores, refis e aparelhos de refrigeração, a fim de atender às necessidades das Secretarias do Município de Aripuanã-MT.</t>
        </is>
      </c>
      <c r="L323" t="b">
        <v>1</v>
      </c>
      <c r="M323" t="inlineStr">
        <is>
          <t>refrigeracao</t>
        </is>
      </c>
      <c r="N323" t="inlineStr">
        <is>
          <t>refrigeracao</t>
        </is>
      </c>
      <c r="O323" t="n">
        <v>1627113.37</v>
      </c>
      <c r="P323" t="n">
        <v>1409660</v>
      </c>
      <c r="Q323" t="n">
        <v>1627113.37</v>
      </c>
      <c r="R323" t="n">
        <v>0.133643650165569</v>
      </c>
      <c r="S323" t="n">
        <v>0</v>
      </c>
      <c r="T323" t="n">
        <v>12</v>
      </c>
      <c r="U323" t="n">
        <v>12</v>
      </c>
      <c r="V323" t="n">
        <v>12</v>
      </c>
      <c r="W323" t="n">
        <v>0</v>
      </c>
      <c r="X323" t="n">
        <v>0</v>
      </c>
      <c r="Y323" t="n">
        <v>0</v>
      </c>
      <c r="Z323" t="n">
        <v>0</v>
      </c>
      <c r="AA323" t="n">
        <v>0</v>
      </c>
      <c r="AB323" t="n">
        <v>0</v>
      </c>
      <c r="AC323" t="n">
        <v>0</v>
      </c>
      <c r="AD323" t="n">
        <v>1</v>
      </c>
      <c r="AE323" t="n">
        <v>2</v>
      </c>
      <c r="AF323" t="inlineStr">
        <is>
          <t>ANA PAULA DA ROSA:ME; 55.321.963 DIEGO NUNES DE LIMA:ME</t>
        </is>
      </c>
      <c r="AH323" t="inlineStr">
        <is>
          <t>pontual</t>
        </is>
      </c>
      <c r="AJ323" t="n">
        <v>0</v>
      </c>
      <c r="AK323" t="n">
        <v>0</v>
      </c>
      <c r="AL323" t="n">
        <v>0</v>
      </c>
      <c r="AM323" t="n">
        <v>0</v>
      </c>
      <c r="AN323" t="n">
        <v>0</v>
      </c>
      <c r="AQ323" t="n">
        <v>0.4492416530263039</v>
      </c>
      <c r="AS323" t="inlineStr">
        <is>
          <t>Itens mostram 'peca de reposicao para bebedouro/filtro de agua' (~45% do valor) lado a lado com 'servico de manutencao de aparelho/sistema de refrigeracao' (troca de motor/micromotor de bebedouro, carga de gas em geladeira e bebedouro industrial, manutencao de freezer) -- e manutencao com fornecimento de pecas por demanda (= servico, conforme premissa), nao compra de equipamento novo. Nucleo 100% refrigeracao comercial/domestica (bebedouro, geladeira, freezer); revertida a exclusao original por 'equipamento_alto'.</t>
        </is>
      </c>
      <c r="AT323" t="n">
        <v>0</v>
      </c>
      <c r="AU323" t="n">
        <v>1</v>
      </c>
    </row>
    <row r="324">
      <c r="A324" t="inlineStr">
        <is>
          <t>03507498000171_2026_77</t>
        </is>
      </c>
      <c r="B324" s="2" t="inlineStr">
        <is>
          <t>https://pncp.gov.br/app/editais/03507498000171/2026/77</t>
        </is>
      </c>
      <c r="C324" t="inlineStr">
        <is>
          <t>2026-09-27T05:06:29.589830+00:00</t>
        </is>
      </c>
      <c r="D324" t="inlineStr">
        <is>
          <t>MT</t>
        </is>
      </c>
      <c r="E324" t="inlineStr">
        <is>
          <t>vizinhos</t>
        </is>
      </c>
      <c r="F324" t="inlineStr">
        <is>
          <t>Aripuanã</t>
        </is>
      </c>
      <c r="G324" t="inlineStr">
        <is>
          <t>MUNICIPIO DE ARIPUANA</t>
        </is>
      </c>
      <c r="H324" t="inlineStr">
        <is>
          <t>Municipal</t>
        </is>
      </c>
      <c r="I324" t="inlineStr">
        <is>
          <t>2026-07-01T16:25:22</t>
        </is>
      </c>
      <c r="J324" t="inlineStr">
        <is>
          <t>Pregão - Presencial</t>
        </is>
      </c>
      <c r="K324" t="inlineStr">
        <is>
          <t>Registro de preço para futura e eventual aquisição de materiais para manutenção, reparo e conservação de bens móveis e imóveis, ferramentas, material elétrico e material para manutenção de bueiros, sarjetas, pontes e pontilhões, a fim de atender as necessidades das secretarias municipais de Aripuanã – MT.</t>
        </is>
      </c>
      <c r="L324" t="b">
        <v>1</v>
      </c>
      <c r="M324" t="inlineStr">
        <is>
          <t>eletrica_predial</t>
        </is>
      </c>
      <c r="N324" t="inlineStr">
        <is>
          <t>eletrica_predial</t>
        </is>
      </c>
      <c r="O324" t="n">
        <v>15532658.98</v>
      </c>
      <c r="P324" t="n">
        <v>3775160.530000001</v>
      </c>
      <c r="Q324" t="n">
        <v>1011206.56</v>
      </c>
      <c r="R324" t="n">
        <v>0.004834679869956551</v>
      </c>
      <c r="S324" t="n">
        <v>0</v>
      </c>
      <c r="T324" t="n">
        <v>613</v>
      </c>
      <c r="U324" t="n">
        <v>40</v>
      </c>
      <c r="V324" t="n">
        <v>609</v>
      </c>
      <c r="W324" t="n">
        <v>4</v>
      </c>
      <c r="X324" t="n">
        <v>0</v>
      </c>
      <c r="Y324" t="n">
        <v>0</v>
      </c>
      <c r="Z324" t="n">
        <v>1</v>
      </c>
      <c r="AA324" t="n">
        <v>0</v>
      </c>
      <c r="AB324" t="n">
        <v>0</v>
      </c>
      <c r="AC324" t="n">
        <v>0</v>
      </c>
      <c r="AD324" t="n">
        <v>1</v>
      </c>
      <c r="AE324" t="n">
        <v>7</v>
      </c>
      <c r="AF324" t="inlineStr">
        <is>
          <t>LUZ &amp; CIA EIRELI:Demais; KP MATERIAIS ELETRICO E CONSTRUCAO LTDA:ME; KALLA COMERCIO DE MAQUINAS E SUPRIMENTOS LTDA:ME; SAO BENTO MATERIAIS PARA CONSTRUCOES E SUPRIMENTOS LTDA:EPP; M LUZ MATERIAIS ELETRICOS E CONSTRUCAO LTDA:ME; A L QUINTA COMERCIO DE MATERIAIS ELETRICOS CONSTRUCAO E EQUIPAMENTOS LTDA:EPP; 3M COMERCIO DE MATERIAIS ELETRICO, CONSTRUCAO E EQUIPAMENTOS LTDA - ME:Demais</t>
        </is>
      </c>
      <c r="AH324" t="inlineStr">
        <is>
          <t>pontual</t>
        </is>
      </c>
      <c r="AJ324" t="n">
        <v>0</v>
      </c>
      <c r="AK324" t="n">
        <v>0</v>
      </c>
      <c r="AL324" t="n">
        <v>0</v>
      </c>
      <c r="AM324" t="n">
        <v>0</v>
      </c>
      <c r="AN324" t="n">
        <v>0</v>
      </c>
      <c r="AQ324" t="n">
        <v>1</v>
      </c>
      <c r="AR324" t="inlineStr">
        <is>
          <t>fornecimento_puro</t>
        </is>
      </c>
      <c r="AS324" t="inlineStr">
        <is>
          <t>Confirmada exclusao automatica (fornecimento_puro): 613 item(ns), todos classificados como material (sem servico).</t>
        </is>
      </c>
      <c r="AT324" t="n">
        <v>1</v>
      </c>
      <c r="AU324" t="n">
        <v>0</v>
      </c>
    </row>
    <row r="325">
      <c r="A325" t="inlineStr">
        <is>
          <t>03507498000171_2026_96</t>
        </is>
      </c>
      <c r="B325" s="2" t="inlineStr">
        <is>
          <t>https://pncp.gov.br/app/editais/03507498000171/2026/96</t>
        </is>
      </c>
      <c r="C325" t="inlineStr">
        <is>
          <t>2026-09-27T05:03:23.266724+00:00</t>
        </is>
      </c>
      <c r="D325" t="inlineStr">
        <is>
          <t>MT</t>
        </is>
      </c>
      <c r="E325" t="inlineStr">
        <is>
          <t>vizinhos</t>
        </is>
      </c>
      <c r="F325" t="inlineStr">
        <is>
          <t>Aripuanã</t>
        </is>
      </c>
      <c r="G325" t="inlineStr">
        <is>
          <t>MUNICIPIO DE ARIPUANA</t>
        </is>
      </c>
      <c r="H325" t="inlineStr">
        <is>
          <t>Municipal</t>
        </is>
      </c>
      <c r="I325" t="inlineStr">
        <is>
          <t>2026-07-29T17:17:37</t>
        </is>
      </c>
      <c r="J325" t="inlineStr">
        <is>
          <t>Pregão - Presencial</t>
        </is>
      </c>
      <c r="K325" t="inlineStr">
        <is>
          <t>Registro de preço para futura e eventual contratação de empresa especializada na prestação de serviços de manutenção elétrica preventiva e corretiva, contemplando mão de obra e ferramentas para execução de ligação, manutenção em quadro elétricos, partidas direta, soft start, inversores e redes, instalações de bombas submersíveis, abertura/fechamento de chaves de alta tensão, troca de para raios e fusíveis, recuperação de isolação e rebobinagem em motores elétricos, visando atender as necessidades da Secretaria Adjunta de Saneamento Básico - SEASB, conforme condições, quantidades e exigências estabelecidas neste Edital e seus anexos.</t>
        </is>
      </c>
      <c r="L325" t="b">
        <v>1</v>
      </c>
      <c r="M325" t="inlineStr">
        <is>
          <t>eletrica_predial</t>
        </is>
      </c>
      <c r="N325" t="inlineStr">
        <is>
          <t>eletrica_predial</t>
        </is>
      </c>
      <c r="O325" t="n">
        <v>549566.52</v>
      </c>
      <c r="P325" t="n">
        <v>518672</v>
      </c>
      <c r="Q325" t="n">
        <v>549566.52</v>
      </c>
      <c r="R325" t="n">
        <v>0.05621616105726384</v>
      </c>
      <c r="S325" t="n">
        <v>0</v>
      </c>
      <c r="T325" t="n">
        <v>14</v>
      </c>
      <c r="U325" t="n">
        <v>14</v>
      </c>
      <c r="V325" t="n">
        <v>14</v>
      </c>
      <c r="W325" t="n">
        <v>0</v>
      </c>
      <c r="X325" t="n">
        <v>0</v>
      </c>
      <c r="Y325" t="n">
        <v>0</v>
      </c>
      <c r="Z325" t="n">
        <v>0</v>
      </c>
      <c r="AA325" t="n">
        <v>0</v>
      </c>
      <c r="AB325" t="n">
        <v>0</v>
      </c>
      <c r="AC325" t="n">
        <v>0</v>
      </c>
      <c r="AD325" t="n">
        <v>1</v>
      </c>
      <c r="AE325" t="n">
        <v>1</v>
      </c>
      <c r="AF325" t="inlineStr">
        <is>
          <t>L. PASQUALETO LTDA:ME</t>
        </is>
      </c>
      <c r="AH325" t="inlineStr">
        <is>
          <t>pontual</t>
        </is>
      </c>
      <c r="AJ325" t="n">
        <v>0</v>
      </c>
      <c r="AK325" t="n">
        <v>0</v>
      </c>
      <c r="AL325" t="n">
        <v>0</v>
      </c>
      <c r="AM325" t="n">
        <v>0</v>
      </c>
      <c r="AN325" t="n">
        <v>0</v>
      </c>
      <c r="AQ325" t="n">
        <v>0.01205044295638679</v>
      </c>
      <c r="AS325" t="inlineStr">
        <is>
          <t>Manutencao eletrica preventiva/corretiva contemplando quadros, partida direta/soft-start/inversores, chaves de alta tensao, para-raios/fusiveis e rebobinagem de motores para orgao de saneamento -- servico real ligado a subestacao/instalacoes de media tensao.</t>
        </is>
      </c>
      <c r="AT325" t="n">
        <v>0</v>
      </c>
      <c r="AU325" t="n">
        <v>1</v>
      </c>
    </row>
    <row r="326">
      <c r="A326" t="inlineStr">
        <is>
          <t>03532661000156_2023_1</t>
        </is>
      </c>
      <c r="B326" s="2" t="inlineStr">
        <is>
          <t>https://pncp.gov.br/app/editais/03532661000156/2023/1</t>
        </is>
      </c>
      <c r="C326" t="inlineStr">
        <is>
          <t>2026-09-27T03:41:43.397878+00:00</t>
        </is>
      </c>
      <c r="D326" t="inlineStr">
        <is>
          <t>GO</t>
        </is>
      </c>
      <c r="E326" t="inlineStr">
        <is>
          <t>GO</t>
        </is>
      </c>
      <c r="F326" t="inlineStr">
        <is>
          <t>Catalão</t>
        </is>
      </c>
      <c r="G326" t="inlineStr">
        <is>
          <t>FUNDO MUNICIPAL DE SAUDE - CATALAO</t>
        </is>
      </c>
      <c r="H326" t="inlineStr">
        <is>
          <t>Municipal</t>
        </is>
      </c>
      <c r="I326" t="inlineStr">
        <is>
          <t>2026-05-18T14:01:40</t>
        </is>
      </c>
      <c r="J326" t="inlineStr">
        <is>
          <t>Pregão - Presencial</t>
        </is>
      </c>
      <c r="K326" t="inlineStr">
        <is>
          <t>CONTRATAÇÃO DE EMPRESA ESPECIALIZADA PARA PRESTAÇÃO DE SERVIÇOS DE MANUTENÇÃO PREVENTIVA E CORRETIVA, COM O FORNECIMENTO E SUBSTITUIÇÃO DE PEÇAS E COMPONENTES, NOS GRUPOS GERADORES DE ENERGIA ELÉTRICA E NOS EQUIPAMENTOS/MÁQUINAS INDUSTRIAIS DE LAVANDERIA HOSPITALAR, INSTALADOS NAS UNIDADES DE ATENDIMENTO À SAÚDE DA SECRETARIA MUNICIPAL DE SAÚDE DE CATALÃO-GO</t>
        </is>
      </c>
      <c r="L326" t="b">
        <v>0</v>
      </c>
      <c r="M326" t="inlineStr">
        <is>
          <t>eletrica_predial</t>
        </is>
      </c>
      <c r="N326" t="inlineStr">
        <is>
          <t>eletrica_predial</t>
        </is>
      </c>
      <c r="O326" t="n">
        <v>180999.84</v>
      </c>
      <c r="P326" t="n">
        <v>100560</v>
      </c>
      <c r="Q326" t="n">
        <v>180999.84</v>
      </c>
      <c r="R326" t="n">
        <v>0.4444193983817886</v>
      </c>
      <c r="S326" t="n">
        <v>0</v>
      </c>
      <c r="T326" t="n">
        <v>2</v>
      </c>
      <c r="U326" t="n">
        <v>2</v>
      </c>
      <c r="V326" t="n">
        <v>2</v>
      </c>
      <c r="W326" t="n">
        <v>0</v>
      </c>
      <c r="X326" t="n">
        <v>0</v>
      </c>
      <c r="Y326" t="n">
        <v>0</v>
      </c>
      <c r="Z326" t="n">
        <v>0</v>
      </c>
      <c r="AA326" t="n">
        <v>0</v>
      </c>
      <c r="AB326" t="n">
        <v>0</v>
      </c>
      <c r="AC326" t="n">
        <v>0</v>
      </c>
      <c r="AD326" t="n">
        <v>0</v>
      </c>
      <c r="AE326" t="n">
        <v>2</v>
      </c>
      <c r="AF326" t="inlineStr">
        <is>
          <t>MELQUIOR SR COMERCIO E SERVICOS LTDA:Demais; THIAGO JOSE MARIA RODRIGUES - ME:Demais</t>
        </is>
      </c>
      <c r="AH326" t="inlineStr">
        <is>
          <t>pontual</t>
        </is>
      </c>
      <c r="AJ326" t="n">
        <v>0</v>
      </c>
      <c r="AK326" t="n">
        <v>0</v>
      </c>
      <c r="AL326" t="n">
        <v>0</v>
      </c>
      <c r="AM326" t="n">
        <v>1</v>
      </c>
      <c r="AN326" t="n">
        <v>1</v>
      </c>
      <c r="AP326" t="inlineStr">
        <is>
          <t>) 9.3. A documentação relativa à qualificação técnica consistirá em: 9.3.1. No mínimo 01 (um) Atestado de Capacidade Técnica emitido por entidade da administração federal, estadual, distrital ou municipal, direta ou indireta e/ou empresa privada de execução de serviços com características e condiçõe…</t>
        </is>
      </c>
      <c r="AQ326" t="n">
        <v>0</v>
      </c>
      <c r="AR326" t="inlineStr">
        <is>
          <t>equipamento_alto</t>
        </is>
      </c>
      <c r="AS326" t="inlineStr">
        <is>
          <t>Confirmada exclusao automatica (equipamento_alto): tencao preventiva e corretiva, com o fornecimento e substituicao de pecas e componentes, nos grupos geradores de energia eletrica e nos equipamentos/maquinas industriais de lavande</t>
        </is>
      </c>
      <c r="AT326" t="n">
        <v>0</v>
      </c>
      <c r="AU326" t="n">
        <v>0</v>
      </c>
    </row>
    <row r="327">
      <c r="A327" t="inlineStr">
        <is>
          <t>03532661000156_2025_13</t>
        </is>
      </c>
      <c r="B327" s="2" t="inlineStr">
        <is>
          <t>https://pncp.gov.br/app/editais/03532661000156/2025/13</t>
        </is>
      </c>
      <c r="C327" t="inlineStr">
        <is>
          <t>2026-09-27T04:47:52.567584+00:00</t>
        </is>
      </c>
      <c r="D327" t="inlineStr">
        <is>
          <t>GO</t>
        </is>
      </c>
      <c r="E327" t="inlineStr">
        <is>
          <t>GO</t>
        </is>
      </c>
      <c r="F327" t="inlineStr">
        <is>
          <t>Catalão</t>
        </is>
      </c>
      <c r="G327" t="inlineStr">
        <is>
          <t>FUNDO MUNICIPAL DE SAUDE - CATALAO</t>
        </is>
      </c>
      <c r="H327" t="inlineStr">
        <is>
          <t>Municipal</t>
        </is>
      </c>
      <c r="I327" t="inlineStr">
        <is>
          <t>2025-04-03T07:34:37</t>
        </is>
      </c>
      <c r="J327" t="inlineStr">
        <is>
          <t>Pregão - Eletrônico</t>
        </is>
      </c>
      <c r="K327" t="inlineStr">
        <is>
          <t>Contratação de prestação de serviços sem dedicação exclusiva de mão de obra para manutenção corretiva e higienização, incluindo o fornecimento de peças de reposição e/ou materiais, por demanda, em equipamentos eletrodomésticos e eletro industriais, tais como: bebedouros, purificadores, máquinas de lavar, micro-ondas, refrigeradores, tanquinhos, secadoras, fogões, fornos, liquidificadores, freezers, batedeiras, frigobares e suqueiras.</t>
        </is>
      </c>
      <c r="L327" t="b">
        <v>1</v>
      </c>
      <c r="M327" t="inlineStr">
        <is>
          <t>refrigeracao</t>
        </is>
      </c>
      <c r="N327" t="inlineStr">
        <is>
          <t>refrigeracao</t>
        </is>
      </c>
      <c r="O327" t="n">
        <v>1512774.21</v>
      </c>
      <c r="P327" t="n">
        <v>490515</v>
      </c>
      <c r="Q327" t="n">
        <v>929313.2500000001</v>
      </c>
      <c r="R327" t="n">
        <v>0.4721747483961946</v>
      </c>
      <c r="S327" t="n">
        <v>0</v>
      </c>
      <c r="T327" t="n">
        <v>74</v>
      </c>
      <c r="U327" t="n">
        <v>40</v>
      </c>
      <c r="V327" t="n">
        <v>74</v>
      </c>
      <c r="W327" t="n">
        <v>0</v>
      </c>
      <c r="X327" t="n">
        <v>0</v>
      </c>
      <c r="Y327" t="n">
        <v>0</v>
      </c>
      <c r="Z327" t="n">
        <v>0</v>
      </c>
      <c r="AA327" t="n">
        <v>0</v>
      </c>
      <c r="AB327" t="n">
        <v>0</v>
      </c>
      <c r="AC327" t="n">
        <v>0</v>
      </c>
      <c r="AD327" t="n">
        <v>0</v>
      </c>
      <c r="AE327" t="n">
        <v>1</v>
      </c>
      <c r="AF327" t="inlineStr">
        <is>
          <t>UBIRAMAR RODRIGUES SOARES:ME</t>
        </is>
      </c>
      <c r="AH327" t="inlineStr">
        <is>
          <t>pontual</t>
        </is>
      </c>
      <c r="AJ327" t="n">
        <v>0</v>
      </c>
      <c r="AK327" t="n">
        <v>0</v>
      </c>
      <c r="AL327" t="n">
        <v>0</v>
      </c>
      <c r="AM327" t="n">
        <v>0</v>
      </c>
      <c r="AN327" t="n">
        <v>0</v>
      </c>
      <c r="AQ327" t="n">
        <v>0</v>
      </c>
      <c r="AS327" t="inlineStr">
        <is>
          <t>Objeto explicita bebedouros, purificadores e maquinas de lavar (eletrodomesticos); itens sao 'Manutencao de Sistemas de Refrigeracao' + pecas por demanda. Nucleo e refrigeracao/eletrodomesticos, confirmado por leitura do edital baixado (Fundo Municipal de Saude de Catalao; sem garantia contratual exigida, carater de pronta entrega).</t>
        </is>
      </c>
      <c r="AT327" t="n">
        <v>0</v>
      </c>
      <c r="AU327" t="n">
        <v>1</v>
      </c>
    </row>
    <row r="328">
      <c r="A328" t="inlineStr">
        <is>
          <t>03532661000156_2025_33</t>
        </is>
      </c>
      <c r="B328" s="2" t="inlineStr">
        <is>
          <t>https://pncp.gov.br/app/editais/03532661000156/2025/33</t>
        </is>
      </c>
      <c r="C328" t="inlineStr">
        <is>
          <t>2026-09-27T03:25:45.169204+00:00</t>
        </is>
      </c>
      <c r="D328" t="inlineStr">
        <is>
          <t>GO</t>
        </is>
      </c>
      <c r="E328" t="inlineStr">
        <is>
          <t>GO</t>
        </is>
      </c>
      <c r="F328" t="inlineStr">
        <is>
          <t>Catalão</t>
        </is>
      </c>
      <c r="G328" t="inlineStr">
        <is>
          <t>FUNDO MUNICIPAL DE SAUDE - CATALAO</t>
        </is>
      </c>
      <c r="H328" t="inlineStr">
        <is>
          <t>Municipal</t>
        </is>
      </c>
      <c r="I328" t="inlineStr">
        <is>
          <t>2025-05-20T07:26:52</t>
        </is>
      </c>
      <c r="J328" t="inlineStr">
        <is>
          <t>Pregão - Eletrônico</t>
        </is>
      </c>
      <c r="K328" t="inlineStr">
        <is>
          <t xml:space="preserve">Registro de preços para aquisição de materiais de construção, pintura, ferramentas e acessórios, hidráulicos e sanitários, destinados à manutenção predial das unidades pertencentes a Secretaria Municipal de Saúde de Catalão-GO.  </t>
        </is>
      </c>
      <c r="L328" t="b">
        <v>1</v>
      </c>
      <c r="M328" t="inlineStr">
        <is>
          <t>manutencao_predial</t>
        </is>
      </c>
      <c r="N328" t="inlineStr">
        <is>
          <t>manutencao_predial</t>
        </is>
      </c>
      <c r="O328" t="n">
        <v>2287980.89</v>
      </c>
      <c r="P328" t="n">
        <v>52781.55</v>
      </c>
      <c r="Q328" t="n">
        <v>160896.59</v>
      </c>
      <c r="R328" t="n">
        <v>0.6719535821113426</v>
      </c>
      <c r="S328" t="n">
        <v>0</v>
      </c>
      <c r="T328" t="n">
        <v>214</v>
      </c>
      <c r="U328" t="n">
        <v>40</v>
      </c>
      <c r="V328" t="n">
        <v>214</v>
      </c>
      <c r="W328" t="n">
        <v>0</v>
      </c>
      <c r="X328" t="n">
        <v>0</v>
      </c>
      <c r="Y328" t="n">
        <v>0</v>
      </c>
      <c r="Z328" t="n">
        <v>0</v>
      </c>
      <c r="AA328" t="n">
        <v>0</v>
      </c>
      <c r="AB328" t="n">
        <v>1</v>
      </c>
      <c r="AC328" t="n">
        <v>0</v>
      </c>
      <c r="AD328" t="n">
        <v>0</v>
      </c>
      <c r="AE328" t="n">
        <v>3</v>
      </c>
      <c r="AF328" t="inlineStr">
        <is>
          <t>MPK MATERIAIS PARA CONSTRUCAO LTDA:ME; AGROCERRADO A CATALANA UNIPESSOAL LTDA:ME; SOUZA E OLIVEIRA CATALAO LTDA:ME</t>
        </is>
      </c>
      <c r="AH328" t="inlineStr">
        <is>
          <t>pontual</t>
        </is>
      </c>
      <c r="AI328" t="n">
        <v>12</v>
      </c>
      <c r="AJ328" t="n">
        <v>0</v>
      </c>
      <c r="AK328" t="n">
        <v>0</v>
      </c>
      <c r="AL328" t="n">
        <v>0</v>
      </c>
      <c r="AM328" t="n">
        <v>1</v>
      </c>
      <c r="AN328" t="n">
        <v>0</v>
      </c>
      <c r="AP328" t="inlineStr">
        <is>
          <t>ses públicos. 4. REQUISITOS DA CONTRATAÇÃO 4.1. Habilitação - Qualificação Técnica 4.1.1. Atestado de Capacidade Técnica , que comprove a aptidão da licitante para o fornecimento de materiais em características, quantidades e prazos compatíveis com o objeto deste Instrumento, ou com o item pertinent…</t>
        </is>
      </c>
      <c r="AQ328" t="n">
        <v>1</v>
      </c>
      <c r="AR328" t="inlineStr">
        <is>
          <t>fornecimento_puro</t>
        </is>
      </c>
      <c r="AS328" t="inlineStr">
        <is>
          <t>214 item(ns), todos classificados como material (sem servico).</t>
        </is>
      </c>
      <c r="AT328" t="n">
        <v>1</v>
      </c>
      <c r="AU328" t="n">
        <v>0</v>
      </c>
    </row>
    <row r="329">
      <c r="A329" t="inlineStr">
        <is>
          <t>03535606000110_2026_72</t>
        </is>
      </c>
      <c r="B329" s="2" t="inlineStr">
        <is>
          <t>https://pncp.gov.br/app/editais/03535606000110/2026/72</t>
        </is>
      </c>
      <c r="C329" t="inlineStr">
        <is>
          <t>2026-09-27T05:02:57.906110+00:00</t>
        </is>
      </c>
      <c r="D329" t="inlineStr">
        <is>
          <t>MT</t>
        </is>
      </c>
      <c r="E329" t="inlineStr">
        <is>
          <t>vizinhos</t>
        </is>
      </c>
      <c r="F329" t="inlineStr">
        <is>
          <t>Cuiabá</t>
        </is>
      </c>
      <c r="G329" t="inlineStr">
        <is>
          <t>TRIBUNAL DE JUSTICA DO ESTADO DE  MATO GROSSO</t>
        </is>
      </c>
      <c r="H329" t="inlineStr">
        <is>
          <t>Estadual</t>
        </is>
      </c>
      <c r="I329" t="inlineStr">
        <is>
          <t>2026-07-02T17:42:21</t>
        </is>
      </c>
      <c r="J329" t="inlineStr">
        <is>
          <t>Pregão - Eletrônico</t>
        </is>
      </c>
      <c r="K329" t="inlineStr">
        <is>
          <t xml:space="preserve">Registro de preços para eventual aquisição parcelada de CONDICIONADORES DE AR COM INSTALAÇÃO, para atendimento às demandas do Tribunal de Justiça de Mato Grosso, suas Comarcas e Juizados Especiais, nos termos da tabela constante no Termo de Referência e conforme condições e exigências estabelecidas neste instrumento. </t>
        </is>
      </c>
      <c r="L329" t="b">
        <v>1</v>
      </c>
      <c r="M329" t="inlineStr">
        <is>
          <t>climatizacao</t>
        </is>
      </c>
      <c r="N329" t="inlineStr">
        <is>
          <t>climatizacao</t>
        </is>
      </c>
      <c r="O329" t="n">
        <v>16176861.72</v>
      </c>
      <c r="P329" t="n">
        <v>5786400</v>
      </c>
      <c r="Q329" t="n">
        <v>8012780.16</v>
      </c>
      <c r="R329" t="n">
        <v>0.2778536432478387</v>
      </c>
      <c r="S329" t="n">
        <v>0</v>
      </c>
      <c r="T329" t="n">
        <v>120</v>
      </c>
      <c r="U329" t="n">
        <v>40</v>
      </c>
      <c r="V329" t="n">
        <v>120</v>
      </c>
      <c r="W329" t="n">
        <v>0</v>
      </c>
      <c r="X329" t="n">
        <v>0</v>
      </c>
      <c r="Y329" t="n">
        <v>0</v>
      </c>
      <c r="Z329" t="n">
        <v>0</v>
      </c>
      <c r="AA329" t="n">
        <v>0</v>
      </c>
      <c r="AB329" t="n">
        <v>0</v>
      </c>
      <c r="AC329" t="n">
        <v>0</v>
      </c>
      <c r="AD329" t="n">
        <v>0</v>
      </c>
      <c r="AE329" t="n">
        <v>1</v>
      </c>
      <c r="AF329" t="inlineStr">
        <is>
          <t>STILUS MAQUINAS E EQUIPAMENTOS PARA ESCRITORIO LTDA:ME</t>
        </is>
      </c>
      <c r="AH329" t="inlineStr">
        <is>
          <t>pontual</t>
        </is>
      </c>
      <c r="AJ329" t="n">
        <v>0</v>
      </c>
      <c r="AK329" t="n">
        <v>0</v>
      </c>
      <c r="AL329" t="n">
        <v>0</v>
      </c>
      <c r="AM329" t="n">
        <v>0</v>
      </c>
      <c r="AN329" t="n">
        <v>0</v>
      </c>
      <c r="AQ329" t="n">
        <v>0.8760282597012884</v>
      </c>
      <c r="AR329" t="inlineStr">
        <is>
          <t>equipamento_alto</t>
        </is>
      </c>
      <c r="AS329" t="inlineStr">
        <is>
          <t>heuristica automatica confirmada (equipamento_alto): fracao estimada em itens de material = 88% (&gt; 40%).</t>
        </is>
      </c>
      <c r="AT329" t="n">
        <v>0</v>
      </c>
      <c r="AU329" t="n">
        <v>0</v>
      </c>
    </row>
    <row r="330">
      <c r="A330" t="inlineStr">
        <is>
          <t>03560440000191_2026_25</t>
        </is>
      </c>
      <c r="B330" s="2" t="inlineStr">
        <is>
          <t>https://pncp.gov.br/app/editais/03560440000191/2026/25</t>
        </is>
      </c>
      <c r="C330" t="inlineStr">
        <is>
          <t>2026-09-27T05:24:10.990723+00:00</t>
        </is>
      </c>
      <c r="D330" t="inlineStr">
        <is>
          <t>MS</t>
        </is>
      </c>
      <c r="E330" t="inlineStr">
        <is>
          <t>vizinhos</t>
        </is>
      </c>
      <c r="F330" t="inlineStr">
        <is>
          <t>Campo Grande</t>
        </is>
      </c>
      <c r="G330" t="inlineStr">
        <is>
          <t>SESC ADMINISTRACAO REGIONAL NO ESTADO DO MATO GROSSO DO SUL</t>
        </is>
      </c>
      <c r="H330" t="inlineStr">
        <is>
          <t>Não se aplica</t>
        </is>
      </c>
      <c r="I330" t="inlineStr">
        <is>
          <t>2026-02-25T18:32:02</t>
        </is>
      </c>
      <c r="J330" t="inlineStr">
        <is>
          <t>Pregão - Eletrônico</t>
        </is>
      </c>
      <c r="K330" t="inlineStr">
        <is>
          <t>Contratação de empresa especializada para a prestação de serviços continuados de manutenção preventiva e corretiva, com fornecimento de materiais de consumo, emissão de ART e elaboração e execução do PMOC, em equipamentos e sistemas de climatização (aparelhos de ar-condicionado tipo split, cassete, piso-teto, sistemas centrais, módulos ventiladores, cortinas de ar e sistemas de renovação de ar) e bebedouros, pelo período de 12 (doze) meses, visando garantir o pleno funcionamento, a qualidade do ar interior e a continuidade das atividades nas Unidades Executivas Sesc Escola Horto, Sesc Teatro Prosa, Sesc Mais e Sesc Dourados.</t>
        </is>
      </c>
      <c r="L330" t="b">
        <v>0</v>
      </c>
      <c r="M330" t="inlineStr">
        <is>
          <t>refrigeracao</t>
        </is>
      </c>
      <c r="N330" t="inlineStr">
        <is>
          <t>refrigeracao</t>
        </is>
      </c>
      <c r="O330" t="n">
        <v>0.02</v>
      </c>
      <c r="P330" t="n">
        <v>289799.73</v>
      </c>
      <c r="Q330" t="n">
        <v>0.02</v>
      </c>
      <c r="R330" t="n">
        <v>-14489985.5</v>
      </c>
      <c r="S330" t="n">
        <v>1</v>
      </c>
      <c r="T330" t="n">
        <v>2</v>
      </c>
      <c r="U330" t="n">
        <v>2</v>
      </c>
      <c r="V330" t="n">
        <v>2</v>
      </c>
      <c r="W330" t="n">
        <v>0</v>
      </c>
      <c r="X330" t="n">
        <v>0</v>
      </c>
      <c r="Y330" t="n">
        <v>0</v>
      </c>
      <c r="Z330" t="n">
        <v>0</v>
      </c>
      <c r="AA330" t="n">
        <v>0</v>
      </c>
      <c r="AB330" t="n">
        <v>0</v>
      </c>
      <c r="AC330" t="n">
        <v>0</v>
      </c>
      <c r="AD330" t="n">
        <v>0</v>
      </c>
      <c r="AE330" t="n">
        <v>2</v>
      </c>
      <c r="AF330" t="inlineStr">
        <is>
          <t>G F MARQUIZA REFRIGERACAO E SERVICOS:Não Informado; INOVAR REFRIGERACAO LTDA:Não Informado</t>
        </is>
      </c>
      <c r="AH330" t="inlineStr">
        <is>
          <t>continuado</t>
        </is>
      </c>
      <c r="AI330" t="n">
        <v>12</v>
      </c>
      <c r="AJ330" t="n">
        <v>0</v>
      </c>
      <c r="AK330" t="n">
        <v>0</v>
      </c>
      <c r="AL330" t="n">
        <v>0</v>
      </c>
      <c r="AM330" t="n">
        <v>0</v>
      </c>
      <c r="AN330" t="n">
        <v>0</v>
      </c>
      <c r="AQ330" t="n">
        <v>1</v>
      </c>
      <c r="AS330" t="inlineStr">
        <is>
          <t>Objeto explicito: 'servicos continuados de manutencao preventiva e corretiva, com fornecimento de materiais de consumo, emissao de ART' -- servico real mal cadastrado como Material. Porem o valor estimado dos itens no PNCP esta zerado (R$0,02, dado quebrado) -- usar apenas o valor homologado (R$289.799,73/ano) como referencia; caso excluido do calculo de desconto (marcado como suspeito).</t>
        </is>
      </c>
      <c r="AT330" t="n">
        <v>1</v>
      </c>
      <c r="AU330" t="n">
        <v>1</v>
      </c>
    </row>
    <row r="331">
      <c r="A331" t="inlineStr">
        <is>
          <t>03567930000110_2026_17</t>
        </is>
      </c>
      <c r="B331" s="2" t="inlineStr">
        <is>
          <t>https://pncp.gov.br/app/editais/03567930000110/2026/17</t>
        </is>
      </c>
      <c r="C331" t="inlineStr">
        <is>
          <t>2026-09-27T05:18:42.131924+00:00</t>
        </is>
      </c>
      <c r="D331" t="inlineStr">
        <is>
          <t>MS</t>
        </is>
      </c>
      <c r="E331" t="inlineStr">
        <is>
          <t>vizinhos</t>
        </is>
      </c>
      <c r="F331" t="inlineStr">
        <is>
          <t>Antônio João</t>
        </is>
      </c>
      <c r="G331" t="inlineStr">
        <is>
          <t>MUNICIPIO DE ANTONIO JOAO</t>
        </is>
      </c>
      <c r="H331" t="inlineStr">
        <is>
          <t>Municipal</t>
        </is>
      </c>
      <c r="I331" t="inlineStr">
        <is>
          <t>2026-07-23T09:20:34</t>
        </is>
      </c>
      <c r="J331" t="inlineStr">
        <is>
          <t>Pregão - Eletrônico</t>
        </is>
      </c>
      <c r="K331" t="inlineStr">
        <is>
          <t>Formalização de Ata de registro de Preços para futura e eventual aquisição de materiais elétricos e equipamentos destinados à manutenção e ao conserto da ILUMINAÇÃO PÚBLICA, visando atender às demandas da Secretaria Municipal de Obras e Serviços Públicos do Município de Antônio João/MS.</t>
        </is>
      </c>
      <c r="L331" t="b">
        <v>1</v>
      </c>
      <c r="M331" t="inlineStr">
        <is>
          <t>iluminacao_publica</t>
        </is>
      </c>
      <c r="N331" t="inlineStr">
        <is>
          <t>iluminacao_publica</t>
        </is>
      </c>
      <c r="O331" t="n">
        <v>293116.76</v>
      </c>
      <c r="P331" t="n">
        <v>189332.23</v>
      </c>
      <c r="Q331" t="n">
        <v>291085.7</v>
      </c>
      <c r="R331" t="n">
        <v>0.3495653341953933</v>
      </c>
      <c r="S331" t="n">
        <v>0</v>
      </c>
      <c r="T331" t="n">
        <v>22</v>
      </c>
      <c r="U331" t="n">
        <v>21</v>
      </c>
      <c r="V331" t="n">
        <v>21</v>
      </c>
      <c r="W331" t="n">
        <v>0</v>
      </c>
      <c r="X331" t="n">
        <v>1</v>
      </c>
      <c r="Y331" t="n">
        <v>0</v>
      </c>
      <c r="Z331" t="n">
        <v>1</v>
      </c>
      <c r="AA331" t="n">
        <v>0</v>
      </c>
      <c r="AB331" t="n">
        <v>0</v>
      </c>
      <c r="AC331" t="n">
        <v>0</v>
      </c>
      <c r="AD331" t="n">
        <v>0</v>
      </c>
      <c r="AE331" t="n">
        <v>7</v>
      </c>
      <c r="AF331" t="inlineStr">
        <is>
          <t>eletro magnetica LTDA:ME; JL COMERCIO E SERVICOS LTDA EPP:ME; W LED ELETRICA LTDA :ME; ATRIUM INDÚSTRIA E COMÉRCIO DE FERRAGENS LTDA:ME; ZAGONEL ILUMINAÇÃO S.A:Demais; JANETE MARIA CHAVES BRANDAO 04957560595:ME; Luz do Brasil comercio de artigos de iluminação LTDA:ME</t>
        </is>
      </c>
      <c r="AH331" t="inlineStr">
        <is>
          <t>pontual</t>
        </is>
      </c>
      <c r="AJ331" t="n">
        <v>0</v>
      </c>
      <c r="AK331" t="n">
        <v>0</v>
      </c>
      <c r="AL331" t="n">
        <v>0</v>
      </c>
      <c r="AM331" t="n">
        <v>0</v>
      </c>
      <c r="AN331" t="n">
        <v>0</v>
      </c>
      <c r="AQ331" t="n">
        <v>1</v>
      </c>
      <c r="AR331" t="inlineStr">
        <is>
          <t>fornecimento_puro</t>
        </is>
      </c>
      <c r="AS331" t="inlineStr">
        <is>
          <t>Registro de preços/contratação de fornecimento de materiais, sem mão de obra de manutenção contratada.</t>
        </is>
      </c>
      <c r="AT331" t="n">
        <v>1</v>
      </c>
      <c r="AU331" t="n">
        <v>0</v>
      </c>
    </row>
    <row r="332">
      <c r="A332" t="inlineStr">
        <is>
          <t>03659166001931_2024_345</t>
        </is>
      </c>
      <c r="B332" s="2" t="inlineStr">
        <is>
          <t>https://pncp.gov.br/app/editais/03659166001931/2024/345</t>
        </is>
      </c>
      <c r="C332" t="inlineStr">
        <is>
          <t>2026-09-27T03:29:11.643720+00:00</t>
        </is>
      </c>
      <c r="D332" t="inlineStr">
        <is>
          <t>GO</t>
        </is>
      </c>
      <c r="E332" t="inlineStr">
        <is>
          <t>GO</t>
        </is>
      </c>
      <c r="F332" t="inlineStr">
        <is>
          <t>Goiânia</t>
        </is>
      </c>
      <c r="G332" t="inlineStr">
        <is>
          <t>INSTITUTO BRASILEIRO DO MEIO AMBIENTE E DOS RECURSOS NATURAIS RENOVAVEIS-IBAMA</t>
        </is>
      </c>
      <c r="H332" t="inlineStr">
        <is>
          <t>Federal</t>
        </is>
      </c>
      <c r="I332" t="inlineStr">
        <is>
          <t>2024-11-14T07:34:41</t>
        </is>
      </c>
      <c r="J332" t="inlineStr">
        <is>
          <t>Pregão - Eletrônico</t>
        </is>
      </c>
      <c r="K332" t="inlineStr">
        <is>
          <t xml:space="preserve">Contratação de licitação por meio de Registro de Preços para contratação de empresa especializada para prestação de serviços comuns de engenharia de forma continuada, por demanda, para execução de manutenção predial preventiva e corretiva, adequação, adaptação, reparação e/ou revitalização de infraestruturas de bens imóveis a se realizar nos prédios públicos do IBAMA no estado de Goiás. </t>
        </is>
      </c>
      <c r="L332" t="b">
        <v>1</v>
      </c>
      <c r="M332" t="inlineStr">
        <is>
          <t>manutencao_predial</t>
        </is>
      </c>
      <c r="N332" t="inlineStr">
        <is>
          <t>manutencao_predial</t>
        </is>
      </c>
      <c r="O332" t="n">
        <v>2775662.5</v>
      </c>
      <c r="P332" t="n">
        <v>2081746.875</v>
      </c>
      <c r="Q332" t="n">
        <v>2775662.5</v>
      </c>
      <c r="R332" t="n">
        <v>0.2499999999999999</v>
      </c>
      <c r="S332" t="n">
        <v>0</v>
      </c>
      <c r="T332" t="n">
        <v>1</v>
      </c>
      <c r="U332" t="n">
        <v>1</v>
      </c>
      <c r="V332" t="n">
        <v>1</v>
      </c>
      <c r="W332" t="n">
        <v>0</v>
      </c>
      <c r="X332" t="n">
        <v>0</v>
      </c>
      <c r="Y332" t="n">
        <v>0</v>
      </c>
      <c r="Z332" t="n">
        <v>0</v>
      </c>
      <c r="AA332" t="n">
        <v>0</v>
      </c>
      <c r="AB332" t="n">
        <v>0</v>
      </c>
      <c r="AC332" t="n">
        <v>0</v>
      </c>
      <c r="AD332" t="n">
        <v>0</v>
      </c>
      <c r="AE332" t="n">
        <v>1</v>
      </c>
      <c r="AF332" t="inlineStr">
        <is>
          <t>P H M ENGENHARIA LTDA:ME</t>
        </is>
      </c>
      <c r="AH332" t="inlineStr">
        <is>
          <t>continuado</t>
        </is>
      </c>
      <c r="AJ332" t="n">
        <v>0</v>
      </c>
      <c r="AK332" t="n">
        <v>0</v>
      </c>
      <c r="AL332" t="n">
        <v>0</v>
      </c>
      <c r="AM332" t="n">
        <v>0</v>
      </c>
      <c r="AN332" t="n">
        <v>0</v>
      </c>
      <c r="AQ332" t="n">
        <v>0</v>
      </c>
      <c r="AT332" t="n">
        <v>0</v>
      </c>
      <c r="AU332" t="n">
        <v>1</v>
      </c>
    </row>
    <row r="333">
      <c r="A333" t="inlineStr">
        <is>
          <t>03681582000107_2026_23</t>
        </is>
      </c>
      <c r="B333" s="2" t="inlineStr">
        <is>
          <t>https://pncp.gov.br/app/editais/03681582000107/2026/23</t>
        </is>
      </c>
      <c r="C333" t="inlineStr">
        <is>
          <t>2026-09-27T05:22:58.892417+00:00</t>
        </is>
      </c>
      <c r="D333" t="inlineStr">
        <is>
          <t>MS</t>
        </is>
      </c>
      <c r="E333" t="inlineStr">
        <is>
          <t>vizinhos</t>
        </is>
      </c>
      <c r="F333" t="inlineStr">
        <is>
          <t>Rio Brilhante</t>
        </is>
      </c>
      <c r="G333" t="inlineStr">
        <is>
          <t>MUNICIPIO DE RIO BRILHANTE</t>
        </is>
      </c>
      <c r="H333" t="inlineStr">
        <is>
          <t>Municipal</t>
        </is>
      </c>
      <c r="I333" t="inlineStr">
        <is>
          <t>2026-04-29T09:01:25</t>
        </is>
      </c>
      <c r="J333" t="inlineStr">
        <is>
          <t>Pregão - Eletrônico</t>
        </is>
      </c>
      <c r="K333" t="inlineStr">
        <is>
          <t>REGISTRO DE PREÇO PARA CONTRATAÇÃO DE EMPRESA ESPECIALIZADA NA PRESTAÇÃO DE SERVIÇOS DE INSTALAÇÃO, MANUTENÇÃO PREVENTIVA E CORRETIVA DE EQUIPAMENTOS DE AR CONDICIONADO INSTALADOS NOS PRÉDIOS DE RESPONSABILIDADE DA PREFEITURA MUNICIPAL DE RIO BRILHANTE.</t>
        </is>
      </c>
      <c r="L333" t="b">
        <v>1</v>
      </c>
      <c r="M333" t="inlineStr">
        <is>
          <t>climatizacao</t>
        </is>
      </c>
      <c r="N333" t="inlineStr">
        <is>
          <t>climatizacao</t>
        </is>
      </c>
      <c r="O333" t="n">
        <v>1017390.02</v>
      </c>
      <c r="P333" t="n">
        <v>650000</v>
      </c>
      <c r="Q333" t="n">
        <v>1017390.02</v>
      </c>
      <c r="R333" t="n">
        <v>0.3611103007807175</v>
      </c>
      <c r="S333" t="n">
        <v>0</v>
      </c>
      <c r="T333" t="n">
        <v>30</v>
      </c>
      <c r="U333" t="n">
        <v>30</v>
      </c>
      <c r="V333" t="n">
        <v>30</v>
      </c>
      <c r="W333" t="n">
        <v>0</v>
      </c>
      <c r="X333" t="n">
        <v>0</v>
      </c>
      <c r="Y333" t="n">
        <v>0</v>
      </c>
      <c r="Z333" t="n">
        <v>0</v>
      </c>
      <c r="AA333" t="n">
        <v>0</v>
      </c>
      <c r="AB333" t="n">
        <v>0</v>
      </c>
      <c r="AC333" t="n">
        <v>0</v>
      </c>
      <c r="AD333" t="n">
        <v>0</v>
      </c>
      <c r="AE333" t="n">
        <v>9</v>
      </c>
      <c r="AF333" t="inlineStr">
        <is>
          <t>BEM STAR AR CONDICIONADO E REFRIGERAÇÃO LTDA:Demais; CAMPOZANO COMERCIO E SERVÇOS LTDA:Demais; GABRIEL FARIA DE OLIVEIRA 06459320195:Demais; CONSTRUSILVER ENGENHARIA E CONSTRUCOES LTDA:Demais; CAMPMAQ COMERCIO E MANUTENCAO DE MAQUINAS PARA ESCRITORIOS LTDA:Demais; CONSTRUTORA ENERGETTE LTDA:Demais; MARLY MICHELLI LTDA:Demais; ADRIANA XAVIER DE OLIVEIRA LTDA:Demais; A2GB COMÉRCIO E SERVIÇOS LTDA EPP:Demais</t>
        </is>
      </c>
      <c r="AH333" t="inlineStr">
        <is>
          <t>indefinido</t>
        </is>
      </c>
      <c r="AJ333" t="n">
        <v>0</v>
      </c>
      <c r="AK333" t="n">
        <v>0</v>
      </c>
      <c r="AL333" t="n">
        <v>0</v>
      </c>
      <c r="AM333" t="n">
        <v>0</v>
      </c>
      <c r="AN333" t="n">
        <v>0</v>
      </c>
      <c r="AQ333" t="n">
        <v>0</v>
      </c>
      <c r="AS333" t="inlineStr">
        <is>
          <t>heuristica automatica confirmada: servico real de climatizacao, sem sinais de exclusao.</t>
        </is>
      </c>
      <c r="AT333" t="n">
        <v>0</v>
      </c>
      <c r="AU333" t="n">
        <v>1</v>
      </c>
    </row>
    <row r="334">
      <c r="A334" t="inlineStr">
        <is>
          <t>03741683000126_2025_22</t>
        </is>
      </c>
      <c r="B334" s="2" t="inlineStr">
        <is>
          <t>https://pncp.gov.br/app/editais/03741683000126/2025/22</t>
        </is>
      </c>
      <c r="C334" t="inlineStr">
        <is>
          <t>2026-09-27T05:30:17.130075+00:00</t>
        </is>
      </c>
      <c r="D334" t="inlineStr">
        <is>
          <t>MS</t>
        </is>
      </c>
      <c r="E334" t="inlineStr">
        <is>
          <t>vizinhos</t>
        </is>
      </c>
      <c r="F334" t="inlineStr">
        <is>
          <t>Mundo Novo</t>
        </is>
      </c>
      <c r="G334" t="inlineStr">
        <is>
          <t>MUNICIPIO DE MUNDO NOVO</t>
        </is>
      </c>
      <c r="H334" t="inlineStr">
        <is>
          <t>Municipal</t>
        </is>
      </c>
      <c r="I334" t="inlineStr">
        <is>
          <t>2025-10-30T12:38:18</t>
        </is>
      </c>
      <c r="J334" t="inlineStr">
        <is>
          <t>Concorrência - Eletrônica</t>
        </is>
      </c>
      <c r="K334" t="inlineStr">
        <is>
          <t>Constitui-se objeto da presente licitação a Contratação de empresa especializada visando a IMPLANTAÇÃO DE POSTES ORNAMENTAIS COMPOSTOS DE LUMINÁRIAS LED DE 150W NA AVENIDA MANOEL MENDES - MUNICÍPIO DE MUNDO NOVO - MS, COM FORNECIMENTO DE MATERIAIS CONFORME MEMORIAL DESCRITIVO, REFERENTE AO CONVENIO TRASNFEREGOV N° 950060/2023 – PROGRAMA CALHA NORTE DO MINISTÉRIO DA DEFESA, CONFORME MEMORIAL DESCRITIVO/CÁLCULO E PROJETOS ANEXOS AO EDITAL.</t>
        </is>
      </c>
      <c r="L334" t="b">
        <v>0</v>
      </c>
      <c r="M334" t="inlineStr">
        <is>
          <t>munck</t>
        </is>
      </c>
      <c r="N334" t="inlineStr">
        <is>
          <t>munck</t>
        </is>
      </c>
      <c r="O334" t="n">
        <v>437993.97</v>
      </c>
      <c r="P334" t="n">
        <v>280000</v>
      </c>
      <c r="Q334" t="n">
        <v>437993.97</v>
      </c>
      <c r="R334" t="n">
        <v>0.3607217925854092</v>
      </c>
      <c r="S334" t="n">
        <v>0</v>
      </c>
      <c r="T334" t="n">
        <v>1</v>
      </c>
      <c r="U334" t="n">
        <v>1</v>
      </c>
      <c r="V334" t="n">
        <v>0</v>
      </c>
      <c r="W334" t="n">
        <v>0</v>
      </c>
      <c r="X334" t="n">
        <v>0</v>
      </c>
      <c r="Y334" t="n">
        <v>0</v>
      </c>
      <c r="Z334" t="n">
        <v>0</v>
      </c>
      <c r="AA334" t="n">
        <v>0</v>
      </c>
      <c r="AB334" t="n">
        <v>0</v>
      </c>
      <c r="AC334" t="n">
        <v>0</v>
      </c>
      <c r="AD334" t="n">
        <v>0</v>
      </c>
      <c r="AE334" t="n">
        <v>1</v>
      </c>
      <c r="AF334" t="inlineStr">
        <is>
          <t>ILUMISUL ILUMINACOES LTDA:EPP</t>
        </is>
      </c>
      <c r="AH334" t="inlineStr">
        <is>
          <t>pontual</t>
        </is>
      </c>
      <c r="AJ334" t="n">
        <v>0</v>
      </c>
      <c r="AK334" t="n">
        <v>0</v>
      </c>
      <c r="AL334" t="n">
        <v>0</v>
      </c>
      <c r="AM334" t="n">
        <v>0</v>
      </c>
      <c r="AN334" t="n">
        <v>0</v>
      </c>
      <c r="AQ334" t="n">
        <v>0</v>
      </c>
      <c r="AS334" t="inlineStr">
        <is>
          <t>Já classificado corretamente pela heurística (item corretamente codificado como Serviço): implantação de postes ornamentais com luminárias LED, obra pequena (R$438 mil, abaixo do limiar).</t>
        </is>
      </c>
      <c r="AT334" t="n">
        <v>0</v>
      </c>
      <c r="AU334" t="n">
        <v>1</v>
      </c>
    </row>
    <row r="335">
      <c r="A335" t="inlineStr">
        <is>
          <t>03773942000109_2026_20</t>
        </is>
      </c>
      <c r="B335" s="2" t="inlineStr">
        <is>
          <t>https://pncp.gov.br/app/editais/03773942000109/2026/20</t>
        </is>
      </c>
      <c r="C335" t="inlineStr">
        <is>
          <t>2026-09-27T05:12:42.055185+00:00</t>
        </is>
      </c>
      <c r="D335" t="inlineStr">
        <is>
          <t>MT</t>
        </is>
      </c>
      <c r="E335" t="inlineStr">
        <is>
          <t>vizinhos</t>
        </is>
      </c>
      <c r="F335" t="inlineStr">
        <is>
          <t>Pedra Preta</t>
        </is>
      </c>
      <c r="G335" t="inlineStr">
        <is>
          <t>MUNICIPIO DE PEDRA PRETA</t>
        </is>
      </c>
      <c r="H335" t="inlineStr">
        <is>
          <t>Municipal</t>
        </is>
      </c>
      <c r="I335" t="inlineStr">
        <is>
          <t>2026-06-11T11:45:58</t>
        </is>
      </c>
      <c r="J335" t="inlineStr">
        <is>
          <t>Pregão - Eletrônico</t>
        </is>
      </c>
      <c r="K335" t="inlineStr">
        <is>
          <t>[LICITANET] - Registro de Preços para futura e eventual contratação de empresa especializada na prestação de serviços comuns de engenharia destinados à manutenção predial preventiva e corretiva das unidades escolares da rede municipal.</t>
        </is>
      </c>
      <c r="L335" t="b">
        <v>1</v>
      </c>
      <c r="M335" t="inlineStr">
        <is>
          <t>manutencao_predial</t>
        </is>
      </c>
      <c r="N335" t="inlineStr">
        <is>
          <t>manutencao_predial</t>
        </is>
      </c>
      <c r="O335" t="n">
        <v>5</v>
      </c>
      <c r="P335" t="n">
        <v>45.05</v>
      </c>
      <c r="Q335" t="n">
        <v>5</v>
      </c>
      <c r="R335" t="n">
        <v>-8.01</v>
      </c>
      <c r="S335" t="n">
        <v>1</v>
      </c>
      <c r="T335" t="n">
        <v>5</v>
      </c>
      <c r="U335" t="n">
        <v>5</v>
      </c>
      <c r="V335" t="n">
        <v>5</v>
      </c>
      <c r="W335" t="n">
        <v>0</v>
      </c>
      <c r="X335" t="n">
        <v>0</v>
      </c>
      <c r="Y335" t="n">
        <v>0</v>
      </c>
      <c r="Z335" t="n">
        <v>0</v>
      </c>
      <c r="AA335" t="n">
        <v>0</v>
      </c>
      <c r="AB335" t="n">
        <v>0</v>
      </c>
      <c r="AC335" t="n">
        <v>0</v>
      </c>
      <c r="AD335" t="n">
        <v>0</v>
      </c>
      <c r="AE335" t="n">
        <v>1</v>
      </c>
      <c r="AF335" t="inlineStr">
        <is>
          <t>AVAL NEGOCIOS E TERCEIRIZAÇÕES LTDA:EPP</t>
        </is>
      </c>
      <c r="AH335" t="inlineStr">
        <is>
          <t>pontual</t>
        </is>
      </c>
      <c r="AJ335" t="n">
        <v>0</v>
      </c>
      <c r="AK335" t="n">
        <v>0</v>
      </c>
      <c r="AL335" t="n">
        <v>0</v>
      </c>
      <c r="AM335" t="n">
        <v>0</v>
      </c>
      <c r="AN335" t="n">
        <v>0</v>
      </c>
      <c r="AQ335" t="n">
        <v>0</v>
      </c>
      <c r="AT335" t="n">
        <v>0</v>
      </c>
      <c r="AU335" t="n">
        <v>1</v>
      </c>
    </row>
    <row r="336">
      <c r="A336" t="inlineStr">
        <is>
          <t>03903176000141_2026_1</t>
        </is>
      </c>
      <c r="B336" s="2" t="inlineStr">
        <is>
          <t>https://pncp.gov.br/app/editais/03903176000141/2026/1</t>
        </is>
      </c>
      <c r="C336" t="inlineStr">
        <is>
          <t>2026-09-27T05:29:53.955553+00:00</t>
        </is>
      </c>
      <c r="D336" t="inlineStr">
        <is>
          <t>MS</t>
        </is>
      </c>
      <c r="E336" t="inlineStr">
        <is>
          <t>vizinhos</t>
        </is>
      </c>
      <c r="F336" t="inlineStr">
        <is>
          <t>Deodápolis</t>
        </is>
      </c>
      <c r="G336" t="inlineStr">
        <is>
          <t>MUNICIPIO DE DEODAPOLIS</t>
        </is>
      </c>
      <c r="H336" t="inlineStr">
        <is>
          <t>Municipal</t>
        </is>
      </c>
      <c r="I336" t="inlineStr">
        <is>
          <t>2026-01-10T17:59:45</t>
        </is>
      </c>
      <c r="J336" t="inlineStr">
        <is>
          <t>Pregão - Presencial</t>
        </is>
      </c>
      <c r="K336" t="inlineStr">
        <is>
          <t>REGISTRO DE PREÇOS PARA LOCAÇÃO DE CAMINHÃO MUNCK GUINDAUTO, PARA ATENDER AS DEMANDAS DA SECRETARIA MUNICIPAL DE INFRAESTRUTURA.</t>
        </is>
      </c>
      <c r="L336" t="b">
        <v>1</v>
      </c>
      <c r="M336" t="inlineStr">
        <is>
          <t>munck</t>
        </is>
      </c>
      <c r="N336" t="inlineStr">
        <is>
          <t>munck</t>
        </is>
      </c>
      <c r="O336" t="n">
        <v>161161.2</v>
      </c>
      <c r="P336" t="n">
        <v>154440</v>
      </c>
      <c r="Q336" t="n">
        <v>161161.2</v>
      </c>
      <c r="R336" t="n">
        <v>0.0417048272164765</v>
      </c>
      <c r="S336" t="n">
        <v>0</v>
      </c>
      <c r="T336" t="n">
        <v>1</v>
      </c>
      <c r="U336" t="n">
        <v>1</v>
      </c>
      <c r="V336" t="n">
        <v>1</v>
      </c>
      <c r="W336" t="n">
        <v>0</v>
      </c>
      <c r="X336" t="n">
        <v>0</v>
      </c>
      <c r="Y336" t="n">
        <v>0</v>
      </c>
      <c r="Z336" t="n">
        <v>0</v>
      </c>
      <c r="AA336" t="n">
        <v>0</v>
      </c>
      <c r="AB336" t="n">
        <v>0</v>
      </c>
      <c r="AC336" t="n">
        <v>0</v>
      </c>
      <c r="AD336" t="n">
        <v>0</v>
      </c>
      <c r="AE336" t="n">
        <v>1</v>
      </c>
      <c r="AF336" t="inlineStr">
        <is>
          <t>JULIANA DOS SANTOS BORBA LTDA:ME</t>
        </is>
      </c>
      <c r="AH336" t="inlineStr">
        <is>
          <t>indefinido</t>
        </is>
      </c>
      <c r="AJ336" t="n">
        <v>0</v>
      </c>
      <c r="AK336" t="n">
        <v>0</v>
      </c>
      <c r="AL336" t="n">
        <v>0</v>
      </c>
      <c r="AM336" t="n">
        <v>0</v>
      </c>
      <c r="AN336" t="n">
        <v>0</v>
      </c>
      <c r="AQ336" t="n">
        <v>0</v>
      </c>
      <c r="AS336" t="inlineStr">
        <is>
          <t>Locação pura de caminhão munck/guindauto de 15 toneladas, por hora (360h); núcleo do escopo, maior capacidade que a maioria dos casos de GO.</t>
        </is>
      </c>
      <c r="AT336" t="n">
        <v>0</v>
      </c>
      <c r="AU336" t="n">
        <v>1</v>
      </c>
    </row>
    <row r="337">
      <c r="A337" t="inlineStr">
        <is>
          <t>03929049000111_2025_49</t>
        </is>
      </c>
      <c r="B337" s="2" t="inlineStr">
        <is>
          <t>https://pncp.gov.br/app/editais/03929049000111/2025/49</t>
        </is>
      </c>
      <c r="C337" t="inlineStr">
        <is>
          <t>2026-09-27T05:13:46.126063+00:00</t>
        </is>
      </c>
      <c r="D337" t="inlineStr">
        <is>
          <t>MT</t>
        </is>
      </c>
      <c r="E337" t="inlineStr">
        <is>
          <t>vizinhos</t>
        </is>
      </c>
      <c r="F337" t="inlineStr">
        <is>
          <t>Cuiabá</t>
        </is>
      </c>
      <c r="G337" t="inlineStr">
        <is>
          <t>MATO GROSSO ASSEMBLEIA LEGISLATIVA</t>
        </is>
      </c>
      <c r="H337" t="inlineStr">
        <is>
          <t>Estadual</t>
        </is>
      </c>
      <c r="I337" t="inlineStr">
        <is>
          <t>2026-03-05T14:31:13</t>
        </is>
      </c>
      <c r="J337" t="inlineStr">
        <is>
          <t>Pregão - Eletrônico</t>
        </is>
      </c>
      <c r="K337" t="inlineStr">
        <is>
          <t>REGISTRO DE PREÇOS PARA FUTURA E EVENTUAL CONTRATAÇÃO DE EMPRESA ESPECIALIZADA PARA FORNECIMENTO DE SOLUÇÃO INTEGRADA DE CONTROLE, AUTOMAÇÃO E SUPERVISÃO PREDIAL, COM DISPONIBILIZAÇÃO DE TODOS OS MATERIAIS PARA A EXECUÇÃO DO SERVIÇO, INCLUINDO MÃO DE OBRA, PARA ATENDER AS NECESSIDADES DE CONTROLE E SEGURANÇA DA ASSEMBLEIA LEGISLATIVA DO ESTADO DE MATO GROSSO.</t>
        </is>
      </c>
      <c r="L337" t="b">
        <v>1</v>
      </c>
      <c r="M337" t="inlineStr">
        <is>
          <t>manutencao_predial</t>
        </is>
      </c>
      <c r="N337" t="inlineStr">
        <is>
          <t>manutencao_predial</t>
        </is>
      </c>
      <c r="O337" t="n">
        <v>13845401.39</v>
      </c>
      <c r="P337" t="n">
        <v>7785751</v>
      </c>
      <c r="Q337" t="n">
        <v>8427596.659999998</v>
      </c>
      <c r="R337" t="n">
        <v>0.07615998794133083</v>
      </c>
      <c r="S337" t="n">
        <v>0</v>
      </c>
      <c r="T337" t="n">
        <v>72</v>
      </c>
      <c r="U337" t="n">
        <v>40</v>
      </c>
      <c r="V337" t="n">
        <v>0</v>
      </c>
      <c r="W337" t="n">
        <v>0</v>
      </c>
      <c r="X337" t="n">
        <v>0</v>
      </c>
      <c r="Y337" t="n">
        <v>0</v>
      </c>
      <c r="Z337" t="n">
        <v>0</v>
      </c>
      <c r="AA337" t="n">
        <v>0</v>
      </c>
      <c r="AB337" t="n">
        <v>0</v>
      </c>
      <c r="AC337" t="n">
        <v>0</v>
      </c>
      <c r="AD337" t="n">
        <v>0</v>
      </c>
      <c r="AE337" t="n">
        <v>1</v>
      </c>
      <c r="AF337" t="inlineStr">
        <is>
          <t>VOTECH TECNOLOGIA EM VOTACAO LTDA:Demais</t>
        </is>
      </c>
      <c r="AH337" t="inlineStr">
        <is>
          <t>pontual</t>
        </is>
      </c>
      <c r="AJ337" t="n">
        <v>0</v>
      </c>
      <c r="AK337" t="n">
        <v>0</v>
      </c>
      <c r="AL337" t="n">
        <v>0</v>
      </c>
      <c r="AM337" t="n">
        <v>0</v>
      </c>
      <c r="AN337" t="n">
        <v>0</v>
      </c>
      <c r="AQ337" t="n">
        <v>0</v>
      </c>
      <c r="AT337" t="n">
        <v>0</v>
      </c>
      <c r="AU337" t="n">
        <v>1</v>
      </c>
    </row>
    <row r="338">
      <c r="A338" t="inlineStr">
        <is>
          <t>03954047000182_2026_25</t>
        </is>
      </c>
      <c r="B338" s="2" t="inlineStr">
        <is>
          <t>https://pncp.gov.br/app/editais/03954047000182/2026/25</t>
        </is>
      </c>
      <c r="C338" t="inlineStr">
        <is>
          <t>2026-09-27T05:08:07.720065+00:00</t>
        </is>
      </c>
      <c r="D338" t="inlineStr">
        <is>
          <t>MT</t>
        </is>
      </c>
      <c r="E338" t="inlineStr">
        <is>
          <t>vizinhos</t>
        </is>
      </c>
      <c r="F338" t="inlineStr">
        <is>
          <t>Tangará da Serra</t>
        </is>
      </c>
      <c r="G338" t="inlineStr">
        <is>
          <t>TANGARA DA SERRA CAMARA MUNICIPAL</t>
        </is>
      </c>
      <c r="H338" t="inlineStr">
        <is>
          <t>Municipal</t>
        </is>
      </c>
      <c r="I338" t="inlineStr">
        <is>
          <t>2026-06-09T08:53:08</t>
        </is>
      </c>
      <c r="J338" t="inlineStr">
        <is>
          <t>Pregão - Eletrônico</t>
        </is>
      </c>
      <c r="K338" t="inlineStr">
        <is>
          <t>CONTRATAÇÃO DE EMPRESA ESPECIALIZADA PARA PRESTAÇÃO DE SERVIÇOS DE MANUTENÇÃO PREVENTIVA E CORRETIVA, INSTALAÇÃO, DESINSTALAÇÃO, HIGIENIZAÇÃO, REPAROS EM EQUIPAMENTOS DE CLIMATIZAÇÃO, REFRIGERAÇÃO E IMPRESSÃO, A FIM DE ATENDER ÀS NECESSIDADES CÂMARA MUNICIPAL DE TANGARÁ DA SERRA, MEDIANTE SISTEMA DE REGISTRO DE PREÇOS.</t>
        </is>
      </c>
      <c r="L338" t="b">
        <v>1</v>
      </c>
      <c r="M338" t="inlineStr">
        <is>
          <t>refrigeracao</t>
        </is>
      </c>
      <c r="N338" t="inlineStr">
        <is>
          <t>refrigeracao</t>
        </is>
      </c>
      <c r="O338" t="n">
        <v>159712.21</v>
      </c>
      <c r="P338" t="n">
        <v>115679.21</v>
      </c>
      <c r="Q338" t="n">
        <v>159712.21</v>
      </c>
      <c r="R338" t="n">
        <v>0.2757021520145516</v>
      </c>
      <c r="S338" t="n">
        <v>0</v>
      </c>
      <c r="T338" t="n">
        <v>28</v>
      </c>
      <c r="U338" t="n">
        <v>28</v>
      </c>
      <c r="V338" t="n">
        <v>28</v>
      </c>
      <c r="W338" t="n">
        <v>0</v>
      </c>
      <c r="X338" t="n">
        <v>0</v>
      </c>
      <c r="Y338" t="n">
        <v>0</v>
      </c>
      <c r="Z338" t="n">
        <v>0</v>
      </c>
      <c r="AA338" t="n">
        <v>0</v>
      </c>
      <c r="AB338" t="n">
        <v>1</v>
      </c>
      <c r="AC338" t="n">
        <v>0</v>
      </c>
      <c r="AD338" t="n">
        <v>1</v>
      </c>
      <c r="AE338" t="n">
        <v>3</v>
      </c>
      <c r="AF338" t="inlineStr">
        <is>
          <t>SANTOS OTAHARA CARVALHO CLIMATIZACAO LTDA:ME; CONCEPR SERVIÇOS:ME; FOCO COMERCIO &amp; SERVICOS LTDA:ME</t>
        </is>
      </c>
      <c r="AH338" t="inlineStr">
        <is>
          <t>indefinido</t>
        </is>
      </c>
      <c r="AJ338" t="n">
        <v>0</v>
      </c>
      <c r="AK338" t="n">
        <v>0</v>
      </c>
      <c r="AL338" t="n">
        <v>0</v>
      </c>
      <c r="AM338" t="n">
        <v>0</v>
      </c>
      <c r="AN338" t="n">
        <v>0</v>
      </c>
      <c r="AQ338" t="n">
        <v>1</v>
      </c>
      <c r="AR338" t="inlineStr">
        <is>
          <t>fora_do_nucleo</t>
        </is>
      </c>
      <c r="AS338" t="inlineStr">
        <is>
          <t>28 itens, 100% descrevem desinstalacao/manutencao/higienizacao/recarga de gas de ar-condicionado split por faixa de BTU; mal cadastrados como 'Material' mas o nucleo do contrato e climatizacao.</t>
        </is>
      </c>
      <c r="AT338" t="n">
        <v>1</v>
      </c>
      <c r="AU338" t="n">
        <v>0</v>
      </c>
    </row>
    <row r="339">
      <c r="A339" t="inlineStr">
        <is>
          <t>03979663000198_2025_26</t>
        </is>
      </c>
      <c r="B339" s="2" t="inlineStr">
        <is>
          <t>https://pncp.gov.br/app/editais/03979663000198/2025/26</t>
        </is>
      </c>
      <c r="C339" t="inlineStr">
        <is>
          <t>2026-09-27T05:22:25.882928+00:00</t>
        </is>
      </c>
      <c r="D339" t="inlineStr">
        <is>
          <t>MS</t>
        </is>
      </c>
      <c r="E339" t="inlineStr">
        <is>
          <t>vizinhos</t>
        </is>
      </c>
      <c r="F339" t="inlineStr">
        <is>
          <t>Campo Grande</t>
        </is>
      </c>
      <c r="G339" t="inlineStr">
        <is>
          <t>TRIBUNAL DE JUSTICA DO ESTADO MATO GROSSO DO SUL</t>
        </is>
      </c>
      <c r="H339" t="inlineStr">
        <is>
          <t>Estadual</t>
        </is>
      </c>
      <c r="I339" t="inlineStr">
        <is>
          <t>2026-05-06T07:12:01</t>
        </is>
      </c>
      <c r="J339" t="inlineStr">
        <is>
          <t>Pregão - Eletrônico</t>
        </is>
      </c>
      <c r="K339" t="inlineStr">
        <is>
          <t>Serviços de manutenção preventiva e corretiva dos sistemas de climatização central da Secretaria do TJMS e dos Gabinetes dos Desembargadores, incluindo mão de obra em regime de dedicação exclusiva, pelo período de 12 (doze) meses.</t>
        </is>
      </c>
      <c r="L339" t="b">
        <v>0</v>
      </c>
      <c r="M339" t="inlineStr">
        <is>
          <t>climatizacao</t>
        </is>
      </c>
      <c r="N339" t="inlineStr">
        <is>
          <t>climatizacao</t>
        </is>
      </c>
      <c r="O339" t="n">
        <v>943428.96</v>
      </c>
      <c r="P339" t="n">
        <v>525999.84</v>
      </c>
      <c r="Q339" t="n">
        <v>943428.96</v>
      </c>
      <c r="R339" t="n">
        <v>0.4424595149167352</v>
      </c>
      <c r="S339" t="n">
        <v>0</v>
      </c>
      <c r="T339" t="n">
        <v>1</v>
      </c>
      <c r="U339" t="n">
        <v>1</v>
      </c>
      <c r="V339" t="n">
        <v>1</v>
      </c>
      <c r="W339" t="n">
        <v>0</v>
      </c>
      <c r="X339" t="n">
        <v>0</v>
      </c>
      <c r="Y339" t="n">
        <v>0</v>
      </c>
      <c r="Z339" t="n">
        <v>0</v>
      </c>
      <c r="AA339" t="n">
        <v>0</v>
      </c>
      <c r="AB339" t="n">
        <v>0</v>
      </c>
      <c r="AC339" t="n">
        <v>0</v>
      </c>
      <c r="AD339" t="n">
        <v>0</v>
      </c>
      <c r="AE339" t="n">
        <v>1</v>
      </c>
      <c r="AF339" t="inlineStr">
        <is>
          <t>BIOSAFE - BIOSSEGURANCA DO BRASIL LTDA:ME</t>
        </is>
      </c>
      <c r="AH339" t="inlineStr">
        <is>
          <t>indefinido</t>
        </is>
      </c>
      <c r="AI339" t="n">
        <v>12</v>
      </c>
      <c r="AJ339" t="n">
        <v>0</v>
      </c>
      <c r="AK339" t="n">
        <v>0</v>
      </c>
      <c r="AL339" t="n">
        <v>0</v>
      </c>
      <c r="AM339" t="n">
        <v>0</v>
      </c>
      <c r="AN339" t="n">
        <v>0</v>
      </c>
      <c r="AQ339" t="n">
        <v>0</v>
      </c>
      <c r="AS339" t="inlineStr">
        <is>
          <t>heuristica automatica confirmada: servico real de climatizacao, sem sinais de exclusao.</t>
        </is>
      </c>
      <c r="AT339" t="n">
        <v>0</v>
      </c>
      <c r="AU339" t="n">
        <v>1</v>
      </c>
    </row>
    <row r="340">
      <c r="A340" t="inlineStr">
        <is>
          <t>03979663000198_2026_162</t>
        </is>
      </c>
      <c r="B340" s="2" t="inlineStr">
        <is>
          <t>https://pncp.gov.br/app/editais/03979663000198/2026/162</t>
        </is>
      </c>
      <c r="C340" t="inlineStr">
        <is>
          <t>2026-09-27T05:29:42.134648+00:00</t>
        </is>
      </c>
      <c r="D340" t="inlineStr">
        <is>
          <t>MS</t>
        </is>
      </c>
      <c r="E340" t="inlineStr">
        <is>
          <t>vizinhos</t>
        </is>
      </c>
      <c r="F340" t="inlineStr">
        <is>
          <t>Campo Grande</t>
        </is>
      </c>
      <c r="G340" t="inlineStr">
        <is>
          <t>TRIBUNAL DE JUSTICA DO ESTADO MATO GROSSO DO SUL</t>
        </is>
      </c>
      <c r="H340" t="inlineStr">
        <is>
          <t>Estadual</t>
        </is>
      </c>
      <c r="I340" t="inlineStr">
        <is>
          <t>2026-07-22T18:13:35</t>
        </is>
      </c>
      <c r="J340" t="inlineStr">
        <is>
          <t>Pregão - Eletrônico</t>
        </is>
      </c>
      <c r="K340" t="inlineStr">
        <is>
          <t>Aquisição definitiva de 2 (dois) containers marítimos adaptados (módulos habitáveis) com banheiro, entregues prontos para o uso, compreendendo o fornecimento dos bens e a execução de todos os serviços indispensáveis à sua implantação (transporte, carga, descarga, içamento, nivelamento, limpeza e testes de funcionamento), conforme especificações e detalhamentos constantes no Termo de Referência e Proposta Detalhe</t>
        </is>
      </c>
      <c r="L340" t="b">
        <v>0</v>
      </c>
      <c r="M340" t="inlineStr">
        <is>
          <t>munck</t>
        </is>
      </c>
      <c r="N340" t="inlineStr">
        <is>
          <t>munck</t>
        </is>
      </c>
      <c r="O340" t="n">
        <v>210751.27</v>
      </c>
      <c r="P340" t="n">
        <v>181246.0922</v>
      </c>
      <c r="Q340" t="n">
        <v>210751.27</v>
      </c>
      <c r="R340" t="n">
        <v>0.1399999999999999</v>
      </c>
      <c r="S340" t="n">
        <v>0</v>
      </c>
      <c r="T340" t="n">
        <v>1</v>
      </c>
      <c r="U340" t="n">
        <v>1</v>
      </c>
      <c r="V340" t="n">
        <v>1</v>
      </c>
      <c r="W340" t="n">
        <v>0</v>
      </c>
      <c r="X340" t="n">
        <v>0</v>
      </c>
      <c r="Y340" t="n">
        <v>0</v>
      </c>
      <c r="Z340" t="n">
        <v>0</v>
      </c>
      <c r="AA340" t="n">
        <v>0</v>
      </c>
      <c r="AB340" t="n">
        <v>0</v>
      </c>
      <c r="AC340" t="n">
        <v>0</v>
      </c>
      <c r="AD340" t="n">
        <v>0</v>
      </c>
      <c r="AE340" t="n">
        <v>1</v>
      </c>
      <c r="AF340" t="inlineStr">
        <is>
          <t>FUNCIONAL CONTAINERS LTDA:ME</t>
        </is>
      </c>
      <c r="AH340" t="inlineStr">
        <is>
          <t>pontual</t>
        </is>
      </c>
      <c r="AJ340" t="n">
        <v>0</v>
      </c>
      <c r="AK340" t="n">
        <v>0</v>
      </c>
      <c r="AL340" t="n">
        <v>0</v>
      </c>
      <c r="AM340" t="n">
        <v>0</v>
      </c>
      <c r="AN340" t="n">
        <v>0</v>
      </c>
      <c r="AQ340" t="n">
        <v>1</v>
      </c>
      <c r="AR340" t="inlineStr">
        <is>
          <t>fornecimento_puro</t>
        </is>
      </c>
      <c r="AS340" t="inlineStr">
        <is>
          <t>Aquisição definitiva de containers marítimos adaptados prontos para uso; içamento é apenas parte da logística de instalação do bem comprado, não um serviço de munck contratado à parte.</t>
        </is>
      </c>
      <c r="AT340" t="n">
        <v>1</v>
      </c>
      <c r="AU340" t="n">
        <v>0</v>
      </c>
    </row>
    <row r="341">
      <c r="A341" t="inlineStr">
        <is>
          <t>04178518000170_2026_16</t>
        </is>
      </c>
      <c r="B341" s="2" t="inlineStr">
        <is>
          <t>https://pncp.gov.br/app/editais/04178518000170/2026/16</t>
        </is>
      </c>
      <c r="C341" t="inlineStr">
        <is>
          <t>2026-09-27T05:04:59.657808+00:00</t>
        </is>
      </c>
      <c r="D341" t="inlineStr">
        <is>
          <t>MT</t>
        </is>
      </c>
      <c r="E341" t="inlineStr">
        <is>
          <t>vizinhos</t>
        </is>
      </c>
      <c r="F341" t="inlineStr">
        <is>
          <t>Santa Cruz do Xingu</t>
        </is>
      </c>
      <c r="G341" t="inlineStr">
        <is>
          <t>MUNICIPIO DE SANTA CRUZ DO XINGU</t>
        </is>
      </c>
      <c r="H341" t="inlineStr">
        <is>
          <t>Municipal</t>
        </is>
      </c>
      <c r="I341" t="inlineStr">
        <is>
          <t>2026-07-14T11:25:20</t>
        </is>
      </c>
      <c r="J341" t="inlineStr">
        <is>
          <t>Pregão - Eletrônico</t>
        </is>
      </c>
      <c r="K341" t="inlineStr">
        <is>
          <t>REGISTRO DE PREÇOS PARA FUTURA E EVENTUAL AQUISIÇÃO DE MANILHAS DE CONCRETO E POSTES, DESTINADOS À EXECUÇÃO, MANUTENÇÃO, RECUPERAÇÃO, SUBSTITUIÇÃO E AMPLIAÇÃO DE BUEIROS, PONTES, SISTEMAS DE DRENAGEM PLUVIAL E DEMAIS OBRAS DE INFRAESTRUTURA EM VIAS URBANAS E ESTRADAS VICINAIS DO MUNICÍPIO DE SANTA CRUZ DO XINGU, BEM COMO PARA ATENDER ÀS DEMANDAS DE INSTALAÇÃO, MANUTENÇÃO E MELHORIA DA INFRAESTRUTURA ELÉTRICA E ESTRUTURAL DAS UNIDADES ESCOLARES DA REDE MUNICIPAL DE ENSINO E DEMAIS PRÉDIOS PÚBLICO</t>
        </is>
      </c>
      <c r="L341" t="b">
        <v>0</v>
      </c>
      <c r="M341" t="inlineStr">
        <is>
          <t>eletrica_predial</t>
        </is>
      </c>
      <c r="N341" t="inlineStr">
        <is>
          <t>eletrica_predial</t>
        </is>
      </c>
      <c r="O341" t="n">
        <v>460487.45</v>
      </c>
      <c r="P341" t="n">
        <v>385489.45</v>
      </c>
      <c r="Q341" t="n">
        <v>460487.45</v>
      </c>
      <c r="R341" t="n">
        <v>0.1628665450057326</v>
      </c>
      <c r="S341" t="n">
        <v>0</v>
      </c>
      <c r="T341" t="n">
        <v>7</v>
      </c>
      <c r="U341" t="n">
        <v>7</v>
      </c>
      <c r="V341" t="n">
        <v>7</v>
      </c>
      <c r="W341" t="n">
        <v>0</v>
      </c>
      <c r="X341" t="n">
        <v>0</v>
      </c>
      <c r="Y341" t="n">
        <v>0</v>
      </c>
      <c r="Z341" t="n">
        <v>0</v>
      </c>
      <c r="AA341" t="n">
        <v>0</v>
      </c>
      <c r="AB341" t="n">
        <v>1</v>
      </c>
      <c r="AC341" t="n">
        <v>0</v>
      </c>
      <c r="AD341" t="n">
        <v>0</v>
      </c>
      <c r="AE341" t="n">
        <v>1</v>
      </c>
      <c r="AF341" t="inlineStr">
        <is>
          <t>DRS ENGENHARIA E PRE-MOLDADOS DE CONCRETO LTDA:ME</t>
        </is>
      </c>
      <c r="AH341" t="inlineStr">
        <is>
          <t>pontual</t>
        </is>
      </c>
      <c r="AJ341" t="n">
        <v>0</v>
      </c>
      <c r="AK341" t="n">
        <v>0</v>
      </c>
      <c r="AL341" t="n">
        <v>0</v>
      </c>
      <c r="AM341" t="n">
        <v>0</v>
      </c>
      <c r="AN341" t="n">
        <v>0</v>
      </c>
      <c r="AQ341" t="n">
        <v>1</v>
      </c>
      <c r="AR341" t="inlineStr">
        <is>
          <t>fornecimento_puro</t>
        </is>
      </c>
      <c r="AS341" t="inlineStr">
        <is>
          <t>Confirmada exclusao automatica (fornecimento_puro): 7 item(ns), todos classificados como material (sem servico).</t>
        </is>
      </c>
      <c r="AT341" t="n">
        <v>1</v>
      </c>
      <c r="AU341" t="n">
        <v>0</v>
      </c>
    </row>
    <row r="342">
      <c r="A342" t="inlineStr">
        <is>
          <t>04213687000102_2026_56</t>
        </is>
      </c>
      <c r="B342" s="2" t="inlineStr">
        <is>
          <t>https://pncp.gov.br/app/editais/04213687000102/2026/56</t>
        </is>
      </c>
      <c r="C342" t="inlineStr">
        <is>
          <t>2026-09-27T05:04:06.814454+00:00</t>
        </is>
      </c>
      <c r="D342" t="inlineStr">
        <is>
          <t>MT</t>
        </is>
      </c>
      <c r="E342" t="inlineStr">
        <is>
          <t>vizinhos</t>
        </is>
      </c>
      <c r="F342" t="inlineStr">
        <is>
          <t>Colniza</t>
        </is>
      </c>
      <c r="G342" t="inlineStr">
        <is>
          <t>MUNICIPIO DE COLNIZA</t>
        </is>
      </c>
      <c r="H342" t="inlineStr">
        <is>
          <t>Municipal</t>
        </is>
      </c>
      <c r="I342" t="inlineStr">
        <is>
          <t>2026-07-28T08:29:14</t>
        </is>
      </c>
      <c r="J342" t="inlineStr">
        <is>
          <t>Pregão - Presencial</t>
        </is>
      </c>
      <c r="K342" t="inlineStr">
        <is>
          <t>REGISTRO DE PREÇOS PARA FUTURA E EVENTUAL AQUISIÇÃO DE MATERIAIS ELÉTRICOS DESTINADOS À MANUTENÇÃO E AMPLIAÇÃO DA REDE DE ILUMINAÇÃO PÚBLICA, PARA ATENDER ÀS DEMANDAS DA SECRETARIA MUNICIPAL DE INFRAESTRUTURA DE COLNIZA/MT.</t>
        </is>
      </c>
      <c r="L342" t="b">
        <v>1</v>
      </c>
      <c r="M342" t="inlineStr">
        <is>
          <t>iluminacao_publica</t>
        </is>
      </c>
      <c r="N342" t="inlineStr">
        <is>
          <t>iluminacao_publica</t>
        </is>
      </c>
      <c r="O342" t="n">
        <v>4858973.99</v>
      </c>
      <c r="P342" t="n">
        <v>1287442.42</v>
      </c>
      <c r="Q342" t="n">
        <v>1714257.82</v>
      </c>
      <c r="R342" t="n">
        <v>0.2489797013147066</v>
      </c>
      <c r="S342" t="n">
        <v>0</v>
      </c>
      <c r="T342" t="n">
        <v>67</v>
      </c>
      <c r="U342" t="n">
        <v>40</v>
      </c>
      <c r="V342" t="n">
        <v>66</v>
      </c>
      <c r="W342" t="n">
        <v>0</v>
      </c>
      <c r="X342" t="n">
        <v>1</v>
      </c>
      <c r="Y342" t="n">
        <v>0</v>
      </c>
      <c r="Z342" t="n">
        <v>1</v>
      </c>
      <c r="AA342" t="n">
        <v>0</v>
      </c>
      <c r="AB342" t="n">
        <v>0</v>
      </c>
      <c r="AC342" t="n">
        <v>0</v>
      </c>
      <c r="AD342" t="n">
        <v>0</v>
      </c>
      <c r="AE342" t="n">
        <v>1</v>
      </c>
      <c r="AF342" t="inlineStr">
        <is>
          <t>3M COMERCIO DE MATERIAIS ELETRICOS, CONSTRUCAO E E:Demais</t>
        </is>
      </c>
      <c r="AH342" t="inlineStr">
        <is>
          <t>pontual</t>
        </is>
      </c>
      <c r="AJ342" t="n">
        <v>0</v>
      </c>
      <c r="AK342" t="n">
        <v>0</v>
      </c>
      <c r="AL342" t="n">
        <v>0</v>
      </c>
      <c r="AM342" t="n">
        <v>0</v>
      </c>
      <c r="AN342" t="n">
        <v>0</v>
      </c>
      <c r="AQ342" t="n">
        <v>1</v>
      </c>
      <c r="AR342" t="inlineStr">
        <is>
          <t>fornecimento_puro</t>
        </is>
      </c>
      <c r="AS342" t="inlineStr">
        <is>
          <t>Registro de preços/contratação de fornecimento de materiais, sem mão de obra de manutenção contratada.</t>
        </is>
      </c>
      <c r="AT342" t="n">
        <v>1</v>
      </c>
      <c r="AU342" t="n">
        <v>0</v>
      </c>
    </row>
    <row r="343">
      <c r="A343" t="inlineStr">
        <is>
          <t>04214704000118_2025_58</t>
        </is>
      </c>
      <c r="B343" s="2" t="inlineStr">
        <is>
          <t>https://pncp.gov.br/app/editais/04214704000118/2025/58</t>
        </is>
      </c>
      <c r="C343" t="inlineStr">
        <is>
          <t>2026-09-27T05:15:48.101254+00:00</t>
        </is>
      </c>
      <c r="D343" t="inlineStr">
        <is>
          <t>MT</t>
        </is>
      </c>
      <c r="E343" t="inlineStr">
        <is>
          <t>vizinhos</t>
        </is>
      </c>
      <c r="F343" t="inlineStr">
        <is>
          <t>Nova Santa Helena</t>
        </is>
      </c>
      <c r="G343" t="inlineStr">
        <is>
          <t>MUNICIPIO DE NOVA SANTA HELENA</t>
        </is>
      </c>
      <c r="H343" t="inlineStr">
        <is>
          <t>Municipal</t>
        </is>
      </c>
      <c r="I343" t="inlineStr">
        <is>
          <t>2026-03-23T16:09:27</t>
        </is>
      </c>
      <c r="J343" t="inlineStr">
        <is>
          <t>Pregão - Eletrônico</t>
        </is>
      </c>
      <c r="K343" t="inlineStr">
        <is>
          <t>Registro de Preços para futura e eventual contratação de Serviços operacionais especializados com caminhões tipo guindauto (munck) para implantações e manutenções da Iluminação Pública e demais serviços de cobertura da rede elétrica no município de Nova Santa Helena – MT.</t>
        </is>
      </c>
      <c r="L343" t="b">
        <v>1</v>
      </c>
      <c r="M343" t="inlineStr">
        <is>
          <t>munck</t>
        </is>
      </c>
      <c r="N343" t="inlineStr">
        <is>
          <t>munck</t>
        </is>
      </c>
      <c r="O343" t="n">
        <v>667500</v>
      </c>
      <c r="P343" t="n">
        <v>333690</v>
      </c>
      <c r="Q343" t="n">
        <v>667500</v>
      </c>
      <c r="R343" t="n">
        <v>0.5000898876404495</v>
      </c>
      <c r="S343" t="n">
        <v>0</v>
      </c>
      <c r="T343" t="n">
        <v>2</v>
      </c>
      <c r="U343" t="n">
        <v>2</v>
      </c>
      <c r="V343" t="n">
        <v>2</v>
      </c>
      <c r="W343" t="n">
        <v>0</v>
      </c>
      <c r="X343" t="n">
        <v>0</v>
      </c>
      <c r="Y343" t="n">
        <v>0</v>
      </c>
      <c r="Z343" t="n">
        <v>0</v>
      </c>
      <c r="AA343" t="n">
        <v>0</v>
      </c>
      <c r="AB343" t="n">
        <v>0</v>
      </c>
      <c r="AC343" t="n">
        <v>0</v>
      </c>
      <c r="AD343" t="n">
        <v>0</v>
      </c>
      <c r="AE343" t="n">
        <v>1</v>
      </c>
      <c r="AF343" t="inlineStr">
        <is>
          <t>CAVALCCA PRESTADORA DE SERVICOS LTDA:ME</t>
        </is>
      </c>
      <c r="AH343" t="inlineStr">
        <is>
          <t>pontual</t>
        </is>
      </c>
      <c r="AJ343" t="n">
        <v>0</v>
      </c>
      <c r="AK343" t="n">
        <v>0</v>
      </c>
      <c r="AL343" t="n">
        <v>0</v>
      </c>
      <c r="AM343" t="n">
        <v>0</v>
      </c>
      <c r="AN343" t="n">
        <v>0</v>
      </c>
      <c r="AQ343" t="n">
        <v>0</v>
      </c>
      <c r="AS343" t="inlineStr">
        <is>
          <t>Serviços especializados com caminhão guindauto (munck) e cesto aéreo linha viva, com operador e eletricista, para implantação/manutenção de iluminação pública -- núcleo do escopo.</t>
        </is>
      </c>
      <c r="AT343" t="n">
        <v>0</v>
      </c>
      <c r="AU343" t="n">
        <v>1</v>
      </c>
    </row>
    <row r="344">
      <c r="A344" t="inlineStr">
        <is>
          <t>04215993000170_2026_24</t>
        </is>
      </c>
      <c r="B344" s="2" t="inlineStr">
        <is>
          <t>https://pncp.gov.br/app/editais/04215993000170/2026/24</t>
        </is>
      </c>
      <c r="C344" t="inlineStr">
        <is>
          <t>2026-09-27T05:12:46.525998+00:00</t>
        </is>
      </c>
      <c r="D344" t="inlineStr">
        <is>
          <t>MT</t>
        </is>
      </c>
      <c r="E344" t="inlineStr">
        <is>
          <t>vizinhos</t>
        </is>
      </c>
      <c r="F344" t="inlineStr">
        <is>
          <t>Vale de São Domingos</t>
        </is>
      </c>
      <c r="G344" t="inlineStr">
        <is>
          <t>MUNICIPIO DE VALE DE SAO DOMINGOS</t>
        </is>
      </c>
      <c r="H344" t="inlineStr">
        <is>
          <t>Municipal</t>
        </is>
      </c>
      <c r="I344" t="inlineStr">
        <is>
          <t>2026-04-30T10:25:50</t>
        </is>
      </c>
      <c r="J344" t="inlineStr">
        <is>
          <t>Pregão - Presencial</t>
        </is>
      </c>
      <c r="K344" t="inlineStr">
        <is>
          <t>SOLICITAÇÃO DE CONTRATAÇÃO DE EMPRESA PARA PRESTAÇÃO DE SERVIÇOS DE MANUTENÇÃO PREDIAL DO TIPO PREVENTIVA E CORRETIVA, E MANUTENÇÃO E CONSERVAÇÃO DE OBRAS DE INFRAESTRUTURA, COM FORNECIMENTO DE PEÇAS, EQUIPAMENTOS, MATERIAIS E MÃO DE OBRA, POR DEMANDA</t>
        </is>
      </c>
      <c r="L344" t="b">
        <v>1</v>
      </c>
      <c r="M344" t="inlineStr">
        <is>
          <t>manutencao_predial</t>
        </is>
      </c>
      <c r="N344" t="inlineStr">
        <is>
          <t>manutencao_predial</t>
        </is>
      </c>
      <c r="O344" t="n">
        <v>3284409.79</v>
      </c>
      <c r="P344" t="n">
        <v>3284409.79</v>
      </c>
      <c r="Q344" t="n">
        <v>3284409.79</v>
      </c>
      <c r="R344" t="n">
        <v>0</v>
      </c>
      <c r="S344" t="n">
        <v>0</v>
      </c>
      <c r="T344" t="n">
        <v>1</v>
      </c>
      <c r="U344" t="n">
        <v>1</v>
      </c>
      <c r="V344" t="n">
        <v>1</v>
      </c>
      <c r="W344" t="n">
        <v>0</v>
      </c>
      <c r="X344" t="n">
        <v>0</v>
      </c>
      <c r="Y344" t="n">
        <v>0</v>
      </c>
      <c r="Z344" t="n">
        <v>0</v>
      </c>
      <c r="AA344" t="n">
        <v>0</v>
      </c>
      <c r="AB344" t="n">
        <v>0</v>
      </c>
      <c r="AC344" t="n">
        <v>0</v>
      </c>
      <c r="AD344" t="n">
        <v>0</v>
      </c>
      <c r="AE344" t="n">
        <v>1</v>
      </c>
      <c r="AF344" t="inlineStr">
        <is>
          <t>VALE SERVICOS E LIMPEZA LTDA:Demais</t>
        </is>
      </c>
      <c r="AH344" t="inlineStr">
        <is>
          <t>pontual</t>
        </is>
      </c>
      <c r="AJ344" t="n">
        <v>0</v>
      </c>
      <c r="AK344" t="n">
        <v>0</v>
      </c>
      <c r="AL344" t="n">
        <v>0</v>
      </c>
      <c r="AM344" t="n">
        <v>0</v>
      </c>
      <c r="AN344" t="n">
        <v>0</v>
      </c>
      <c r="AQ344" t="n">
        <v>0</v>
      </c>
      <c r="AT344" t="n">
        <v>0</v>
      </c>
      <c r="AU344" t="n">
        <v>1</v>
      </c>
    </row>
    <row r="345">
      <c r="A345" t="inlineStr">
        <is>
          <t>04215993000170_2026_37</t>
        </is>
      </c>
      <c r="B345" s="2" t="inlineStr">
        <is>
          <t>https://pncp.gov.br/app/editais/04215993000170/2026/37</t>
        </is>
      </c>
      <c r="C345" t="inlineStr">
        <is>
          <t>2026-09-27T05:02:05.330262+00:00</t>
        </is>
      </c>
      <c r="D345" t="inlineStr">
        <is>
          <t>MT</t>
        </is>
      </c>
      <c r="E345" t="inlineStr">
        <is>
          <t>vizinhos</t>
        </is>
      </c>
      <c r="F345" t="inlineStr">
        <is>
          <t>Vale de São Domingos</t>
        </is>
      </c>
      <c r="G345" t="inlineStr">
        <is>
          <t>MUNICIPIO DE VALE DE SAO DOMINGOS</t>
        </is>
      </c>
      <c r="H345" t="inlineStr">
        <is>
          <t>Municipal</t>
        </is>
      </c>
      <c r="I345" t="inlineStr">
        <is>
          <t>2026-07-06T11:23:14</t>
        </is>
      </c>
      <c r="J345" t="inlineStr">
        <is>
          <t>Pregão - Eletrônico</t>
        </is>
      </c>
      <c r="K345" t="inlineStr">
        <is>
          <t>[LICITANET] - Registro de Preços para futura e eventual aquisição de materiais permanentes, compreendendo mobiliários, equipamentos de informática, eletroeletrônicos, aparelhos de climatização, equipamentos de apoio administrativo e demais bens duráveis destinados ao aparelhamento, modernização e manutenção das atividades desenvolvidas pelas Secretarias Municipais da Prefeitura de Vale de São Domingos-MT</t>
        </is>
      </c>
      <c r="L345" t="b">
        <v>0</v>
      </c>
      <c r="M345" t="inlineStr">
        <is>
          <t>climatizacao</t>
        </is>
      </c>
      <c r="N345" t="inlineStr">
        <is>
          <t>climatizacao</t>
        </is>
      </c>
      <c r="O345" t="n">
        <v>1210926.31</v>
      </c>
      <c r="P345" t="n">
        <v>136413.2</v>
      </c>
      <c r="Q345" t="n">
        <v>220104.29</v>
      </c>
      <c r="R345" t="n">
        <v>0.3802337973512465</v>
      </c>
      <c r="S345" t="n">
        <v>0</v>
      </c>
      <c r="T345" t="n">
        <v>134</v>
      </c>
      <c r="U345" t="n">
        <v>40</v>
      </c>
      <c r="V345" t="n">
        <v>120</v>
      </c>
      <c r="W345" t="n">
        <v>0</v>
      </c>
      <c r="X345" t="n">
        <v>14</v>
      </c>
      <c r="Y345" t="n">
        <v>0</v>
      </c>
      <c r="Z345" t="n">
        <v>1</v>
      </c>
      <c r="AA345" t="n">
        <v>0</v>
      </c>
      <c r="AB345" t="n">
        <v>0</v>
      </c>
      <c r="AC345" t="n">
        <v>0</v>
      </c>
      <c r="AD345" t="n">
        <v>1</v>
      </c>
      <c r="AE345" t="n">
        <v>10</v>
      </c>
      <c r="AF345" t="inlineStr">
        <is>
          <t>A. PAZINATO MARINGA:ME; OLMI INFORMATICA LTDA:EPP; WANDA MOVEIS E EQUIPAMENTOS LTDA:EPP; GUAPUI INDÚSTRIA E COMÉRCIO DE MÓVEIS DE AÇO LTDA:Demais; E-PAPER LTDA:EPP; TRITEK DISTRIBUIDORA DE INFORMATICA, IMPORTACAO E EXPORTACAO LTDA:EPP; POLO SUL CLIMATIZACAO LTDA:ME; L F COMERCIO DE EQUIPAMENTOS DE INFORMATICA E REPRESENTACOES LTDA:EPP; REFINAR EMPRESARIAL ASSESSORIA EM CONTROLES ADMINISTRATIVOS LTDA:ME; DATASERVICE PRESTADORA DE SERVICOS LTDA:ME</t>
        </is>
      </c>
      <c r="AH345" t="inlineStr">
        <is>
          <t>pontual</t>
        </is>
      </c>
      <c r="AJ345" t="n">
        <v>0</v>
      </c>
      <c r="AK345" t="n">
        <v>0</v>
      </c>
      <c r="AL345" t="n">
        <v>0</v>
      </c>
      <c r="AM345" t="n">
        <v>0</v>
      </c>
      <c r="AN345" t="n">
        <v>0</v>
      </c>
      <c r="AQ345" t="n">
        <v>1</v>
      </c>
      <c r="AR345" t="inlineStr">
        <is>
          <t>fornecimento_puro</t>
        </is>
      </c>
      <c r="AS345" t="inlineStr">
        <is>
          <t>heuristica automatica confirmada (fornecimento_puro): 134 item(ns), todos classificados como material (sem servico).</t>
        </is>
      </c>
      <c r="AT345" t="n">
        <v>1</v>
      </c>
      <c r="AU345" t="n">
        <v>0</v>
      </c>
    </row>
    <row r="346">
      <c r="A346" t="inlineStr">
        <is>
          <t>04253881000103_2026_36</t>
        </is>
      </c>
      <c r="B346" s="2" t="inlineStr">
        <is>
          <t>https://pncp.gov.br/app/editais/04253881000103/2026/36</t>
        </is>
      </c>
      <c r="C346" t="inlineStr">
        <is>
          <t>2026-09-27T05:20:52.650916+00:00</t>
        </is>
      </c>
      <c r="D346" t="inlineStr">
        <is>
          <t>MS</t>
        </is>
      </c>
      <c r="E346" t="inlineStr">
        <is>
          <t>vizinhos</t>
        </is>
      </c>
      <c r="F346" t="inlineStr">
        <is>
          <t>Campo Grande</t>
        </is>
      </c>
      <c r="G346" t="inlineStr">
        <is>
          <t>SERVICO NACIONAL DE APRENDIZAGEM RURAL - SENAR</t>
        </is>
      </c>
      <c r="H346" t="inlineStr">
        <is>
          <t>Não se aplica</t>
        </is>
      </c>
      <c r="I346" t="inlineStr">
        <is>
          <t>2026-06-15T10:16:55</t>
        </is>
      </c>
      <c r="J346" t="inlineStr">
        <is>
          <t>Pregão - Eletrônico</t>
        </is>
      </c>
      <c r="K346" t="inlineStr">
        <is>
          <t>Registro de preços para aquisição de ferramentas, materiais de construção, materiais elétricos, EPI e segurança, visando atender as demandas 
do SENAR-AR/MS e do Centro de Excelência em Bovinocultura de Corte Senar MS.</t>
        </is>
      </c>
      <c r="L346" t="b">
        <v>1</v>
      </c>
      <c r="M346" t="inlineStr">
        <is>
          <t>eletrica_predial</t>
        </is>
      </c>
      <c r="N346" t="inlineStr">
        <is>
          <t>eletrica_predial</t>
        </is>
      </c>
      <c r="O346" t="n">
        <v>83166.49000000001</v>
      </c>
      <c r="P346" t="n">
        <v>13109.95</v>
      </c>
      <c r="Q346" t="n">
        <v>15289.66</v>
      </c>
      <c r="R346" t="n">
        <v>0.1425610510632676</v>
      </c>
      <c r="S346" t="n">
        <v>0</v>
      </c>
      <c r="T346" t="n">
        <v>66</v>
      </c>
      <c r="U346" t="n">
        <v>18</v>
      </c>
      <c r="V346" t="n">
        <v>18</v>
      </c>
      <c r="W346" t="n">
        <v>0</v>
      </c>
      <c r="X346" t="n">
        <v>0</v>
      </c>
      <c r="Y346" t="n">
        <v>0</v>
      </c>
      <c r="Z346" t="n">
        <v>0</v>
      </c>
      <c r="AA346" t="n">
        <v>0</v>
      </c>
      <c r="AB346" t="n">
        <v>0</v>
      </c>
      <c r="AC346" t="n">
        <v>0</v>
      </c>
      <c r="AD346" t="n">
        <v>0</v>
      </c>
      <c r="AE346" t="n">
        <v>2</v>
      </c>
      <c r="AF346" t="inlineStr">
        <is>
          <t>GGV COMERCIAL LTDA:Não Informado; INFANTARIA COMERCIAL LTDA:Não Informado</t>
        </is>
      </c>
      <c r="AH346" t="inlineStr">
        <is>
          <t>pontual</t>
        </is>
      </c>
      <c r="AJ346" t="n">
        <v>0</v>
      </c>
      <c r="AK346" t="n">
        <v>0</v>
      </c>
      <c r="AL346" t="n">
        <v>0</v>
      </c>
      <c r="AM346" t="n">
        <v>0</v>
      </c>
      <c r="AN346" t="n">
        <v>0</v>
      </c>
      <c r="AQ346" t="n">
        <v>1</v>
      </c>
      <c r="AR346" t="inlineStr">
        <is>
          <t>fornecimento_puro</t>
        </is>
      </c>
      <c r="AS346" t="inlineStr">
        <is>
          <t>Confirmada exclusao automatica (fornecimento_puro): 66 item(ns), todos classificados como material (sem servico).</t>
        </is>
      </c>
      <c r="AT346" t="n">
        <v>0</v>
      </c>
      <c r="AU346" t="n">
        <v>0</v>
      </c>
    </row>
    <row r="347">
      <c r="A347" t="inlineStr">
        <is>
          <t>04709778000125_2026_15</t>
        </is>
      </c>
      <c r="B347" s="2" t="inlineStr">
        <is>
          <t>https://pncp.gov.br/app/editais/04709778000125/2026/15</t>
        </is>
      </c>
      <c r="C347" t="inlineStr">
        <is>
          <t>2026-09-27T05:14:32.064422+00:00</t>
        </is>
      </c>
      <c r="D347" t="inlineStr">
        <is>
          <t>MT</t>
        </is>
      </c>
      <c r="E347" t="inlineStr">
        <is>
          <t>vizinhos</t>
        </is>
      </c>
      <c r="F347" t="inlineStr">
        <is>
          <t>Juína</t>
        </is>
      </c>
      <c r="G347" t="inlineStr">
        <is>
          <t>DEPARTAMENTO DA AGUA E ESGOTO SANITARIO</t>
        </is>
      </c>
      <c r="H347" t="inlineStr">
        <is>
          <t>Municipal</t>
        </is>
      </c>
      <c r="I347" t="inlineStr">
        <is>
          <t>2026-06-03T10:17:29</t>
        </is>
      </c>
      <c r="J347" t="inlineStr">
        <is>
          <t>Pregão - Eletrônico</t>
        </is>
      </c>
      <c r="K347" t="inlineStr">
        <is>
          <t>REGISTRO DE PREÇOS PARA FUTURA E EVENTUAL CONTRATAÇÃO DE EMPRESA PARA PRESTAÇÃO DE SERVIÇOS DIVERSOS (SERVIÇOS ELÉTRICOS, MANUTENÇÃO DE BOMBAS, LOCAÇÃO DE CAMINHÃO MUNCK, CAMINHÃO BASCULANTE, PA CARREGADEIRA, RETRO ESCAVADEIRA, ESCAVADEIRA HIRAULICA, MINI ESCAVADEIRA, SERVIÇOS DE SOLDA, PINTURA, PEDREIRO/CARPINTEIRO/JARDINEIRO, AUXILIAR DE PEDREIRO, SERVIÇO DE CAMINHÃO LIMPA FOSSA COM HIDROJATO), EM ATENDIMENTO AS NECESSIDADES DO DEPARTAMENTO DE ÁGUA E ESGOTO SANITÁRIO – DAES, NO MUNICÍPIO DE JUÍNA/MT</t>
        </is>
      </c>
      <c r="L347" t="b">
        <v>1</v>
      </c>
      <c r="M347" t="inlineStr">
        <is>
          <t>munck</t>
        </is>
      </c>
      <c r="N347" t="inlineStr">
        <is>
          <t>munck</t>
        </is>
      </c>
      <c r="O347" t="n">
        <v>1854027.5</v>
      </c>
      <c r="P347" t="n">
        <v>1317714</v>
      </c>
      <c r="Q347" t="n">
        <v>1854027.5</v>
      </c>
      <c r="R347" t="n">
        <v>0.2892694417963056</v>
      </c>
      <c r="S347" t="n">
        <v>0</v>
      </c>
      <c r="T347" t="n">
        <v>33</v>
      </c>
      <c r="U347" t="n">
        <v>33</v>
      </c>
      <c r="V347" t="n">
        <v>33</v>
      </c>
      <c r="W347" t="n">
        <v>0</v>
      </c>
      <c r="X347" t="n">
        <v>0</v>
      </c>
      <c r="Y347" t="n">
        <v>0</v>
      </c>
      <c r="Z347" t="n">
        <v>0</v>
      </c>
      <c r="AA347" t="n">
        <v>0</v>
      </c>
      <c r="AB347" t="n">
        <v>0</v>
      </c>
      <c r="AC347" t="n">
        <v>0</v>
      </c>
      <c r="AD347" t="n">
        <v>1</v>
      </c>
      <c r="AE347" t="n">
        <v>3</v>
      </c>
      <c r="AF347" t="inlineStr">
        <is>
          <t>GABRIEL ANDREAZZI LTDA:EPP; ALDO GOMES FALANQUE:ME; JET CLEAN - SERVICOS DE LIMPEZA LTDA:Demais</t>
        </is>
      </c>
      <c r="AH347" t="inlineStr">
        <is>
          <t>pontual</t>
        </is>
      </c>
      <c r="AJ347" t="n">
        <v>0</v>
      </c>
      <c r="AK347" t="n">
        <v>0</v>
      </c>
      <c r="AL347" t="n">
        <v>0</v>
      </c>
      <c r="AM347" t="n">
        <v>0</v>
      </c>
      <c r="AN347" t="n">
        <v>0</v>
      </c>
      <c r="AQ347" t="n">
        <v>0</v>
      </c>
      <c r="AS347" t="inlineStr">
        <is>
          <t>Pacote amplo de serviços diversos (33 itens: bombas, jardinagem, hidrojato, solda, pintura etc.), mas o item 9741 é especificamente 'locação de caminhão tipo munck' por hora -- disputável isoladamente; preço homologado (R$64/h) é um outlier extremo, tratado à parte.</t>
        </is>
      </c>
      <c r="AT347" t="n">
        <v>0</v>
      </c>
      <c r="AU347" t="n">
        <v>1</v>
      </c>
    </row>
    <row r="348">
      <c r="A348" t="inlineStr">
        <is>
          <t>04755973000191_2025_109</t>
        </is>
      </c>
      <c r="B348" s="2" t="inlineStr">
        <is>
          <t>https://pncp.gov.br/app/editais/04755973000191/2025/109</t>
        </is>
      </c>
      <c r="C348" t="inlineStr">
        <is>
          <t>2026-09-27T02:43:45.278018+00:00</t>
        </is>
      </c>
      <c r="D348" t="inlineStr">
        <is>
          <t>GO</t>
        </is>
      </c>
      <c r="E348" t="inlineStr">
        <is>
          <t>GO</t>
        </is>
      </c>
      <c r="F348" t="inlineStr">
        <is>
          <t>Uruaçu</t>
        </is>
      </c>
      <c r="G348" t="inlineStr">
        <is>
          <t>FUNDO MUNICIPAL DE SAUDE DE URUACU</t>
        </is>
      </c>
      <c r="H348" t="inlineStr">
        <is>
          <t>Municipal</t>
        </is>
      </c>
      <c r="I348" t="inlineStr">
        <is>
          <t>2025-11-06T10:55:45</t>
        </is>
      </c>
      <c r="J348" t="inlineStr">
        <is>
          <t>Pregão - Eletrônico</t>
        </is>
      </c>
      <c r="K348" t="inlineStr">
        <is>
          <t>Eventual contratação de empresa especializada para prestação dos serviços de natureza continuada de manutenção preventiva e corretiva dos aparelhos de ar-condicionado instalados nas dependências dos órgãos da Secretaria Municipal de Saúde-FMS e a Secretaria Municipal de Desenvolvimento Social- FMAS, do município de Uruaçu, Estado de Goiás, com fornecimento de mão-de-obra, materiais e todas as ferramentas necessárias, além de recarga, complementação do gás refrigerante e troca de filtros secadores, dentre outros, com previsão de eventual ressarcimento pela aquisição de peças de reposição dentro do valor anual fixado. Adesão à Ata de Registro de Preços nº. 059/2025, oriunda ao Pregão Eletrônico nº. 005/2025, Processo Administrativo nº. 9512/2025 realizado pelo órgão gerenciador do Município Santa Helena, Estado de Goiás, que tem como objeto original a EVENTUAL CONTRATAÇÃO DE EMPRESA ESPECIALIZADA PARA PRESTAÇÃO DOS SERVIÇOS DE NATUREZA CONTINUADA DE MANUTENÇÃO PREVENTIVA E CORRETIVA DOS APARELHOS DE AR-CONDICIONADO INSTALADOS NAS DEPENDÊNCIAS DOS ÓRGÃOS DAS UNIDADES DE ENSINO DO FUNDO  MUNICIPAL DE EDUCAÇÃO DO MUNICÍPIO, COM FORNECIMENTO DE MÃO-DE-OBRA, MATERIAIS E TODAS AS FERRAMENTAS NECESSÁRIAS, ALÉM DE RECARGA, COMPLEMENTAÇÃO DO GÁS REFRIGERANTE E TROCA DE FILTROS SECADORES, DENTRE OUTROS, COM PREVISÃO DE EVENTUAL RESSARCIMENTO PELA AQUISIÇÃO DE PEÇAS DE REPOSIÇÃO DENTRO DO VALOR ANUAL FIXADO.</t>
        </is>
      </c>
      <c r="L348" t="b">
        <v>1</v>
      </c>
      <c r="M348" t="inlineStr">
        <is>
          <t>climatizacao</t>
        </is>
      </c>
      <c r="N348" t="inlineStr">
        <is>
          <t>climatizacao</t>
        </is>
      </c>
      <c r="O348" t="n">
        <v>178442.94</v>
      </c>
      <c r="P348" t="n">
        <v>135689.8</v>
      </c>
      <c r="Q348" t="n">
        <v>135689.8</v>
      </c>
      <c r="R348" t="n">
        <v>0</v>
      </c>
      <c r="S348" t="n">
        <v>0</v>
      </c>
      <c r="T348" t="n">
        <v>58</v>
      </c>
      <c r="U348" t="n">
        <v>40</v>
      </c>
      <c r="V348" t="n">
        <v>58</v>
      </c>
      <c r="W348" t="n">
        <v>0</v>
      </c>
      <c r="X348" t="n">
        <v>0</v>
      </c>
      <c r="Y348" t="n">
        <v>0</v>
      </c>
      <c r="Z348" t="n">
        <v>0</v>
      </c>
      <c r="AA348" t="n">
        <v>0</v>
      </c>
      <c r="AB348" t="n">
        <v>0</v>
      </c>
      <c r="AC348" t="n">
        <v>0</v>
      </c>
      <c r="AD348" t="n">
        <v>0</v>
      </c>
      <c r="AE348" t="n">
        <v>1</v>
      </c>
      <c r="AF348" t="inlineStr">
        <is>
          <t>MERX SERVICOS E COMERCIO LTDA:Demais</t>
        </is>
      </c>
      <c r="AH348" t="inlineStr">
        <is>
          <t>continuado</t>
        </is>
      </c>
      <c r="AJ348" t="n">
        <v>0</v>
      </c>
      <c r="AK348" t="n">
        <v>0</v>
      </c>
      <c r="AL348" t="n">
        <v>0</v>
      </c>
      <c r="AM348" t="n">
        <v>0</v>
      </c>
      <c r="AN348" t="n">
        <v>0</v>
      </c>
      <c r="AQ348" t="n">
        <v>0</v>
      </c>
      <c r="AS348" t="inlineStr">
        <is>
          <t>heuristica automatica confirmada: servico real de climatizacao, sem sinais de exclusao.</t>
        </is>
      </c>
      <c r="AT348" t="n">
        <v>0</v>
      </c>
      <c r="AU348" t="n">
        <v>1</v>
      </c>
    </row>
    <row r="349">
      <c r="A349" t="inlineStr">
        <is>
          <t>04842827000101_2026_52</t>
        </is>
      </c>
      <c r="B349" s="2" t="inlineStr">
        <is>
          <t>https://pncp.gov.br/app/editais/04842827000101/2026/52</t>
        </is>
      </c>
      <c r="C349" t="inlineStr">
        <is>
          <t>2026-09-27T05:44:45.242657+00:00</t>
        </is>
      </c>
      <c r="D349" t="inlineStr">
        <is>
          <t>MG</t>
        </is>
      </c>
      <c r="E349" t="inlineStr">
        <is>
          <t>vizinhos</t>
        </is>
      </c>
      <c r="F349" t="inlineStr">
        <is>
          <t>Bocaiúva</t>
        </is>
      </c>
      <c r="G349" t="inlineStr">
        <is>
          <t>HOSPITAL MUNICIPAL DR GIL ALVES</t>
        </is>
      </c>
      <c r="H349" t="inlineStr">
        <is>
          <t>Municipal</t>
        </is>
      </c>
      <c r="I349" t="inlineStr">
        <is>
          <t>2026-08-12T08:31:07</t>
        </is>
      </c>
      <c r="J349" t="inlineStr">
        <is>
          <t>Pregão - Eletrônico</t>
        </is>
      </c>
      <c r="K349" t="inlineStr">
        <is>
          <t>[Portal de Compras Públicas] - REGISTRO DE PREÇOS PARA CONTRATAÇÃO DE EMPRESA ESPECIALIZADA PARA PRESTAÇÃO DE SERVIÇO EM LOTE DE MANUTENÇÃO PREVENTIVA, CORRETIVA, RECARGA DE GÁS E CALIBRAÇÃO COM EMISSÃO DE LAUDO TÉCNICO EM EQUIPAMENTOS DE REFRIGERAÇÃO, CLIMATIZAÇÃO E CONTROLE DE TEMPERATURA (BEBEDOUROS, GELADEIRAS, ARES CONDICIONADOS, FREEZERS DE VACINA E SANGUE, REFRIGERADORES, FRIGOBARES), BEM COMO A ELABORAÇÃO DE PMOC – PLANO DE MANUTENÇÃO, OPERAÇÃO E CONTROLE DOS EQUIPAMENTOS.</t>
        </is>
      </c>
      <c r="L349" t="b">
        <v>1</v>
      </c>
      <c r="M349" t="inlineStr">
        <is>
          <t>refrigeracao</t>
        </is>
      </c>
      <c r="N349" t="inlineStr">
        <is>
          <t>refrigeracao</t>
        </is>
      </c>
      <c r="O349" t="n">
        <v>654093.6</v>
      </c>
      <c r="P349" t="n">
        <v>500000</v>
      </c>
      <c r="Q349" t="n">
        <v>654093.6</v>
      </c>
      <c r="R349" t="n">
        <v>0.2355834088576926</v>
      </c>
      <c r="S349" t="n">
        <v>0</v>
      </c>
      <c r="T349" t="n">
        <v>27</v>
      </c>
      <c r="U349" t="n">
        <v>27</v>
      </c>
      <c r="V349" t="n">
        <v>27</v>
      </c>
      <c r="W349" t="n">
        <v>0</v>
      </c>
      <c r="X349" t="n">
        <v>0</v>
      </c>
      <c r="Y349" t="n">
        <v>0</v>
      </c>
      <c r="Z349" t="n">
        <v>0</v>
      </c>
      <c r="AA349" t="n">
        <v>0</v>
      </c>
      <c r="AB349" t="n">
        <v>0</v>
      </c>
      <c r="AC349" t="n">
        <v>0</v>
      </c>
      <c r="AD349" t="n">
        <v>0</v>
      </c>
      <c r="AE349" t="n">
        <v>1</v>
      </c>
      <c r="AF349" t="inlineStr">
        <is>
          <t>Rodrigo Pereira Silva Eireli:ME</t>
        </is>
      </c>
      <c r="AH349" t="inlineStr">
        <is>
          <t>indefinido</t>
        </is>
      </c>
      <c r="AJ349" t="n">
        <v>0</v>
      </c>
      <c r="AK349" t="n">
        <v>0</v>
      </c>
      <c r="AL349" t="n">
        <v>0</v>
      </c>
      <c r="AM349" t="n">
        <v>0</v>
      </c>
      <c r="AN349" t="n">
        <v>0</v>
      </c>
      <c r="AQ349" t="n">
        <v>1</v>
      </c>
      <c r="AS349" t="inlineStr">
        <is>
          <t>Objeto explicito: 'servico em lote de manutencao preventiva, corretiva, recarga de gas e calibracao com emissao de laudo tecnico em equipamentos de refrigeracao' -- itens mal cadastrados como 'Material' no PNCP (repetem o texto do objeto por lote, sem descricao individual) mas o servico e o nucleo do contrato sao claramente refrigeracao comercial. Revertida a exclusao original por fornecimento_puro.</t>
        </is>
      </c>
      <c r="AT349" t="n">
        <v>1</v>
      </c>
      <c r="AU349" t="n">
        <v>1</v>
      </c>
    </row>
    <row r="350">
      <c r="A350" t="inlineStr">
        <is>
          <t>04892707000372_2025_15</t>
        </is>
      </c>
      <c r="B350" s="2" t="inlineStr">
        <is>
          <t>https://pncp.gov.br/app/editais/04892707000372/2025/15</t>
        </is>
      </c>
      <c r="C350" t="inlineStr">
        <is>
          <t>2026-09-27T05:27:14.448752+00:00</t>
        </is>
      </c>
      <c r="D350" t="inlineStr">
        <is>
          <t>MS</t>
        </is>
      </c>
      <c r="E350" t="inlineStr">
        <is>
          <t>vizinhos</t>
        </is>
      </c>
      <c r="F350" t="inlineStr">
        <is>
          <t>Campo Grande</t>
        </is>
      </c>
      <c r="G350" t="inlineStr">
        <is>
          <t>DNIT-DEPARTAMENTO NACIONAL DE INFRAEST DE TRANSPORTES</t>
        </is>
      </c>
      <c r="H350" t="inlineStr">
        <is>
          <t>Federal</t>
        </is>
      </c>
      <c r="I350" t="inlineStr">
        <is>
          <t>2025-12-05T07:01:12</t>
        </is>
      </c>
      <c r="J350" t="inlineStr">
        <is>
          <t>Pregão - Eletrônico</t>
        </is>
      </c>
      <c r="K350" t="inlineStr">
        <is>
          <t>Contratação de serviços contínuos de manutenção predial preventiva, corretiva, sob demanda, com mão de obra exclusiva, para atender as necessidades da Superintendência Regional do DNIT em MS conforme condições e exigências estabelecidas neste instrumento e seus anexos.</t>
        </is>
      </c>
      <c r="L350" t="b">
        <v>0</v>
      </c>
      <c r="M350" t="inlineStr">
        <is>
          <t>manutencao_predial</t>
        </is>
      </c>
      <c r="N350" t="inlineStr">
        <is>
          <t>manutencao_predial</t>
        </is>
      </c>
      <c r="O350" t="n">
        <v>1391730.23</v>
      </c>
      <c r="P350" t="n">
        <v>1251370.4582</v>
      </c>
      <c r="Q350" t="n">
        <v>1391730.23</v>
      </c>
      <c r="R350" t="n">
        <v>0.1008527146816377</v>
      </c>
      <c r="S350" t="n">
        <v>0</v>
      </c>
      <c r="T350" t="n">
        <v>3</v>
      </c>
      <c r="U350" t="n">
        <v>3</v>
      </c>
      <c r="V350" t="n">
        <v>3</v>
      </c>
      <c r="W350" t="n">
        <v>0</v>
      </c>
      <c r="X350" t="n">
        <v>0</v>
      </c>
      <c r="Y350" t="n">
        <v>0</v>
      </c>
      <c r="Z350" t="n">
        <v>0</v>
      </c>
      <c r="AA350" t="n">
        <v>0</v>
      </c>
      <c r="AB350" t="n">
        <v>0</v>
      </c>
      <c r="AC350" t="n">
        <v>0</v>
      </c>
      <c r="AD350" t="n">
        <v>0</v>
      </c>
      <c r="AE350" t="n">
        <v>1</v>
      </c>
      <c r="AF350" t="inlineStr">
        <is>
          <t>RENOVA CONSTRUCOES E PAISAGISMO LTDA:ME</t>
        </is>
      </c>
      <c r="AH350" t="inlineStr">
        <is>
          <t>pontual</t>
        </is>
      </c>
      <c r="AJ350" t="n">
        <v>0</v>
      </c>
      <c r="AK350" t="n">
        <v>0</v>
      </c>
      <c r="AL350" t="n">
        <v>0</v>
      </c>
      <c r="AM350" t="n">
        <v>0</v>
      </c>
      <c r="AN350" t="n">
        <v>0</v>
      </c>
      <c r="AQ350" t="n">
        <v>0</v>
      </c>
      <c r="AT350" t="n">
        <v>0</v>
      </c>
      <c r="AU350" t="n">
        <v>1</v>
      </c>
    </row>
    <row r="351">
      <c r="A351" t="inlineStr">
        <is>
          <t>04892707000453_2025_10</t>
        </is>
      </c>
      <c r="B351" s="2" t="inlineStr">
        <is>
          <t>https://pncp.gov.br/app/editais/04892707000453/2025/10</t>
        </is>
      </c>
      <c r="C351" t="inlineStr">
        <is>
          <t>2026-09-27T03:23:06.665190+00:00</t>
        </is>
      </c>
      <c r="D351" t="inlineStr">
        <is>
          <t>GO</t>
        </is>
      </c>
      <c r="E351" t="inlineStr">
        <is>
          <t>GO</t>
        </is>
      </c>
      <c r="F351" t="inlineStr">
        <is>
          <t>Goiânia</t>
        </is>
      </c>
      <c r="G351" t="inlineStr">
        <is>
          <t>DNIT-DEPARTAMENTO NACIONAL DE INFRAEST DE TRANSPORTES</t>
        </is>
      </c>
      <c r="H351" t="inlineStr">
        <is>
          <t>Federal</t>
        </is>
      </c>
      <c r="I351" t="inlineStr">
        <is>
          <t>2025-07-09T07:19:30</t>
        </is>
      </c>
      <c r="J351" t="inlineStr">
        <is>
          <t>Pregão - Eletrônico</t>
        </is>
      </c>
      <c r="K351" t="inlineStr">
        <is>
          <t>Contratação de serviços contínuos de manutenção predial preventiva e corretiva, sob demanda, com mão de obra exclusiva, para atender as necessidades da Superintendência Regional do DNIT em GO/DF.</t>
        </is>
      </c>
      <c r="L351" t="b">
        <v>0</v>
      </c>
      <c r="M351" t="inlineStr">
        <is>
          <t>manutencao_predial</t>
        </is>
      </c>
      <c r="N351" t="inlineStr">
        <is>
          <t>manutencao_predial</t>
        </is>
      </c>
      <c r="O351" t="n">
        <v>5098816.77</v>
      </c>
      <c r="P351" t="n">
        <v>3878704.5698</v>
      </c>
      <c r="Q351" t="n">
        <v>5098816.77</v>
      </c>
      <c r="R351" t="n">
        <v>0.2392932037446012</v>
      </c>
      <c r="S351" t="n">
        <v>0</v>
      </c>
      <c r="T351" t="n">
        <v>2</v>
      </c>
      <c r="U351" t="n">
        <v>2</v>
      </c>
      <c r="V351" t="n">
        <v>2</v>
      </c>
      <c r="W351" t="n">
        <v>0</v>
      </c>
      <c r="X351" t="n">
        <v>0</v>
      </c>
      <c r="Y351" t="n">
        <v>0</v>
      </c>
      <c r="Z351" t="n">
        <v>0</v>
      </c>
      <c r="AA351" t="n">
        <v>0</v>
      </c>
      <c r="AB351" t="n">
        <v>0</v>
      </c>
      <c r="AC351" t="n">
        <v>0</v>
      </c>
      <c r="AD351" t="n">
        <v>0</v>
      </c>
      <c r="AE351" t="n">
        <v>1</v>
      </c>
      <c r="AF351" t="inlineStr">
        <is>
          <t>COSTA E GONCALVES EDIFICACOES LTDA:ME</t>
        </is>
      </c>
      <c r="AH351" t="inlineStr">
        <is>
          <t>pontual</t>
        </is>
      </c>
      <c r="AJ351" t="n">
        <v>0</v>
      </c>
      <c r="AK351" t="n">
        <v>0</v>
      </c>
      <c r="AL351" t="n">
        <v>0</v>
      </c>
      <c r="AM351" t="n">
        <v>0</v>
      </c>
      <c r="AN351" t="n">
        <v>0</v>
      </c>
      <c r="AQ351" t="n">
        <v>0</v>
      </c>
      <c r="AT351" t="n">
        <v>0</v>
      </c>
      <c r="AU351" t="n">
        <v>1</v>
      </c>
    </row>
    <row r="352">
      <c r="A352" t="inlineStr">
        <is>
          <t>05487631000109_2026_97</t>
        </is>
      </c>
      <c r="B352" s="2" t="inlineStr">
        <is>
          <t>https://pncp.gov.br/app/editais/05487631000109/2026/97</t>
        </is>
      </c>
      <c r="C352" t="inlineStr">
        <is>
          <t>2026-09-27T05:43:55.398518+00:00</t>
        </is>
      </c>
      <c r="D352" t="inlineStr">
        <is>
          <t>MG</t>
        </is>
      </c>
      <c r="E352" t="inlineStr">
        <is>
          <t>vizinhos</t>
        </is>
      </c>
      <c r="F352" t="inlineStr">
        <is>
          <t>Belo Horizonte</t>
        </is>
      </c>
      <c r="G352" t="inlineStr">
        <is>
          <t>SECRETARIA DE ESTADO DE JUSTICA E SEGURANCA PUBLICA -SEJUSP</t>
        </is>
      </c>
      <c r="H352" t="inlineStr">
        <is>
          <t>Estadual</t>
        </is>
      </c>
      <c r="I352" t="inlineStr">
        <is>
          <t>2026-08-22T07:12:03</t>
        </is>
      </c>
      <c r="J352" t="inlineStr">
        <is>
          <t>Pregão - Eletrônico</t>
        </is>
      </c>
      <c r="K352" t="inlineStr">
        <is>
          <t>Materiais e equipamentos diversos (ar condicionado, ventilador, lixeira, etc) para uso nas instalações da academia a ser instalada na  8ª RISP.</t>
        </is>
      </c>
      <c r="L352" t="b">
        <v>0</v>
      </c>
      <c r="M352" t="inlineStr">
        <is>
          <t>climatizacao</t>
        </is>
      </c>
      <c r="N352" t="inlineStr">
        <is>
          <t>climatizacao</t>
        </is>
      </c>
      <c r="O352" t="n">
        <v>51280.31</v>
      </c>
      <c r="P352" t="n">
        <v>44046.64</v>
      </c>
      <c r="Q352" t="n">
        <v>51280.31</v>
      </c>
      <c r="R352" t="n">
        <v>0.1410615985770131</v>
      </c>
      <c r="S352" t="n">
        <v>0</v>
      </c>
      <c r="T352" t="n">
        <v>6</v>
      </c>
      <c r="U352" t="n">
        <v>4</v>
      </c>
      <c r="V352" t="n">
        <v>4</v>
      </c>
      <c r="W352" t="n">
        <v>0</v>
      </c>
      <c r="X352" t="n">
        <v>1</v>
      </c>
      <c r="Y352" t="n">
        <v>0</v>
      </c>
      <c r="Z352" t="n">
        <v>1</v>
      </c>
      <c r="AA352" t="n">
        <v>1</v>
      </c>
      <c r="AB352" t="n">
        <v>0</v>
      </c>
      <c r="AC352" t="n">
        <v>0</v>
      </c>
      <c r="AD352" t="n">
        <v>1</v>
      </c>
      <c r="AE352" t="n">
        <v>3</v>
      </c>
      <c r="AF352" t="inlineStr">
        <is>
          <t>EGOJET COMERCIAL LTDA:ME; DISTRIBUIDORA PERES &amp; ARAUJO LTDA - ME:ME; 41.954.226 MARIA ANGELA LEANDRO LOPES:ME</t>
        </is>
      </c>
      <c r="AH352" t="inlineStr">
        <is>
          <t>indefinido</t>
        </is>
      </c>
      <c r="AJ352" t="n">
        <v>0</v>
      </c>
      <c r="AK352" t="n">
        <v>0</v>
      </c>
      <c r="AL352" t="n">
        <v>0</v>
      </c>
      <c r="AM352" t="n">
        <v>0</v>
      </c>
      <c r="AN352" t="n">
        <v>0</v>
      </c>
      <c r="AQ352" t="n">
        <v>1</v>
      </c>
      <c r="AR352" t="inlineStr">
        <is>
          <t>fornecimento_puro</t>
        </is>
      </c>
      <c r="AS352" t="inlineStr">
        <is>
          <t>Aquisicao de materiais e equipamentos diversos (ar condicionado, ventilador, lixeira etc.) para uma academia -- compra pura, multi-categoria, sem servico de manutencao.</t>
        </is>
      </c>
      <c r="AT352" t="n">
        <v>0</v>
      </c>
      <c r="AU352" t="n">
        <v>0</v>
      </c>
    </row>
    <row r="353">
      <c r="A353" t="inlineStr">
        <is>
          <t>05921795000194_2025_32</t>
        </is>
      </c>
      <c r="B353" s="2" t="inlineStr">
        <is>
          <t>https://pncp.gov.br/app/editais/05921795000194/2025/32</t>
        </is>
      </c>
      <c r="C353" t="inlineStr">
        <is>
          <t>2026-09-27T03:59:40.815794+00:00</t>
        </is>
      </c>
      <c r="D353" t="inlineStr">
        <is>
          <t>GO</t>
        </is>
      </c>
      <c r="E353" t="inlineStr">
        <is>
          <t>GO</t>
        </is>
      </c>
      <c r="F353" t="inlineStr">
        <is>
          <t>Mineiros</t>
        </is>
      </c>
      <c r="G353" t="inlineStr">
        <is>
          <t>FUNDO ESPECIAL MUNICIPAL PARA O CORPO DE BOMBEIROS DO ESTADO DE GOIAS/MINEIROS</t>
        </is>
      </c>
      <c r="H353" t="inlineStr">
        <is>
          <t>Municipal</t>
        </is>
      </c>
      <c r="I353" t="inlineStr">
        <is>
          <t>2025-12-02T15:55:23</t>
        </is>
      </c>
      <c r="J353" t="inlineStr">
        <is>
          <t>Concorrência - Eletrônica</t>
        </is>
      </c>
      <c r="K353" t="inlineStr">
        <is>
          <t>AMPLIAÇÃO E REFORMA DA EDIFICAÇÃO DO 16º BATALHÃO BOMBEIRO MILITAR, COMPREENDENDO SERVIÇOS DE MANUTENÇÃO PREDIAL, ADEQUAÇÕES ELÉTRICAS, HIDROSSANITÁRIAS, ACABAMENTOS, PINTURAS E REPAROS ESTRUTURAIS</t>
        </is>
      </c>
      <c r="L353" t="b">
        <v>0</v>
      </c>
      <c r="M353" t="inlineStr">
        <is>
          <t>eletrica_predial</t>
        </is>
      </c>
      <c r="N353" t="inlineStr">
        <is>
          <t>eletrica_predial</t>
        </is>
      </c>
      <c r="O353" t="n">
        <v>1632818.04</v>
      </c>
      <c r="P353" t="n">
        <v>1632000</v>
      </c>
      <c r="Q353" t="n">
        <v>1632818.04</v>
      </c>
      <c r="R353" t="n">
        <v>0.0005009988743143179</v>
      </c>
      <c r="S353" t="n">
        <v>0</v>
      </c>
      <c r="T353" t="n">
        <v>1</v>
      </c>
      <c r="U353" t="n">
        <v>1</v>
      </c>
      <c r="V353" t="n">
        <v>1</v>
      </c>
      <c r="W353" t="n">
        <v>0</v>
      </c>
      <c r="X353" t="n">
        <v>0</v>
      </c>
      <c r="Y353" t="n">
        <v>0</v>
      </c>
      <c r="Z353" t="n">
        <v>0</v>
      </c>
      <c r="AA353" t="n">
        <v>0</v>
      </c>
      <c r="AB353" t="n">
        <v>0</v>
      </c>
      <c r="AC353" t="n">
        <v>0</v>
      </c>
      <c r="AD353" t="n">
        <v>0</v>
      </c>
      <c r="AE353" t="n">
        <v>1</v>
      </c>
      <c r="AF353" t="inlineStr">
        <is>
          <t>SERGIO MARCOS MACIEL BORGES E CIA LTDA:Demais</t>
        </is>
      </c>
      <c r="AH353" t="inlineStr">
        <is>
          <t>indefinido</t>
        </is>
      </c>
      <c r="AJ353" t="n">
        <v>0</v>
      </c>
      <c r="AK353" t="n">
        <v>0</v>
      </c>
      <c r="AL353" t="n">
        <v>0</v>
      </c>
      <c r="AM353" t="n">
        <v>0</v>
      </c>
      <c r="AN353" t="n">
        <v>0</v>
      </c>
      <c r="AQ353" t="n">
        <v>0</v>
      </c>
      <c r="AR353" t="inlineStr">
        <is>
          <t>obra_grande</t>
        </is>
      </c>
      <c r="AS353" t="inlineStr">
        <is>
          <t>Ampliacao e reforma de edificacao (batalhao de bombeiros) com adequacoes eletricas, hidrossanitarias, acabamentos, pinturas e reparos estruturais; valor R$1,63 mi &gt; limiar de R$1,5 mi -- obra civil geral.</t>
        </is>
      </c>
      <c r="AT353" t="n">
        <v>0</v>
      </c>
      <c r="AU353" t="n">
        <v>0</v>
      </c>
    </row>
    <row r="354">
      <c r="A354" t="inlineStr">
        <is>
          <t>07158578000110_2026_44</t>
        </is>
      </c>
      <c r="B354" s="2" t="inlineStr">
        <is>
          <t>https://pncp.gov.br/app/editais/07158578000110/2026/44</t>
        </is>
      </c>
      <c r="C354" t="inlineStr">
        <is>
          <t>2026-09-27T05:23:30.908217+00:00</t>
        </is>
      </c>
      <c r="D354" t="inlineStr">
        <is>
          <t>MS</t>
        </is>
      </c>
      <c r="E354" t="inlineStr">
        <is>
          <t>vizinhos</t>
        </is>
      </c>
      <c r="F354" t="inlineStr">
        <is>
          <t>Figueirão</t>
        </is>
      </c>
      <c r="G354" t="inlineStr">
        <is>
          <t>MUNICIPIO DE FIGUEIRAO</t>
        </is>
      </c>
      <c r="H354" t="inlineStr">
        <is>
          <t>Municipal</t>
        </is>
      </c>
      <c r="I354" t="inlineStr">
        <is>
          <t>2026-04-23T17:51:36</t>
        </is>
      </c>
      <c r="J354" t="inlineStr">
        <is>
          <t>Pregão - Eletrônico</t>
        </is>
      </c>
      <c r="K354" t="inlineStr">
        <is>
          <t>Contratação de empresa especializada para fornecimento de solução integrada de gestão documental, incluindo locação de software web para digitalização, indexação e arquivamento eletrônico de documentos com OCR, aplicativo multiplataforma, fornecimento de equipamentos em comodato, mão de obra especializada e locação de container climatizado para armazenamento de arquivos físicos digitalizados, conforme solicitação da Secretaria Municipal de Planejamento e Finanças.</t>
        </is>
      </c>
      <c r="L354" t="b">
        <v>0</v>
      </c>
      <c r="M354" t="inlineStr">
        <is>
          <t>climatizacao</t>
        </is>
      </c>
      <c r="N354" t="inlineStr">
        <is>
          <t>climatizacao</t>
        </is>
      </c>
      <c r="O354" t="n">
        <v>215566.32</v>
      </c>
      <c r="P354" t="n">
        <v>210000</v>
      </c>
      <c r="Q354" t="n">
        <v>215566.32</v>
      </c>
      <c r="R354" t="n">
        <v>0.02582184452561978</v>
      </c>
      <c r="S354" t="n">
        <v>0</v>
      </c>
      <c r="T354" t="n">
        <v>2</v>
      </c>
      <c r="U354" t="n">
        <v>2</v>
      </c>
      <c r="V354" t="n">
        <v>2</v>
      </c>
      <c r="W354" t="n">
        <v>0</v>
      </c>
      <c r="X354" t="n">
        <v>0</v>
      </c>
      <c r="Y354" t="n">
        <v>0</v>
      </c>
      <c r="Z354" t="n">
        <v>0</v>
      </c>
      <c r="AA354" t="n">
        <v>0</v>
      </c>
      <c r="AB354" t="n">
        <v>0</v>
      </c>
      <c r="AC354" t="n">
        <v>0</v>
      </c>
      <c r="AD354" t="n">
        <v>0</v>
      </c>
      <c r="AE354" t="n">
        <v>1</v>
      </c>
      <c r="AF354" t="inlineStr">
        <is>
          <t>Jaison Coutinho EPP:ME</t>
        </is>
      </c>
      <c r="AH354" t="inlineStr">
        <is>
          <t>continuado</t>
        </is>
      </c>
      <c r="AJ354" t="n">
        <v>0</v>
      </c>
      <c r="AK354" t="n">
        <v>0</v>
      </c>
      <c r="AL354" t="n">
        <v>0</v>
      </c>
      <c r="AM354" t="n">
        <v>0</v>
      </c>
      <c r="AN354" t="n">
        <v>0</v>
      </c>
      <c r="AQ354" t="n">
        <v>1</v>
      </c>
      <c r="AR354" t="inlineStr">
        <is>
          <t>mencao_passagem</t>
        </is>
      </c>
      <c r="AS354" t="inlineStr">
        <is>
          <t>objeto principal e gestao documental/digitalizacao; 'container climatizado' e mencao de passagem dentro de um servico totalmente alheio a climatizacao.</t>
        </is>
      </c>
      <c r="AT354" t="n">
        <v>0</v>
      </c>
      <c r="AU354" t="n">
        <v>0</v>
      </c>
    </row>
    <row r="355">
      <c r="A355" t="inlineStr">
        <is>
          <t>07222467000125_2026_75</t>
        </is>
      </c>
      <c r="B355" s="2" t="inlineStr">
        <is>
          <t>https://pncp.gov.br/app/editais/07222467000125/2026/75</t>
        </is>
      </c>
      <c r="C355" t="inlineStr">
        <is>
          <t>2026-09-27T02:31:21.924432+00:00</t>
        </is>
      </c>
      <c r="D355" t="inlineStr">
        <is>
          <t>GO</t>
        </is>
      </c>
      <c r="E355" t="inlineStr">
        <is>
          <t>GO</t>
        </is>
      </c>
      <c r="F355" t="inlineStr">
        <is>
          <t>Inhumas</t>
        </is>
      </c>
      <c r="G355" t="inlineStr">
        <is>
          <t>FUNDO MUNICIPAL DE SAUDE DE INHUMAS</t>
        </is>
      </c>
      <c r="H355" t="inlineStr">
        <is>
          <t>Municipal</t>
        </is>
      </c>
      <c r="I355" t="inlineStr">
        <is>
          <t>2026-07-14T16:29:01</t>
        </is>
      </c>
      <c r="J355" t="inlineStr">
        <is>
          <t>Pregão - Eletrônico</t>
        </is>
      </c>
      <c r="K355" t="inlineStr">
        <is>
          <t xml:space="preserve">CONTRATAÇÃO DE EMPRESA ESPECIALIZADA PARA O FORNECIMENTO DE APARELHOS DE AR CONDICIONADO EM CUMPRIMENTO À EMENDA PARLAMENTAR Nº 202600005002469 DO DEPUTADO ESTADUAL 
LUCAS CALIL, BEM COMO A AQUISIÇÃO DE MATERIAIS NECESSÁRIOS PARA AS INSTALAÇÕES DOS RESPECTIVOS ITENS. </t>
        </is>
      </c>
      <c r="L355" t="b">
        <v>0</v>
      </c>
      <c r="M355" t="inlineStr">
        <is>
          <t>climatizacao</t>
        </is>
      </c>
      <c r="N355" t="inlineStr">
        <is>
          <t>climatizacao</t>
        </is>
      </c>
      <c r="O355" t="n">
        <v>354523.1</v>
      </c>
      <c r="P355" t="n">
        <v>303436.7999</v>
      </c>
      <c r="Q355" t="n">
        <v>354523.0999</v>
      </c>
      <c r="R355" t="n">
        <v>0.1440986496771318</v>
      </c>
      <c r="S355" t="n">
        <v>0</v>
      </c>
      <c r="T355" t="n">
        <v>11</v>
      </c>
      <c r="U355" t="n">
        <v>11</v>
      </c>
      <c r="V355" t="n">
        <v>11</v>
      </c>
      <c r="W355" t="n">
        <v>0</v>
      </c>
      <c r="X355" t="n">
        <v>0</v>
      </c>
      <c r="Y355" t="n">
        <v>0</v>
      </c>
      <c r="Z355" t="n">
        <v>0</v>
      </c>
      <c r="AA355" t="n">
        <v>0</v>
      </c>
      <c r="AB355" t="n">
        <v>0</v>
      </c>
      <c r="AC355" t="n">
        <v>0</v>
      </c>
      <c r="AD355" t="n">
        <v>0</v>
      </c>
      <c r="AE355" t="n">
        <v>3</v>
      </c>
      <c r="AF355" t="inlineStr">
        <is>
          <t>G7 DISTRIBUICAO LTDA:Não se aplica; R L ELETRO COMERCIO DE ELETRODOMESTICO LTDA:Não se aplica; JHP AR CONDICIONADO LTDA:Não se aplica</t>
        </is>
      </c>
      <c r="AH355" t="inlineStr">
        <is>
          <t>pontual</t>
        </is>
      </c>
      <c r="AI355" t="n">
        <v>12</v>
      </c>
      <c r="AJ355" t="n">
        <v>0</v>
      </c>
      <c r="AK355" t="n">
        <v>0</v>
      </c>
      <c r="AL355" t="n">
        <v>0</v>
      </c>
      <c r="AM355" t="n">
        <v>0</v>
      </c>
      <c r="AN355" t="n">
        <v>0</v>
      </c>
      <c r="AP355" t="inlineStr">
        <is>
          <t>is, Federais, Trabalhista e FGTS; c) Certidão de Falências, Concordata e Recuperação Judicial; d) Atestado de Capacidade Técnica compatível ao objeto a ser contratado; e) Declarações exigidas em Edital. 3.2. Atender às solicitações nos prazos estipulados. 3.3. Aceitar o controle/análise de qualidade…</t>
        </is>
      </c>
      <c r="AQ355" t="n">
        <v>1</v>
      </c>
      <c r="AR355" t="inlineStr">
        <is>
          <t>fornecimento_puro</t>
        </is>
      </c>
      <c r="AS355" t="inlineStr">
        <is>
          <t>heuristica automatica confirmada (fornecimento_puro): 11 item(ns), todos classificados como material (sem servico).</t>
        </is>
      </c>
      <c r="AT355" t="n">
        <v>0</v>
      </c>
      <c r="AU355" t="n">
        <v>0</v>
      </c>
    </row>
    <row r="356">
      <c r="A356" t="inlineStr">
        <is>
          <t>07248660000135_2026_44</t>
        </is>
      </c>
      <c r="B356" s="2" t="inlineStr">
        <is>
          <t>https://pncp.gov.br/app/editais/07248660000135/2026/44</t>
        </is>
      </c>
      <c r="C356" t="inlineStr">
        <is>
          <t>2026-09-27T05:31:30.101197+00:00</t>
        </is>
      </c>
      <c r="D356" t="inlineStr">
        <is>
          <t>TO</t>
        </is>
      </c>
      <c r="E356" t="inlineStr">
        <is>
          <t>vizinhos</t>
        </is>
      </c>
      <c r="F356" t="inlineStr">
        <is>
          <t>Palmas</t>
        </is>
      </c>
      <c r="G356" t="inlineStr">
        <is>
          <t>DEFENSORIA PUBLICA DO ESTADO DO TOCANTINS</t>
        </is>
      </c>
      <c r="H356" t="inlineStr">
        <is>
          <t>Estadual</t>
        </is>
      </c>
      <c r="I356" t="inlineStr">
        <is>
          <t>2026-06-22T07:01:57</t>
        </is>
      </c>
      <c r="J356" t="inlineStr">
        <is>
          <t>Pregão - Eletrônico</t>
        </is>
      </c>
      <c r="K356" t="inlineStr">
        <is>
          <t>Contratação de empresa especializada para prestação de serviços continuados de instalação, desinstalação, remanejamento, manutenção preventiva e corretiva com reposição integral de peças em equipamentos de climatização (ar-condicionado tipo Split, Cortinas de Ar e similares), visando atender às necessidades da Defensoria Pública do Estado do Tocantins (DPE-TO)</t>
        </is>
      </c>
      <c r="L356" t="b">
        <v>0</v>
      </c>
      <c r="M356" t="inlineStr">
        <is>
          <t>climatizacao</t>
        </is>
      </c>
      <c r="N356" t="inlineStr">
        <is>
          <t>climatizacao</t>
        </is>
      </c>
      <c r="O356" t="n">
        <v>1035221.72</v>
      </c>
      <c r="P356" t="n">
        <v>157357.24</v>
      </c>
      <c r="Q356" t="n">
        <v>481875.27</v>
      </c>
      <c r="R356" t="n">
        <v>0.6734481933467972</v>
      </c>
      <c r="S356" t="n">
        <v>0</v>
      </c>
      <c r="T356" t="n">
        <v>114</v>
      </c>
      <c r="U356" t="n">
        <v>40</v>
      </c>
      <c r="V356" t="n">
        <v>114</v>
      </c>
      <c r="W356" t="n">
        <v>0</v>
      </c>
      <c r="X356" t="n">
        <v>0</v>
      </c>
      <c r="Y356" t="n">
        <v>0</v>
      </c>
      <c r="Z356" t="n">
        <v>0</v>
      </c>
      <c r="AA356" t="n">
        <v>0</v>
      </c>
      <c r="AB356" t="n">
        <v>1</v>
      </c>
      <c r="AC356" t="n">
        <v>0</v>
      </c>
      <c r="AD356" t="n">
        <v>0</v>
      </c>
      <c r="AE356" t="n">
        <v>2</v>
      </c>
      <c r="AF356" t="inlineStr">
        <is>
          <t>ARAUJO E RESPLANDE LTDA:ME; F A OLIVEIRA JUNIOR SERVICOS E EMPREENDIMENTOS:ME</t>
        </is>
      </c>
      <c r="AH356" t="inlineStr">
        <is>
          <t>continuado</t>
        </is>
      </c>
      <c r="AJ356" t="n">
        <v>0</v>
      </c>
      <c r="AK356" t="n">
        <v>0</v>
      </c>
      <c r="AL356" t="n">
        <v>0</v>
      </c>
      <c r="AM356" t="n">
        <v>0</v>
      </c>
      <c r="AN356" t="n">
        <v>0</v>
      </c>
      <c r="AQ356" t="n">
        <v>0</v>
      </c>
      <c r="AS356" t="inlineStr">
        <is>
          <t>Servico continuado de instalacao/desinstalacao/remanejamento/manutencao com reposicao integral de pecas em equipamentos de climatizacao.</t>
        </is>
      </c>
      <c r="AT356" t="n">
        <v>0</v>
      </c>
      <c r="AU356" t="n">
        <v>1</v>
      </c>
    </row>
    <row r="357">
      <c r="A357" t="inlineStr">
        <is>
          <t>07947821000189_2025_138</t>
        </is>
      </c>
      <c r="B357" s="2" t="inlineStr">
        <is>
          <t>https://pncp.gov.br/app/editais/07947821000189/2025/138</t>
        </is>
      </c>
      <c r="C357" t="inlineStr">
        <is>
          <t>2026-09-27T04:57:33.227417+00:00</t>
        </is>
      </c>
      <c r="D357" t="inlineStr">
        <is>
          <t>DF</t>
        </is>
      </c>
      <c r="E357" t="inlineStr">
        <is>
          <t>vizinhos</t>
        </is>
      </c>
      <c r="F357" t="inlineStr">
        <is>
          <t>Brasília</t>
        </is>
      </c>
      <c r="G357" t="inlineStr">
        <is>
          <t>AGENCIA NACIONAL DE AVIACAO CIVIL - ANAC</t>
        </is>
      </c>
      <c r="H357" t="inlineStr">
        <is>
          <t>Federal</t>
        </is>
      </c>
      <c r="I357" t="inlineStr">
        <is>
          <t>2025-11-10T07:05:39</t>
        </is>
      </c>
      <c r="J357" t="inlineStr">
        <is>
          <t>Pregão - Eletrônico</t>
        </is>
      </c>
      <c r="K357" t="inlineStr">
        <is>
          <t>Aquisição equipamentos de áudio, vídeo, iluminação, fotografia e acessórios, bem como serviço de instalação da sala multiuso, para a Agência Nacional de Aviação Civil – ANAC</t>
        </is>
      </c>
      <c r="L357" t="b">
        <v>0</v>
      </c>
      <c r="M357" t="inlineStr">
        <is>
          <t>iluminacao_publica</t>
        </is>
      </c>
      <c r="N357" t="inlineStr">
        <is>
          <t>iluminacao_publica</t>
        </is>
      </c>
      <c r="O357" t="n">
        <v>284794.8</v>
      </c>
      <c r="P357" t="n">
        <v>187936.36</v>
      </c>
      <c r="Q357" t="n">
        <v>218232.19</v>
      </c>
      <c r="R357" t="n">
        <v>0.1388238371250364</v>
      </c>
      <c r="S357" t="n">
        <v>0</v>
      </c>
      <c r="T357" t="n">
        <v>69</v>
      </c>
      <c r="U357" t="n">
        <v>40</v>
      </c>
      <c r="V357" t="n">
        <v>69</v>
      </c>
      <c r="W357" t="n">
        <v>0</v>
      </c>
      <c r="X357" t="n">
        <v>0</v>
      </c>
      <c r="Y357" t="n">
        <v>0</v>
      </c>
      <c r="Z357" t="n">
        <v>0</v>
      </c>
      <c r="AA357" t="n">
        <v>0</v>
      </c>
      <c r="AB357" t="n">
        <v>1</v>
      </c>
      <c r="AC357" t="n">
        <v>0</v>
      </c>
      <c r="AD357" t="n">
        <v>0</v>
      </c>
      <c r="AE357" t="n">
        <v>3</v>
      </c>
      <c r="AF357" t="inlineStr">
        <is>
          <t>VOGEN COMERCIAL LTDA:ME; AXIS BRASIL COMERCIO SERVICOS E IMPORTACAO LTDA:ME; ANDERSON AMORIM ROSA:ME</t>
        </is>
      </c>
      <c r="AH357" t="inlineStr">
        <is>
          <t>pontual</t>
        </is>
      </c>
      <c r="AJ357" t="n">
        <v>0</v>
      </c>
      <c r="AK357" t="n">
        <v>0</v>
      </c>
      <c r="AL357" t="n">
        <v>0</v>
      </c>
      <c r="AM357" t="n">
        <v>0</v>
      </c>
      <c r="AN357" t="n">
        <v>0</v>
      </c>
      <c r="AQ357" t="n">
        <v>0.9091506586496663</v>
      </c>
      <c r="AR357" t="inlineStr">
        <is>
          <t>equipamento_alto</t>
        </is>
      </c>
      <c r="AS357" t="inlineStr">
        <is>
          <t>Objeto envolve gerador/estrutura de evento ou fração de material &gt; 40% associada a equipamentos de grande porte.</t>
        </is>
      </c>
      <c r="AT357" t="n">
        <v>0</v>
      </c>
      <c r="AU357" t="n">
        <v>0</v>
      </c>
    </row>
    <row r="358">
      <c r="A358" t="inlineStr">
        <is>
          <t>08083086000175_2026_13</t>
        </is>
      </c>
      <c r="B358" s="2" t="inlineStr">
        <is>
          <t>https://pncp.gov.br/app/editais/08083086000175/2026/13</t>
        </is>
      </c>
      <c r="C358" t="inlineStr">
        <is>
          <t>2026-09-27T02:39:41.871067+00:00</t>
        </is>
      </c>
      <c r="D358" t="inlineStr">
        <is>
          <t>GO</t>
        </is>
      </c>
      <c r="E358" t="inlineStr">
        <is>
          <t>GO</t>
        </is>
      </c>
      <c r="F358" t="inlineStr">
        <is>
          <t>Bela Vista de Goiás</t>
        </is>
      </c>
      <c r="G358" t="inlineStr">
        <is>
          <t>FUNDO MUNICIPAL DE SAUDE</t>
        </is>
      </c>
      <c r="H358" t="inlineStr">
        <is>
          <t>Municipal</t>
        </is>
      </c>
      <c r="I358" t="inlineStr">
        <is>
          <t>2026-03-02T13:25:44</t>
        </is>
      </c>
      <c r="J358" t="inlineStr">
        <is>
          <t>Pregão - Eletrônico</t>
        </is>
      </c>
      <c r="K358" t="inlineStr">
        <is>
          <t>Contratação futura, eventual e parcelada de empresa especializada na prestação de serviço de instalação, desinstalação e manutenção de ar condicionado para atender às demandas do Fundo Municipal de Saúde.</t>
        </is>
      </c>
      <c r="L358" t="b">
        <v>1</v>
      </c>
      <c r="M358" t="inlineStr">
        <is>
          <t>climatizacao</t>
        </is>
      </c>
      <c r="N358" t="inlineStr">
        <is>
          <t>climatizacao</t>
        </is>
      </c>
      <c r="O358" t="n">
        <v>359134.17</v>
      </c>
      <c r="P358" t="n">
        <v>215000</v>
      </c>
      <c r="Q358" t="n">
        <v>359134.1702</v>
      </c>
      <c r="R358" t="n">
        <v>0.4013379459819499</v>
      </c>
      <c r="S358" t="n">
        <v>0</v>
      </c>
      <c r="T358" t="n">
        <v>29</v>
      </c>
      <c r="U358" t="n">
        <v>29</v>
      </c>
      <c r="V358" t="n">
        <v>29</v>
      </c>
      <c r="W358" t="n">
        <v>0</v>
      </c>
      <c r="X358" t="n">
        <v>0</v>
      </c>
      <c r="Y358" t="n">
        <v>0</v>
      </c>
      <c r="Z358" t="n">
        <v>0</v>
      </c>
      <c r="AA358" t="n">
        <v>0</v>
      </c>
      <c r="AB358" t="n">
        <v>0</v>
      </c>
      <c r="AC358" t="n">
        <v>0</v>
      </c>
      <c r="AD358" t="n">
        <v>0</v>
      </c>
      <c r="AE358" t="n">
        <v>1</v>
      </c>
      <c r="AF358" t="inlineStr">
        <is>
          <t>MERX SERVIÇOS E COMERCIO LTDA:ME</t>
        </is>
      </c>
      <c r="AH358" t="inlineStr">
        <is>
          <t>pontual</t>
        </is>
      </c>
      <c r="AI358" t="n">
        <v>12</v>
      </c>
      <c r="AJ358" t="n">
        <v>0</v>
      </c>
      <c r="AK358" t="n">
        <v>0</v>
      </c>
      <c r="AL358" t="n">
        <v>0</v>
      </c>
      <c r="AM358" t="n">
        <v>0</v>
      </c>
      <c r="AN358" t="n">
        <v>0</v>
      </c>
      <c r="AP358" t="inlineStr">
        <is>
          <t>, bem como a inexistência de registros no CRC do Município; XVI - emitir declarações, certidões e atestados de capacidade técnica em relação à execução dos serviços e aquisições contratados, ouvido o fiscal do contrato; XVII - repassar as informações sobre vigência e necessidade de prorrogação do aj…</t>
        </is>
      </c>
      <c r="AQ358" t="n">
        <v>0</v>
      </c>
      <c r="AS358" t="inlineStr">
        <is>
          <t>heuristica automatica confirmada: servico real de climatizacao, sem sinais de exclusao.</t>
        </is>
      </c>
      <c r="AT358" t="n">
        <v>0</v>
      </c>
      <c r="AU358" t="n">
        <v>1</v>
      </c>
    </row>
    <row r="359">
      <c r="A359" t="inlineStr">
        <is>
          <t>08654446000141_2026_9</t>
        </is>
      </c>
      <c r="B359" s="2" t="inlineStr">
        <is>
          <t>https://pncp.gov.br/app/editais/08654446000141/2026/9</t>
        </is>
      </c>
      <c r="C359" t="inlineStr">
        <is>
          <t>2026-09-27T14:33:17.601254+00:00</t>
        </is>
      </c>
      <c r="D359" t="inlineStr">
        <is>
          <t>GO</t>
        </is>
      </c>
      <c r="E359" t="inlineStr">
        <is>
          <t>GO</t>
        </is>
      </c>
      <c r="F359" t="inlineStr">
        <is>
          <t>Abadia de Goiás</t>
        </is>
      </c>
      <c r="G359" t="inlineStr">
        <is>
          <t>FUNDO MUNICIPAL DE SAUDE</t>
        </is>
      </c>
      <c r="H359" t="inlineStr">
        <is>
          <t>Municipal</t>
        </is>
      </c>
      <c r="I359" t="inlineStr">
        <is>
          <t>2026-03-02T19:14:27</t>
        </is>
      </c>
      <c r="J359" t="inlineStr">
        <is>
          <t>Pregão - Eletrônico</t>
        </is>
      </c>
      <c r="K359" t="inlineStr">
        <is>
          <t>Contratação de empresa especializada para a prestação de serviços de locação de veículos, incluindo motorista, destinados a compor o quadro logístico do Fundo Municipal de Saúde de Abadia de Goiás/GO.</t>
        </is>
      </c>
      <c r="L359" t="b">
        <v>1</v>
      </c>
      <c r="M359" t="inlineStr">
        <is>
          <t>eletrica_predial</t>
        </is>
      </c>
      <c r="N359" t="inlineStr">
        <is>
          <t>eletrica_predial</t>
        </is>
      </c>
      <c r="O359" t="n">
        <v>253569.96</v>
      </c>
      <c r="P359" t="n">
        <v>253200</v>
      </c>
      <c r="Q359" t="n">
        <v>253569.96</v>
      </c>
      <c r="R359" t="n">
        <v>0.001459005633001632</v>
      </c>
      <c r="S359" t="n">
        <v>0</v>
      </c>
      <c r="T359" t="n">
        <v>2</v>
      </c>
      <c r="U359" t="n">
        <v>2</v>
      </c>
      <c r="V359" t="n">
        <v>2</v>
      </c>
      <c r="W359" t="n">
        <v>0</v>
      </c>
      <c r="X359" t="n">
        <v>0</v>
      </c>
      <c r="Y359" t="n">
        <v>0</v>
      </c>
      <c r="Z359" t="n">
        <v>0</v>
      </c>
      <c r="AA359" t="n">
        <v>0</v>
      </c>
      <c r="AB359" t="n">
        <v>0</v>
      </c>
      <c r="AC359" t="n">
        <v>0</v>
      </c>
      <c r="AD359" t="n">
        <v>0</v>
      </c>
      <c r="AE359" t="n">
        <v>1</v>
      </c>
      <c r="AF359" t="inlineStr">
        <is>
          <t>L B DE OLIVEIRA SERVICOS DE LOCACOES:ME</t>
        </is>
      </c>
      <c r="AH359" t="inlineStr">
        <is>
          <t>pontual</t>
        </is>
      </c>
      <c r="AI359" t="n">
        <v>12</v>
      </c>
      <c r="AJ359" t="n">
        <v>0</v>
      </c>
      <c r="AK359" t="n">
        <v>0</v>
      </c>
      <c r="AL359" t="n">
        <v>0</v>
      </c>
      <c r="AM359" t="n">
        <v>0</v>
      </c>
      <c r="AN359" t="n">
        <v>0</v>
      </c>
      <c r="AQ359" t="n">
        <v>0</v>
      </c>
      <c r="AR359" t="inlineStr">
        <is>
          <t>mencao_passagem</t>
        </is>
      </c>
      <c r="AS359" t="inlineStr">
        <is>
          <t>Confirmada exclusao automatica (mencao_passagem): contratacao de empresa especializada para a prestacao de servicos de locacao de veiculos, incluindo motorista, destinados a compor o quadro logistico do fundo municipal de saude de</t>
        </is>
      </c>
      <c r="AT359" t="n">
        <v>0</v>
      </c>
      <c r="AU359" t="n">
        <v>0</v>
      </c>
    </row>
    <row r="360">
      <c r="A360" t="inlineStr">
        <is>
          <t>09108857000102_2025_4</t>
        </is>
      </c>
      <c r="B360" s="2" t="inlineStr">
        <is>
          <t>https://pncp.gov.br/app/editais/09108857000102/2025/4</t>
        </is>
      </c>
      <c r="C360" t="inlineStr">
        <is>
          <t>2026-09-27T05:42:13.310389+00:00</t>
        </is>
      </c>
      <c r="D360" t="inlineStr">
        <is>
          <t>MG</t>
        </is>
      </c>
      <c r="E360" t="inlineStr">
        <is>
          <t>vizinhos</t>
        </is>
      </c>
      <c r="F360" t="inlineStr">
        <is>
          <t>Luz</t>
        </is>
      </c>
      <c r="G360" t="inlineStr">
        <is>
          <t>CONSORCIO DE MUNICIPIOS DO ALTO SAO FRANCISCO - COMASF</t>
        </is>
      </c>
      <c r="H360" t="inlineStr">
        <is>
          <t>Não se aplica</t>
        </is>
      </c>
      <c r="I360" t="inlineStr">
        <is>
          <t>2026-09-22T13:09:55</t>
        </is>
      </c>
      <c r="J360" t="inlineStr">
        <is>
          <t>Pregão - Eletrônico</t>
        </is>
      </c>
      <c r="K360" t="inlineStr">
        <is>
          <t>CONTRATACAO DE EMPRESA ESPECIALIZADA NA EXECUCAO DE SERVICOS DE ENGENHARIA ELETRICA, VISANDO A MANUTENCAO CORRETIVA E PREVENTIVA DE TODO O SISTEMA DE ILUMINACAO PUBLICA DE CADA UM DOS MUNICIPIOS CONSORCIADOS AO COMASF, COM FORNECIMENTO DE MATERIAIS, EQUIPAMENTOS E MAO DE OBRA, FORNECIMENTO DE SOFTWARE DE GESTAO, IMPLANTACAO DE TELE ATENDIMENTO, INVENTARIO COM IDENTIFICACAO DOS PONTOS DE ILUMINACAO PUBLICA</t>
        </is>
      </c>
      <c r="L360" t="b">
        <v>1</v>
      </c>
      <c r="M360" t="inlineStr">
        <is>
          <t>iluminacao_publica</t>
        </is>
      </c>
      <c r="N360" t="inlineStr">
        <is>
          <t>iluminacao_publica</t>
        </is>
      </c>
      <c r="O360" t="n">
        <v>1508870.72</v>
      </c>
      <c r="P360" t="n">
        <v>1508870.72</v>
      </c>
      <c r="Q360" t="n">
        <v>1508870.72</v>
      </c>
      <c r="R360" t="n">
        <v>0</v>
      </c>
      <c r="S360" t="n">
        <v>0</v>
      </c>
      <c r="T360" t="n">
        <v>2</v>
      </c>
      <c r="U360" t="n">
        <v>2</v>
      </c>
      <c r="V360" t="n">
        <v>2</v>
      </c>
      <c r="W360" t="n">
        <v>0</v>
      </c>
      <c r="X360" t="n">
        <v>0</v>
      </c>
      <c r="Y360" t="n">
        <v>0</v>
      </c>
      <c r="Z360" t="n">
        <v>0</v>
      </c>
      <c r="AA360" t="n">
        <v>0</v>
      </c>
      <c r="AB360" t="n">
        <v>0</v>
      </c>
      <c r="AC360" t="n">
        <v>0</v>
      </c>
      <c r="AD360" t="n">
        <v>0</v>
      </c>
      <c r="AE360" t="n">
        <v>1</v>
      </c>
      <c r="AF360" t="inlineStr">
        <is>
          <t>DELITON SOLUCOES ELETRICAS LTDA:Não Informado</t>
        </is>
      </c>
      <c r="AH360" t="inlineStr">
        <is>
          <t>pontual</t>
        </is>
      </c>
      <c r="AJ360" t="n">
        <v>0</v>
      </c>
      <c r="AK360" t="n">
        <v>0</v>
      </c>
      <c r="AL360" t="n">
        <v>0</v>
      </c>
      <c r="AM360" t="n">
        <v>0</v>
      </c>
      <c r="AN360" t="n">
        <v>0</v>
      </c>
      <c r="AQ360" t="n">
        <v>0</v>
      </c>
      <c r="AS360" t="inlineStr">
        <is>
          <t>MG (consórcio COMASF) — manutenção corretiva e preventiva de todo o sistema de IP de vários municípios consorciados, com fornecimento de materiais/equipamentos/mão de obra; heurística marcou obra_grande por causa da 'implantação de teleatendimento' (software de gestão) e do valor R$1.508.870,72 ficar 0,6% acima do limiar de R$1,5mi — reclassificado como incluído por revisão manual: o núcleo do objeto é manutenção, não expansão de rede, e o valor está na margem do limiar.</t>
        </is>
      </c>
      <c r="AT360" t="n">
        <v>0</v>
      </c>
      <c r="AU360" t="n">
        <v>1</v>
      </c>
    </row>
    <row r="361">
      <c r="A361" t="inlineStr">
        <is>
          <t>09168704000142_2026_45</t>
        </is>
      </c>
      <c r="B361" s="2" t="inlineStr">
        <is>
          <t>https://pncp.gov.br/app/editais/09168704000142/2026/45</t>
        </is>
      </c>
      <c r="C361" t="inlineStr">
        <is>
          <t>2026-09-27T04:52:28.663020+00:00</t>
        </is>
      </c>
      <c r="D361" t="inlineStr">
        <is>
          <t>DF</t>
        </is>
      </c>
      <c r="E361" t="inlineStr">
        <is>
          <t>vizinhos</t>
        </is>
      </c>
      <c r="F361" t="inlineStr">
        <is>
          <t>Brasília</t>
        </is>
      </c>
      <c r="G361" t="inlineStr">
        <is>
          <t>EMPRESA BRASIL DE COMUNICAÇÃO</t>
        </is>
      </c>
      <c r="H361" t="inlineStr">
        <is>
          <t>Federal</t>
        </is>
      </c>
      <c r="I361" t="inlineStr">
        <is>
          <t>2026-07-27T14:12:44</t>
        </is>
      </c>
      <c r="J361" t="inlineStr">
        <is>
          <t>Pregão - Eletrônico</t>
        </is>
      </c>
      <c r="K361" t="inlineStr">
        <is>
          <t>Contratação de empresa especializada na prestação dos serviços de instalação, remanejamento, manutenção corretiva e preventiva de sistemas de climatização predial, ar- condicionado veicular, refrigeração, eletrodomésticos e purificadores de água, bem como os demais serviços correlatos necessários ao funcionamento dos sistemas instalados nas edificações da EBC, incluindo a limpeza de dutos, subdutos e ramais, com fornecimento de mão de obra, ferramentas, equipamentos, peças de reposição.</t>
        </is>
      </c>
      <c r="L361" t="b">
        <v>0</v>
      </c>
      <c r="M361" t="inlineStr">
        <is>
          <t>climatizacao</t>
        </is>
      </c>
      <c r="N361" t="inlineStr">
        <is>
          <t>climatizacao</t>
        </is>
      </c>
      <c r="O361" t="n">
        <v>626638.22</v>
      </c>
      <c r="P361" t="n">
        <v>350675</v>
      </c>
      <c r="Q361" t="n">
        <v>626638.22</v>
      </c>
      <c r="R361" t="n">
        <v>0.4403868311766876</v>
      </c>
      <c r="S361" t="n">
        <v>0</v>
      </c>
      <c r="T361" t="n">
        <v>11</v>
      </c>
      <c r="U361" t="n">
        <v>11</v>
      </c>
      <c r="V361" t="n">
        <v>11</v>
      </c>
      <c r="W361" t="n">
        <v>0</v>
      </c>
      <c r="X361" t="n">
        <v>0</v>
      </c>
      <c r="Y361" t="n">
        <v>0</v>
      </c>
      <c r="Z361" t="n">
        <v>0</v>
      </c>
      <c r="AA361" t="n">
        <v>0</v>
      </c>
      <c r="AB361" t="n">
        <v>0</v>
      </c>
      <c r="AC361" t="n">
        <v>0</v>
      </c>
      <c r="AD361" t="n">
        <v>0</v>
      </c>
      <c r="AE361" t="n">
        <v>1</v>
      </c>
      <c r="AF361" t="inlineStr">
        <is>
          <t>AREMAR MIX COMERCIO E MANUTENCOES EM GERAL LTDA:Demais</t>
        </is>
      </c>
      <c r="AH361" t="inlineStr">
        <is>
          <t>pontual</t>
        </is>
      </c>
      <c r="AJ361" t="n">
        <v>0</v>
      </c>
      <c r="AK361" t="n">
        <v>0</v>
      </c>
      <c r="AL361" t="n">
        <v>0</v>
      </c>
      <c r="AM361" t="n">
        <v>0</v>
      </c>
      <c r="AN361" t="n">
        <v>0</v>
      </c>
      <c r="AQ361" t="n">
        <v>0</v>
      </c>
      <c r="AS361" t="inlineStr">
        <is>
          <t>heuristica automatica confirmada: servico real de climatizacao, sem sinais de exclusao.</t>
        </is>
      </c>
      <c r="AT361" t="n">
        <v>0</v>
      </c>
      <c r="AU361" t="n">
        <v>1</v>
      </c>
    </row>
    <row r="362">
      <c r="A362" t="inlineStr">
        <is>
          <t>10376719000185_2026_2</t>
        </is>
      </c>
      <c r="B362" s="2" t="inlineStr">
        <is>
          <t>https://pncp.gov.br/app/editais/10376719000185/2026/2</t>
        </is>
      </c>
      <c r="C362" t="inlineStr">
        <is>
          <t>2026-09-27T03:07:47.797559+00:00</t>
        </is>
      </c>
      <c r="D362" t="inlineStr">
        <is>
          <t>GO</t>
        </is>
      </c>
      <c r="E362" t="inlineStr">
        <is>
          <t>GO</t>
        </is>
      </c>
      <c r="F362" t="inlineStr">
        <is>
          <t>Senador Canedo</t>
        </is>
      </c>
      <c r="G362" t="inlineStr">
        <is>
          <t>FUNDO MUNICIPAL DO MEIO AMBIENTE</t>
        </is>
      </c>
      <c r="H362" t="inlineStr">
        <is>
          <t>Municipal</t>
        </is>
      </c>
      <c r="I362" t="inlineStr">
        <is>
          <t>2026-09-15T10:10:22</t>
        </is>
      </c>
      <c r="J362" t="inlineStr">
        <is>
          <t>Pregão - Eletrônico</t>
        </is>
      </c>
      <c r="K362" t="inlineStr">
        <is>
          <t>A presente contratação tem por objeto a prestação de serviços especializados de manutenção predial em prédios públicos, destinados ao atendimento das necessidades da Agência Municipal de Meio Ambiente – AMMA.</t>
        </is>
      </c>
      <c r="L362" t="b">
        <v>1</v>
      </c>
      <c r="M362" t="inlineStr">
        <is>
          <t>manutencao_predial</t>
        </is>
      </c>
      <c r="N362" t="inlineStr">
        <is>
          <t>manutencao_predial</t>
        </is>
      </c>
      <c r="O362" t="n">
        <v>600000</v>
      </c>
      <c r="P362" t="n">
        <v>600000</v>
      </c>
      <c r="Q362" t="n">
        <v>600000</v>
      </c>
      <c r="R362" t="n">
        <v>0</v>
      </c>
      <c r="S362" t="n">
        <v>0</v>
      </c>
      <c r="T362" t="n">
        <v>1</v>
      </c>
      <c r="U362" t="n">
        <v>1</v>
      </c>
      <c r="V362" t="n">
        <v>1</v>
      </c>
      <c r="W362" t="n">
        <v>0</v>
      </c>
      <c r="X362" t="n">
        <v>0</v>
      </c>
      <c r="Y362" t="n">
        <v>0</v>
      </c>
      <c r="Z362" t="n">
        <v>0</v>
      </c>
      <c r="AA362" t="n">
        <v>0</v>
      </c>
      <c r="AB362" t="n">
        <v>0</v>
      </c>
      <c r="AC362" t="n">
        <v>0</v>
      </c>
      <c r="AD362" t="n">
        <v>0</v>
      </c>
      <c r="AE362" t="n">
        <v>1</v>
      </c>
      <c r="AF362" t="inlineStr">
        <is>
          <t>ENGEFAP ENGENHARIA LTDA:Demais</t>
        </is>
      </c>
      <c r="AH362" t="inlineStr">
        <is>
          <t>pontual</t>
        </is>
      </c>
      <c r="AI362" t="n">
        <v>12</v>
      </c>
      <c r="AJ362" t="n">
        <v>0</v>
      </c>
      <c r="AK362" t="n">
        <v>0</v>
      </c>
      <c r="AL362" t="n">
        <v>0</v>
      </c>
      <c r="AM362" t="n">
        <v>1</v>
      </c>
      <c r="AN362" t="n">
        <v>1</v>
      </c>
      <c r="AP362" t="inlineStr">
        <is>
          <t>a original e com assinaturas físicas ou digitais; 12.3. Será admitida, para fins de comprovação de quantitativo mínimo, a apresentação e o somatório de diferentes atestados executados de forma concomitante. 12.4 Os atestados de capacidade técnica poderão ser apresentados em nome da matriz ou da fili…</t>
        </is>
      </c>
      <c r="AQ362" t="n">
        <v>0</v>
      </c>
      <c r="AT362" t="n">
        <v>0</v>
      </c>
      <c r="AU362" t="n">
        <v>1</v>
      </c>
    </row>
    <row r="363">
      <c r="A363" t="inlineStr">
        <is>
          <t>10476288000129_2026_245</t>
        </is>
      </c>
      <c r="B363" s="2" t="inlineStr">
        <is>
          <t>https://pncp.gov.br/app/editais/10476288000129/2026/245</t>
        </is>
      </c>
      <c r="C363" t="inlineStr">
        <is>
          <t>2026-09-27T03:09:14.183402+00:00</t>
        </is>
      </c>
      <c r="D363" t="inlineStr">
        <is>
          <t>GO</t>
        </is>
      </c>
      <c r="E363" t="inlineStr">
        <is>
          <t>GO</t>
        </is>
      </c>
      <c r="F363" t="inlineStr">
        <is>
          <t>Silvânia</t>
        </is>
      </c>
      <c r="G363" t="inlineStr">
        <is>
          <t>FUNDO MUNICIPAL DE SAUDE DE SILVANIA</t>
        </is>
      </c>
      <c r="H363" t="inlineStr">
        <is>
          <t>Municipal</t>
        </is>
      </c>
      <c r="I363" t="inlineStr">
        <is>
          <t>2026-08-31T16:03:36</t>
        </is>
      </c>
      <c r="J363" t="inlineStr">
        <is>
          <t>Pregão - Eletrônico</t>
        </is>
      </c>
      <c r="K363" t="inlineStr">
        <is>
          <t>SOLICITA A CONTRATAÇÃO DECORRENTE DE ADESÃO À ATA DE REGISTRO DE PREÇOS DE EMPRESA ESPECIALIZADA NO RAMO DA ENGENHARIA PARA EXECUÇÃO DE SERVIÇOS DE MANUTENÇÃO PREDIAL PREVENTIVA E CORRETIVA, COM FORNECIMENTO DE MÃO DE OBRA, FERRAMENTAS, EQUIPAMENTOS, MATERIAIS DE CONSUMO E INSUMOS NECESSÁRIOS, DESTINADOS À CONSERVAÇÃO, RECUPERAÇÃO E ADEQUAÇÃO DAS EDIFICAÇÕES DA SECRETARIA MUNICIPAL DE SAÚDE E DEMAIS UNIDADES DE SAÚDE DO MUNICÍPIO.</t>
        </is>
      </c>
      <c r="L363" t="b">
        <v>1</v>
      </c>
      <c r="M363" t="inlineStr">
        <is>
          <t>manutencao_predial</t>
        </is>
      </c>
      <c r="N363" t="inlineStr">
        <is>
          <t>manutencao_predial</t>
        </is>
      </c>
      <c r="O363" t="n">
        <v>920215.77</v>
      </c>
      <c r="P363" t="n">
        <v>16807.373</v>
      </c>
      <c r="Q363" t="n">
        <v>17429.5696</v>
      </c>
      <c r="R363" t="n">
        <v>0.03569774382815522</v>
      </c>
      <c r="S363" t="n">
        <v>0</v>
      </c>
      <c r="T363" t="n">
        <v>668</v>
      </c>
      <c r="U363" t="n">
        <v>40</v>
      </c>
      <c r="V363" t="n">
        <v>170</v>
      </c>
      <c r="W363" t="n">
        <v>0</v>
      </c>
      <c r="X363" t="n">
        <v>0</v>
      </c>
      <c r="Y363" t="n">
        <v>0</v>
      </c>
      <c r="Z363" t="n">
        <v>0</v>
      </c>
      <c r="AA363" t="n">
        <v>0</v>
      </c>
      <c r="AB363" t="n">
        <v>0</v>
      </c>
      <c r="AC363" t="n">
        <v>0</v>
      </c>
      <c r="AD363" t="n">
        <v>0</v>
      </c>
      <c r="AE363" t="n">
        <v>1</v>
      </c>
      <c r="AF363" t="inlineStr">
        <is>
          <t>CARMO SCHMIDT ENGENHARIA:Demais</t>
        </is>
      </c>
      <c r="AH363" t="inlineStr">
        <is>
          <t>continuado</t>
        </is>
      </c>
      <c r="AJ363" t="n">
        <v>0</v>
      </c>
      <c r="AK363" t="n">
        <v>0</v>
      </c>
      <c r="AL363" t="n">
        <v>0</v>
      </c>
      <c r="AM363" t="n">
        <v>0</v>
      </c>
      <c r="AN363" t="n">
        <v>0</v>
      </c>
      <c r="AQ363" t="n">
        <v>0</v>
      </c>
      <c r="AT363" t="n">
        <v>0</v>
      </c>
      <c r="AU363" t="n">
        <v>1</v>
      </c>
    </row>
    <row r="364">
      <c r="A364" t="inlineStr">
        <is>
          <t>10480867000145_2026_30</t>
        </is>
      </c>
      <c r="B364" s="2" t="inlineStr">
        <is>
          <t>https://pncp.gov.br/app/editais/10480867000145/2026/30</t>
        </is>
      </c>
      <c r="C364" t="inlineStr">
        <is>
          <t>2026-09-27T03:36:51.828157+00:00</t>
        </is>
      </c>
      <c r="D364" t="inlineStr">
        <is>
          <t>GO</t>
        </is>
      </c>
      <c r="E364" t="inlineStr">
        <is>
          <t>GO</t>
        </is>
      </c>
      <c r="F364" t="inlineStr">
        <is>
          <t>Niquelândia</t>
        </is>
      </c>
      <c r="G364" t="inlineStr">
        <is>
          <t>FUNDO MUNICIPAL DE SAUDE</t>
        </is>
      </c>
      <c r="H364" t="inlineStr">
        <is>
          <t>Municipal</t>
        </is>
      </c>
      <c r="I364" t="inlineStr">
        <is>
          <t>2026-06-23T17:47:18</t>
        </is>
      </c>
      <c r="J364" t="inlineStr">
        <is>
          <t>Pregão - Eletrônico</t>
        </is>
      </c>
      <c r="K364" t="inlineStr">
        <is>
          <t>CONTRATAÇÃO DE EMPRESA PARA AQUISIÇÃO, INSTALAÇÃO, TESTES E COMISSIONAMENTO DE UM GRUPO GERADOR TRIFÁSICO DE 260 KVA, INCLUINDO FORNECIMENTO DE TODOS OS MATERIAIS, EQUIPAMENTOS, MÃO DE OBRA ESPECIALIZADA E DEMAIS SERVIÇOS NECESSÁRIOS À PERFEITA EXECUÇÃO E FUNCIONAMENTO DO SISTEMA ELÉTRICO DE EMERGÊNCIA DO HOSPITAL MUNICIPAL DE NIQUELÂNDIA, ESTADO DE GOIÁS.</t>
        </is>
      </c>
      <c r="L364" t="b">
        <v>0</v>
      </c>
      <c r="M364" t="inlineStr">
        <is>
          <t>eletrica_predial</t>
        </is>
      </c>
      <c r="N364" t="inlineStr">
        <is>
          <t>eletrica_predial</t>
        </is>
      </c>
      <c r="O364" t="n">
        <v>431368.62</v>
      </c>
      <c r="P364" t="n">
        <v>298842.08</v>
      </c>
      <c r="Q364" t="n">
        <v>390787.1</v>
      </c>
      <c r="R364" t="n">
        <v>0.2352816149765435</v>
      </c>
      <c r="S364" t="n">
        <v>0</v>
      </c>
      <c r="T364" t="n">
        <v>6</v>
      </c>
      <c r="U364" t="n">
        <v>2</v>
      </c>
      <c r="V364" t="n">
        <v>2</v>
      </c>
      <c r="W364" t="n">
        <v>0</v>
      </c>
      <c r="X364" t="n">
        <v>0</v>
      </c>
      <c r="Y364" t="n">
        <v>0</v>
      </c>
      <c r="Z364" t="n">
        <v>0</v>
      </c>
      <c r="AA364" t="n">
        <v>0</v>
      </c>
      <c r="AB364" t="n">
        <v>0</v>
      </c>
      <c r="AC364" t="n">
        <v>0</v>
      </c>
      <c r="AD364" t="n">
        <v>0</v>
      </c>
      <c r="AE364" t="n">
        <v>1</v>
      </c>
      <c r="AF364" t="inlineStr">
        <is>
          <t>SPRINTER COMÉRCIO E SERVIÇOS LTDA - ME:Demais</t>
        </is>
      </c>
      <c r="AH364" t="inlineStr">
        <is>
          <t>pontual</t>
        </is>
      </c>
      <c r="AI364" t="n">
        <v>12</v>
      </c>
      <c r="AJ364" t="n">
        <v>0</v>
      </c>
      <c r="AK364" t="n">
        <v>0</v>
      </c>
      <c r="AL364" t="n">
        <v>0</v>
      </c>
      <c r="AM364" t="n">
        <v>1</v>
      </c>
      <c r="AN364" t="n">
        <v>1</v>
      </c>
      <c r="AP364" t="inlineStr">
        <is>
          <t>ação da fiscalização da Prefeitura Municipal de Niquelândia, acompanhada dos dados cadastrais e da comprovação de capacidade técnica da empresa subcontratada; 12.2.2 A subcontratada deverá atender integralmente às normas técnicas e de segurança vigentes, possuir profissionais habilitados e ARTs espe…</t>
        </is>
      </c>
      <c r="AQ364" t="n">
        <v>0</v>
      </c>
      <c r="AR364" t="inlineStr">
        <is>
          <t>equipamento_alto</t>
        </is>
      </c>
      <c r="AS364" t="inlineStr">
        <is>
          <t>Confirmada exclusao automatica (equipamento_alto): contratacao de empresa para aquisicao, instalacao, testes e comissionamento de um grupo gerador trifasico de 260 kva, incluindo fornecimento de todos os materiais, equipamentos, ma</t>
        </is>
      </c>
      <c r="AT364" t="n">
        <v>0</v>
      </c>
      <c r="AU364" t="n">
        <v>0</v>
      </c>
    </row>
    <row r="365">
      <c r="A365" t="inlineStr">
        <is>
          <t>10581764000171_2026_74</t>
        </is>
      </c>
      <c r="B365" s="2" t="inlineStr">
        <is>
          <t>https://pncp.gov.br/app/editais/10581764000171/2026/74</t>
        </is>
      </c>
      <c r="C365" t="inlineStr">
        <is>
          <t>2026-09-27T03:49:29.695213+00:00</t>
        </is>
      </c>
      <c r="D365" t="inlineStr">
        <is>
          <t>GO</t>
        </is>
      </c>
      <c r="E365" t="inlineStr">
        <is>
          <t>GO</t>
        </is>
      </c>
      <c r="F365" t="inlineStr">
        <is>
          <t>São Luís de Montes Belos</t>
        </is>
      </c>
      <c r="G365" t="inlineStr">
        <is>
          <t>FUNDO MUN.DE SAUDE DE SAO LUIS DE MONTES BELOS</t>
        </is>
      </c>
      <c r="H365" t="inlineStr">
        <is>
          <t>Municipal</t>
        </is>
      </c>
      <c r="I365" t="inlineStr">
        <is>
          <t>2026-04-17T11:00:17</t>
        </is>
      </c>
      <c r="J365" t="inlineStr">
        <is>
          <t>Pregão - Eletrônico</t>
        </is>
      </c>
      <c r="K365" t="inlineStr">
        <is>
          <t>O REGISTRO DE PREÇO PARA EVENTUAIS AQUISIÇÕES DE EQUIPAMENTOS MÉDICO-HOSPITALARES, ODONTOLÓGICOS, FISIOTERAPIA, EQUIPAMENTOS ELÉTRICO-ELETRÔNICO, QUE SERÃO UTILIZADOS PARA ATENDER AS DEMANDAS DAS EQUIPES DA UNIDADES SAÚDE DA FAMÍLIA, CENTRO DE ATENÇÃO P</t>
        </is>
      </c>
      <c r="L365" t="b">
        <v>1</v>
      </c>
      <c r="M365" t="inlineStr">
        <is>
          <t>eletrica_predial</t>
        </is>
      </c>
      <c r="N365" t="inlineStr">
        <is>
          <t>eletrica_predial</t>
        </is>
      </c>
      <c r="O365" t="n">
        <v>2704797.01</v>
      </c>
      <c r="P365" t="n">
        <v>1530908.1</v>
      </c>
      <c r="Q365" t="n">
        <v>2068957.41</v>
      </c>
      <c r="R365" t="n">
        <v>0.2600581855380001</v>
      </c>
      <c r="S365" t="n">
        <v>0</v>
      </c>
      <c r="T365" t="n">
        <v>84</v>
      </c>
      <c r="U365" t="n">
        <v>40</v>
      </c>
      <c r="V365" t="n">
        <v>62</v>
      </c>
      <c r="W365" t="n">
        <v>0</v>
      </c>
      <c r="X365" t="n">
        <v>22</v>
      </c>
      <c r="Y365" t="n">
        <v>0</v>
      </c>
      <c r="Z365" t="n">
        <v>1</v>
      </c>
      <c r="AA365" t="n">
        <v>0</v>
      </c>
      <c r="AB365" t="n">
        <v>0</v>
      </c>
      <c r="AC365" t="n">
        <v>0</v>
      </c>
      <c r="AD365" t="n">
        <v>0</v>
      </c>
      <c r="AE365" t="n">
        <v>23</v>
      </c>
      <c r="AF365" t="inlineStr">
        <is>
          <t>D R EMPREENDIMENTOS E SERVIÇOS LTDA:ME; RR&amp;S PAPELARIA LTDA:Demais; ITAPEMED IMPORTADORA E EXPORTADORA DE EQUIPAMENTOS HOSPITALARES LTDA:ME; KCR INDUSTRIA E COMERCIO DE EQUIPAMENTOS EIRELI EPP:ME; STARMEDICAL IMPORTACAO E EXPORTACAO DE PRODUTOS HOSPITALARES LTDA:Demais; FELIPE ALTAMIRO ESPINDOLA:Demais; IPANEMA BRASIL ATACADO E IMPORTAÇÃO LTDA:ME; VALE COMÉRCIO DE MATERIAIS LTDA:ME; REFINAR EMPRESARIAL ASSESSORIA EM CONTROLES ADMINISTRATIVOS LTDA:Demais; ECOMERCIO AR CONDICIONADOS LTDA:Demais; VANGUARDA INFORMATICA LTDA:Demais; A A Z SAÚDE COMÉRCIO DE PRODUTOS MÉDICOS E HOSPITALARES EIRELI:ME; 3S VISION HOSPITALAR COMERCIO ATACADISTA DE PRODUTOS HOSPITALARES E EQUIPAMENTOS LTDA:ME; MORIMED COMERCIAL ERILE EPP:ME; V4 COMERCIO E SERVICOS LTDA:ME; URSA COMERCIAL LTDA ME:ME; OP QUIRINO DISTRIBUIDORA DE PRODUTOS HOSPITALARES LTDA:ME; LEISTUNG EQUIPAMENTOS LTDA:Demais; TK PRODUTOS E EQUIPAMENTOS MEDICOS LTDA:ME; INSTRAMED INDUSTRIA MEDICO HOSPITALAR LTDA:Demais; LC - COMERCIO DE EQUIPAMENTOS MEDICO HOSPITALAR LTDA:Demais; FANEM LTDA:Demais; YNEMED PRODUTOS MEDICOS E HOSPITALARES LTDA:ME</t>
        </is>
      </c>
      <c r="AH365" t="inlineStr">
        <is>
          <t>indefinido</t>
        </is>
      </c>
      <c r="AJ365" t="n">
        <v>0</v>
      </c>
      <c r="AK365" t="n">
        <v>0</v>
      </c>
      <c r="AL365" t="n">
        <v>0</v>
      </c>
      <c r="AM365" t="n">
        <v>0</v>
      </c>
      <c r="AN365" t="n">
        <v>0</v>
      </c>
      <c r="AQ365" t="n">
        <v>1</v>
      </c>
      <c r="AR365" t="inlineStr">
        <is>
          <t>fornecimento_puro</t>
        </is>
      </c>
      <c r="AS365" t="inlineStr">
        <is>
          <t>Confirmada exclusao automatica (fornecimento_puro): 84 item(ns), todos classificados como material (sem servico).</t>
        </is>
      </c>
      <c r="AT365" t="n">
        <v>0</v>
      </c>
      <c r="AU365" t="n">
        <v>0</v>
      </c>
    </row>
    <row r="366">
      <c r="A366" t="inlineStr">
        <is>
          <t>10626896000172_2026_216</t>
        </is>
      </c>
      <c r="B366" s="2" t="inlineStr">
        <is>
          <t>https://pncp.gov.br/app/editais/10626896000172/2026/216</t>
        </is>
      </c>
      <c r="C366" t="inlineStr">
        <is>
          <t>2026-09-27T05:52:18.776666+00:00</t>
        </is>
      </c>
      <c r="D366" t="inlineStr">
        <is>
          <t>MG</t>
        </is>
      </c>
      <c r="E366" t="inlineStr">
        <is>
          <t>vizinhos</t>
        </is>
      </c>
      <c r="F366" t="inlineStr">
        <is>
          <t>Belo Horizonte</t>
        </is>
      </c>
      <c r="G366" t="inlineStr">
        <is>
          <t>INSTITUTO FEDERAL DE EDUCACAO, CIENCIA E TECNOLOGIA DE MINAS GERAIS</t>
        </is>
      </c>
      <c r="H366" t="inlineStr">
        <is>
          <t>Federal</t>
        </is>
      </c>
      <c r="I366" t="inlineStr">
        <is>
          <t>2026-08-11T04:00:19</t>
        </is>
      </c>
      <c r="J366" t="inlineStr">
        <is>
          <t>Pregão - Eletrônico</t>
        </is>
      </c>
      <c r="K366" t="inlineStr">
        <is>
          <t>Contratação de serviços de engenharia de empresa especializada para execução de Serviço de manutenção predial, preventiva e corretiva, SOB DEMANDA , conforme listagem de levantamento POR CAMPUS/LOTES ou adicionamento de novos itens não-planilhados.</t>
        </is>
      </c>
      <c r="L366" t="b">
        <v>0</v>
      </c>
      <c r="M366" t="inlineStr">
        <is>
          <t>manutencao_predial</t>
        </is>
      </c>
      <c r="N366" t="inlineStr">
        <is>
          <t>manutencao_predial</t>
        </is>
      </c>
      <c r="O366" t="n">
        <v>6228229.92</v>
      </c>
      <c r="P366" t="n">
        <v>3831934.7518</v>
      </c>
      <c r="Q366" t="n">
        <v>5136194.39</v>
      </c>
      <c r="R366" t="n">
        <v>0.2539350225410765</v>
      </c>
      <c r="S366" t="n">
        <v>0</v>
      </c>
      <c r="T366" t="n">
        <v>21</v>
      </c>
      <c r="U366" t="n">
        <v>18</v>
      </c>
      <c r="V366" t="n">
        <v>18</v>
      </c>
      <c r="W366" t="n">
        <v>0</v>
      </c>
      <c r="X366" t="n">
        <v>0</v>
      </c>
      <c r="Y366" t="n">
        <v>0</v>
      </c>
      <c r="Z366" t="n">
        <v>0</v>
      </c>
      <c r="AA366" t="n">
        <v>0</v>
      </c>
      <c r="AB366" t="n">
        <v>0</v>
      </c>
      <c r="AC366" t="n">
        <v>0</v>
      </c>
      <c r="AD366" t="n">
        <v>0</v>
      </c>
      <c r="AE366" t="n">
        <v>4</v>
      </c>
      <c r="AF366" t="inlineStr">
        <is>
          <t>BR LEAO CONSTRUTORA LTDA:ME; TITANIUM CONSTRUCOES E MANUTENCOES INDUSTRIAIS LTDA:ME; WATT CONSTRUTORA LTDA:ME; P H M ENGENHARIA LTDA:ME</t>
        </is>
      </c>
      <c r="AH366" t="inlineStr">
        <is>
          <t>pontual</t>
        </is>
      </c>
      <c r="AJ366" t="n">
        <v>0</v>
      </c>
      <c r="AK366" t="n">
        <v>0</v>
      </c>
      <c r="AL366" t="n">
        <v>0</v>
      </c>
      <c r="AM366" t="n">
        <v>0</v>
      </c>
      <c r="AN366" t="n">
        <v>0</v>
      </c>
      <c r="AQ366" t="n">
        <v>0</v>
      </c>
      <c r="AT366" t="n">
        <v>0</v>
      </c>
      <c r="AU366" t="n">
        <v>1</v>
      </c>
    </row>
    <row r="367">
      <c r="A367" t="inlineStr">
        <is>
          <t>10651417000178_2026_119</t>
        </is>
      </c>
      <c r="B367" s="2" t="inlineStr">
        <is>
          <t>https://pncp.gov.br/app/editais/10651417000178/2026/119</t>
        </is>
      </c>
      <c r="C367" t="inlineStr">
        <is>
          <t>2026-09-27T02:34:27.415375+00:00</t>
        </is>
      </c>
      <c r="D367" t="inlineStr">
        <is>
          <t>GO</t>
        </is>
      </c>
      <c r="E367" t="inlineStr">
        <is>
          <t>GO</t>
        </is>
      </c>
      <c r="F367" t="inlineStr">
        <is>
          <t>Goiânia</t>
        </is>
      </c>
      <c r="G367" t="inlineStr">
        <is>
          <t>INSTITUTO FEDERAL DE EDUCACAO, CIENCIA E TECNOLOGIA GOIANO</t>
        </is>
      </c>
      <c r="H367" t="inlineStr">
        <is>
          <t>Federal</t>
        </is>
      </c>
      <c r="I367" t="inlineStr">
        <is>
          <t>2026-07-01T07:01:11</t>
        </is>
      </c>
      <c r="J367" t="inlineStr">
        <is>
          <t>Pregão - Eletrônico</t>
        </is>
      </c>
      <c r="K367" t="inlineStr">
        <is>
          <t>Registro de peço para contratação de serviços de manutenção preventiva e corretiva em aparelhos de ar condicionado e câmaras frigoríficas, conforme condições e exigências estabelecidas no edital e seus anexos.</t>
        </is>
      </c>
      <c r="L367" t="b">
        <v>1</v>
      </c>
      <c r="M367" t="inlineStr">
        <is>
          <t>climatizacao</t>
        </is>
      </c>
      <c r="N367" t="inlineStr">
        <is>
          <t>climatizacao</t>
        </is>
      </c>
      <c r="O367" t="n">
        <v>413029.46</v>
      </c>
      <c r="P367" t="n">
        <v>79615</v>
      </c>
      <c r="Q367" t="n">
        <v>244272.6800000001</v>
      </c>
      <c r="R367" t="n">
        <v>0.6740732528909906</v>
      </c>
      <c r="S367" t="n">
        <v>0</v>
      </c>
      <c r="T367" t="n">
        <v>81</v>
      </c>
      <c r="U367" t="n">
        <v>40</v>
      </c>
      <c r="V367" t="n">
        <v>81</v>
      </c>
      <c r="W367" t="n">
        <v>0</v>
      </c>
      <c r="X367" t="n">
        <v>0</v>
      </c>
      <c r="Y367" t="n">
        <v>0</v>
      </c>
      <c r="Z367" t="n">
        <v>0</v>
      </c>
      <c r="AA367" t="n">
        <v>0</v>
      </c>
      <c r="AB367" t="n">
        <v>0</v>
      </c>
      <c r="AC367" t="n">
        <v>0</v>
      </c>
      <c r="AD367" t="n">
        <v>0</v>
      </c>
      <c r="AE367" t="n">
        <v>1</v>
      </c>
      <c r="AF367" t="inlineStr">
        <is>
          <t>S. NOLLI COMERCIO E SERVICOS LTDA:ME</t>
        </is>
      </c>
      <c r="AH367" t="inlineStr">
        <is>
          <t>continuado</t>
        </is>
      </c>
      <c r="AI367" t="n">
        <v>3</v>
      </c>
      <c r="AJ367" t="n">
        <v>0</v>
      </c>
      <c r="AK367" t="n">
        <v>0</v>
      </c>
      <c r="AL367" t="n">
        <v>0</v>
      </c>
      <c r="AM367" t="n">
        <v>1</v>
      </c>
      <c r="AN367" t="n">
        <v>0</v>
      </c>
      <c r="AP367" t="inlineStr">
        <is>
          <t>o estabelecida neste instrumento convocatório. 9.34.2. Serão admitidos, para fins de comprovação de quantitativo mínimo de serviço, a apresentação e o somatório de diferentes atestados de serviços executados de forma concomitante, pois essa situação equivale, para fins de comprovação de capacidade t…</t>
        </is>
      </c>
      <c r="AQ367" t="n">
        <v>0</v>
      </c>
      <c r="AS367" t="inlineStr">
        <is>
          <t>heuristica automatica confirmada: servico real de climatizacao, sem sinais de exclusao.</t>
        </is>
      </c>
      <c r="AT367" t="n">
        <v>0</v>
      </c>
      <c r="AU367" t="n">
        <v>1</v>
      </c>
    </row>
    <row r="368">
      <c r="A368" t="inlineStr">
        <is>
          <t>10727655000110_2026_148</t>
        </is>
      </c>
      <c r="B368" s="2" t="inlineStr">
        <is>
          <t>https://pncp.gov.br/app/editais/10727655000110/2026/148</t>
        </is>
      </c>
      <c r="C368" t="inlineStr">
        <is>
          <t>2026-09-27T05:49:29.729333+00:00</t>
        </is>
      </c>
      <c r="D368" t="inlineStr">
        <is>
          <t>MG</t>
        </is>
      </c>
      <c r="E368" t="inlineStr">
        <is>
          <t>vizinhos</t>
        </is>
      </c>
      <c r="F368" t="inlineStr">
        <is>
          <t>Januária</t>
        </is>
      </c>
      <c r="G368" t="inlineStr">
        <is>
          <t>INSTITUTO FEDERAL DE EDUCACAO, CIENCIA E TECNOLOGIA DO NORTE DE MINAS GERAIS</t>
        </is>
      </c>
      <c r="H368" t="inlineStr">
        <is>
          <t>Federal</t>
        </is>
      </c>
      <c r="I368" t="inlineStr">
        <is>
          <t>2026-08-27T04:00:07</t>
        </is>
      </c>
      <c r="J368" t="inlineStr">
        <is>
          <t>Pregão - Eletrônico</t>
        </is>
      </c>
      <c r="K368" t="inlineStr">
        <is>
          <t xml:space="preserve">Aquisição de materiais elétricos. </t>
        </is>
      </c>
      <c r="L368" t="b">
        <v>1</v>
      </c>
      <c r="M368" t="inlineStr">
        <is>
          <t>eletrica_predial</t>
        </is>
      </c>
      <c r="N368" t="inlineStr">
        <is>
          <t>eletrica_predial</t>
        </is>
      </c>
      <c r="O368" t="n">
        <v>703475.09</v>
      </c>
      <c r="P368" t="n">
        <v>38116.4</v>
      </c>
      <c r="Q368" t="n">
        <v>57044.55</v>
      </c>
      <c r="R368" t="n">
        <v>0.3318134685960359</v>
      </c>
      <c r="S368" t="n">
        <v>0</v>
      </c>
      <c r="T368" t="n">
        <v>108</v>
      </c>
      <c r="U368" t="n">
        <v>40</v>
      </c>
      <c r="V368" t="n">
        <v>74</v>
      </c>
      <c r="W368" t="n">
        <v>0</v>
      </c>
      <c r="X368" t="n">
        <v>34</v>
      </c>
      <c r="Y368" t="n">
        <v>0</v>
      </c>
      <c r="Z368" t="n">
        <v>1</v>
      </c>
      <c r="AA368" t="n">
        <v>0</v>
      </c>
      <c r="AB368" t="n">
        <v>1</v>
      </c>
      <c r="AC368" t="n">
        <v>0</v>
      </c>
      <c r="AD368" t="n">
        <v>0</v>
      </c>
      <c r="AE368" t="n">
        <v>10</v>
      </c>
      <c r="AF368" t="inlineStr">
        <is>
          <t>J. J. VITALLI:ME; RRW LICITA LTDA:ME; CBX COMERCIAL IMPORTADORA LTDA:ME; LD ASTEN COMERCIO LTDA:ME; I.R. COMERCIO E MATERIAIS ELETRICOS LTDA:ME; COMERCIAL SPONCHIADO LTDA:ME; DF MAQUINAS E FERRAMENTAS LTDA:ME; GR COMERCIO LTDA:ME; D33D COMERCIO LTDA:ME; ELETROQUIP COMERCIO E LICITACOES LTDA:ME</t>
        </is>
      </c>
      <c r="AH368" t="inlineStr">
        <is>
          <t>pontual</t>
        </is>
      </c>
      <c r="AJ368" t="n">
        <v>0</v>
      </c>
      <c r="AK368" t="n">
        <v>0</v>
      </c>
      <c r="AL368" t="n">
        <v>0</v>
      </c>
      <c r="AM368" t="n">
        <v>0</v>
      </c>
      <c r="AN368" t="n">
        <v>0</v>
      </c>
      <c r="AQ368" t="n">
        <v>1</v>
      </c>
      <c r="AR368" t="inlineStr">
        <is>
          <t>fornecimento_puro</t>
        </is>
      </c>
      <c r="AS368" t="inlineStr">
        <is>
          <t>Confirmada exclusao automatica (fornecimento_puro): 108 item(ns), todos classificados como material (sem servico).</t>
        </is>
      </c>
      <c r="AT368" t="n">
        <v>0</v>
      </c>
      <c r="AU368" t="n">
        <v>0</v>
      </c>
    </row>
    <row r="369">
      <c r="A369" t="inlineStr">
        <is>
          <t>11111771000172_2025_126</t>
        </is>
      </c>
      <c r="B369" s="2" t="inlineStr">
        <is>
          <t>https://pncp.gov.br/app/editais/11111771000172/2025/126</t>
        </is>
      </c>
      <c r="C369" t="inlineStr">
        <is>
          <t>2026-09-27T02:59:37.022343+00:00</t>
        </is>
      </c>
      <c r="D369" t="inlineStr">
        <is>
          <t>GO</t>
        </is>
      </c>
      <c r="E369" t="inlineStr">
        <is>
          <t>GO</t>
        </is>
      </c>
      <c r="F369" t="inlineStr">
        <is>
          <t>Ceres</t>
        </is>
      </c>
      <c r="G369" t="inlineStr">
        <is>
          <t>FUNDO MUNICIPAL DE SAUDE DE CERES</t>
        </is>
      </c>
      <c r="H369" t="inlineStr">
        <is>
          <t>Municipal</t>
        </is>
      </c>
      <c r="I369" t="inlineStr">
        <is>
          <t>2025-07-21T16:56:20</t>
        </is>
      </c>
      <c r="J369" t="inlineStr">
        <is>
          <t>Pregão - Eletrônico</t>
        </is>
      </c>
      <c r="K369" t="inlineStr">
        <is>
          <t>REFERENTE A CONTRATAÇÃO DE EMPRESA ESPECIALIZADA PARA PRESTAÇÃO DE SERVIÇOS DE MANUTENÇÃO PREVENTIVA E CORRETIVA DE APARELHOS DE AR CONDICIONADO, INCLUINDO LIMPEZA, RECARGA DE GÁS, INSTALAÇÃO E REMOÇÃO, CONFORME DEMANDA, NAS UNIDADES DA SECRETARIA MUNICIPAL DE SAÚDE DE CERES/GO</t>
        </is>
      </c>
      <c r="L369" t="b">
        <v>1</v>
      </c>
      <c r="M369" t="inlineStr">
        <is>
          <t>climatizacao</t>
        </is>
      </c>
      <c r="N369" t="inlineStr">
        <is>
          <t>climatizacao</t>
        </is>
      </c>
      <c r="O369" t="n">
        <v>121336.7</v>
      </c>
      <c r="P369" t="n">
        <v>56000</v>
      </c>
      <c r="Q369" t="n">
        <v>121336.7</v>
      </c>
      <c r="R369" t="n">
        <v>0.53847434453055</v>
      </c>
      <c r="S369" t="n">
        <v>0</v>
      </c>
      <c r="T369" t="n">
        <v>3</v>
      </c>
      <c r="U369" t="n">
        <v>3</v>
      </c>
      <c r="V369" t="n">
        <v>3</v>
      </c>
      <c r="W369" t="n">
        <v>0</v>
      </c>
      <c r="X369" t="n">
        <v>0</v>
      </c>
      <c r="Y369" t="n">
        <v>0</v>
      </c>
      <c r="Z369" t="n">
        <v>0</v>
      </c>
      <c r="AA369" t="n">
        <v>0</v>
      </c>
      <c r="AB369" t="n">
        <v>0</v>
      </c>
      <c r="AC369" t="n">
        <v>0</v>
      </c>
      <c r="AD369" t="n">
        <v>0</v>
      </c>
      <c r="AE369" t="n">
        <v>1</v>
      </c>
      <c r="AF369" t="inlineStr">
        <is>
          <t>BRUNO LUIZ FELIPE ROLINS:Demais</t>
        </is>
      </c>
      <c r="AH369" t="inlineStr">
        <is>
          <t>indefinido</t>
        </is>
      </c>
      <c r="AJ369" t="n">
        <v>0</v>
      </c>
      <c r="AK369" t="n">
        <v>0</v>
      </c>
      <c r="AL369" t="n">
        <v>0</v>
      </c>
      <c r="AM369" t="n">
        <v>0</v>
      </c>
      <c r="AN369" t="n">
        <v>0</v>
      </c>
      <c r="AQ369" t="n">
        <v>0</v>
      </c>
      <c r="AS369" t="inlineStr">
        <is>
          <t>heuristica automatica confirmada: servico real de climatizacao, sem sinais de exclusao.</t>
        </is>
      </c>
      <c r="AT369" t="n">
        <v>0</v>
      </c>
      <c r="AU369" t="n">
        <v>1</v>
      </c>
    </row>
    <row r="370">
      <c r="A370" t="inlineStr">
        <is>
          <t>11168270000122_2025_60</t>
        </is>
      </c>
      <c r="B370" s="2" t="inlineStr">
        <is>
          <t>https://pncp.gov.br/app/editais/11168270000122/2025/60</t>
        </is>
      </c>
      <c r="C370" t="inlineStr">
        <is>
          <t>2026-09-27T02:59:44.233919+00:00</t>
        </is>
      </c>
      <c r="D370" t="inlineStr">
        <is>
          <t>GO</t>
        </is>
      </c>
      <c r="E370" t="inlineStr">
        <is>
          <t>GO</t>
        </is>
      </c>
      <c r="F370" t="inlineStr">
        <is>
          <t>Palmeiras de Goiás</t>
        </is>
      </c>
      <c r="G370" t="inlineStr">
        <is>
          <t>FUNDO MUNICIPAL DE SAUDE -FMS</t>
        </is>
      </c>
      <c r="H370" t="inlineStr">
        <is>
          <t>Municipal</t>
        </is>
      </c>
      <c r="I370" t="inlineStr">
        <is>
          <t>2025-07-18T08:13:00</t>
        </is>
      </c>
      <c r="J370" t="inlineStr">
        <is>
          <t>Pregão - Eletrônico</t>
        </is>
      </c>
      <c r="K370" t="inlineStr">
        <is>
          <t>EMPRESA ESPECIALIZADA NA MANUTENÇÃO PREVENTIVA E CORRETIVA DOS EXAUSTORES DE CLIMATIZAÇÃO DE AR CONDICIONADO</t>
        </is>
      </c>
      <c r="L370" t="b">
        <v>0</v>
      </c>
      <c r="M370" t="inlineStr">
        <is>
          <t>climatizacao</t>
        </is>
      </c>
      <c r="N370" t="inlineStr">
        <is>
          <t>climatizacao</t>
        </is>
      </c>
      <c r="O370" t="n">
        <v>773445.24</v>
      </c>
      <c r="P370" t="n">
        <v>110388</v>
      </c>
      <c r="Q370" t="n">
        <v>773445.24</v>
      </c>
      <c r="R370" t="n">
        <v>0.8572775494746079</v>
      </c>
      <c r="S370" t="n">
        <v>0</v>
      </c>
      <c r="T370" t="n">
        <v>1</v>
      </c>
      <c r="U370" t="n">
        <v>1</v>
      </c>
      <c r="V370" t="n">
        <v>1</v>
      </c>
      <c r="W370" t="n">
        <v>0</v>
      </c>
      <c r="X370" t="n">
        <v>0</v>
      </c>
      <c r="Y370" t="n">
        <v>0</v>
      </c>
      <c r="Z370" t="n">
        <v>0</v>
      </c>
      <c r="AA370" t="n">
        <v>0</v>
      </c>
      <c r="AB370" t="n">
        <v>0</v>
      </c>
      <c r="AC370" t="n">
        <v>0</v>
      </c>
      <c r="AD370" t="n">
        <v>0</v>
      </c>
      <c r="AE370" t="n">
        <v>1</v>
      </c>
      <c r="AF370" t="inlineStr">
        <is>
          <t>EDIONE BONFIM LEITE 04571486162:ME</t>
        </is>
      </c>
      <c r="AH370" t="inlineStr">
        <is>
          <t>indefinido</t>
        </is>
      </c>
      <c r="AJ370" t="n">
        <v>0</v>
      </c>
      <c r="AK370" t="n">
        <v>0</v>
      </c>
      <c r="AL370" t="n">
        <v>0</v>
      </c>
      <c r="AM370" t="n">
        <v>0</v>
      </c>
      <c r="AN370" t="n">
        <v>0</v>
      </c>
      <c r="AQ370" t="n">
        <v>0</v>
      </c>
      <c r="AS370" t="inlineStr">
        <is>
          <t>heuristica automatica confirmada: servico real de climatizacao, sem sinais de exclusao.</t>
        </is>
      </c>
      <c r="AT370" t="n">
        <v>0</v>
      </c>
      <c r="AU370" t="n">
        <v>1</v>
      </c>
    </row>
    <row r="371">
      <c r="A371" t="inlineStr">
        <is>
          <t>11324516000108_2025_105</t>
        </is>
      </c>
      <c r="B371" s="2" t="inlineStr">
        <is>
          <t>https://pncp.gov.br/app/editais/11324516000108/2025/105</t>
        </is>
      </c>
      <c r="C371" t="inlineStr">
        <is>
          <t>2026-09-27T02:52:22.832098+00:00</t>
        </is>
      </c>
      <c r="D371" t="inlineStr">
        <is>
          <t>GO</t>
        </is>
      </c>
      <c r="E371" t="inlineStr">
        <is>
          <t>GO</t>
        </is>
      </c>
      <c r="F371" t="inlineStr">
        <is>
          <t>Firminópolis</t>
        </is>
      </c>
      <c r="G371" t="inlineStr">
        <is>
          <t>FUNDO MUNICIPAL DE SAUDE DE FIRMINOPOLIS</t>
        </is>
      </c>
      <c r="H371" t="inlineStr">
        <is>
          <t>Municipal</t>
        </is>
      </c>
      <c r="I371" t="inlineStr">
        <is>
          <t>2025-09-01T10:21:48</t>
        </is>
      </c>
      <c r="J371" t="inlineStr">
        <is>
          <t>Pregão - Presencial</t>
        </is>
      </c>
      <c r="K371" t="inlineStr">
        <is>
          <t>SOLICITAÇÃO PARA ABERTURA DE PROCEDIMENTO LICITATÓRIO PARA A CONTRATAÇÃO DE EMPRESA ESPECIALIZADA EM PRESTAÇÃO DE SERVIÇOS DE INSTALAÇÃO, DESINSTALAÇÃO, RECARGA DE GÁS E MANUTENÇÃO DE APARELHOS DE AR CONDICIONADO E PURIFICADORES DE ÁGUA EM MODELOS E POTÊNCIAS VARIADAS .</t>
        </is>
      </c>
      <c r="L371" t="b">
        <v>1</v>
      </c>
      <c r="M371" t="inlineStr">
        <is>
          <t>climatizacao</t>
        </is>
      </c>
      <c r="N371" t="inlineStr">
        <is>
          <t>climatizacao</t>
        </is>
      </c>
      <c r="O371" t="n">
        <v>826376.53</v>
      </c>
      <c r="P371" t="n">
        <v>560050.16</v>
      </c>
      <c r="Q371" t="n">
        <v>766638.13</v>
      </c>
      <c r="R371" t="n">
        <v>0.2763467687160304</v>
      </c>
      <c r="S371" t="n">
        <v>0</v>
      </c>
      <c r="T371" t="n">
        <v>46</v>
      </c>
      <c r="U371" t="n">
        <v>40</v>
      </c>
      <c r="V371" t="n">
        <v>41</v>
      </c>
      <c r="W371" t="n">
        <v>0</v>
      </c>
      <c r="X371" t="n">
        <v>5</v>
      </c>
      <c r="Y371" t="n">
        <v>0</v>
      </c>
      <c r="Z371" t="n">
        <v>1</v>
      </c>
      <c r="AA371" t="n">
        <v>0</v>
      </c>
      <c r="AB371" t="n">
        <v>0</v>
      </c>
      <c r="AC371" t="n">
        <v>0</v>
      </c>
      <c r="AD371" t="n">
        <v>0</v>
      </c>
      <c r="AE371" t="n">
        <v>3</v>
      </c>
      <c r="AF371" t="inlineStr">
        <is>
          <t>AMILTON SILVA DA COSTA 00860742105:ME; 61.214.749 CAINAN LUIZ DOS SANTOS:ME; A SUPREMA COMERCIAL LTDA:ME</t>
        </is>
      </c>
      <c r="AH371" t="inlineStr">
        <is>
          <t>indefinido</t>
        </is>
      </c>
      <c r="AJ371" t="n">
        <v>0</v>
      </c>
      <c r="AK371" t="n">
        <v>0</v>
      </c>
      <c r="AL371" t="n">
        <v>0</v>
      </c>
      <c r="AM371" t="n">
        <v>0</v>
      </c>
      <c r="AN371" t="n">
        <v>0</v>
      </c>
      <c r="AQ371" t="n">
        <v>0</v>
      </c>
      <c r="AS371" t="inlineStr">
        <is>
          <t>heuristica automatica confirmada: servico real de climatizacao, sem sinais de exclusao.</t>
        </is>
      </c>
      <c r="AT371" t="n">
        <v>0</v>
      </c>
      <c r="AU371" t="n">
        <v>1</v>
      </c>
    </row>
    <row r="372">
      <c r="A372" t="inlineStr">
        <is>
          <t>11336672000199_2026_29</t>
        </is>
      </c>
      <c r="B372" s="2" t="inlineStr">
        <is>
          <t>https://pncp.gov.br/app/editais/11336672000199/2026/29</t>
        </is>
      </c>
      <c r="C372" t="inlineStr">
        <is>
          <t>2026-09-27T05:37:07.801431+00:00</t>
        </is>
      </c>
      <c r="D372" t="inlineStr">
        <is>
          <t>TO</t>
        </is>
      </c>
      <c r="E372" t="inlineStr">
        <is>
          <t>vizinhos</t>
        </is>
      </c>
      <c r="F372" t="inlineStr">
        <is>
          <t>Gurupi</t>
        </is>
      </c>
      <c r="G372" t="inlineStr">
        <is>
          <t>FUNDO MUNICIPAL DE SAUDE</t>
        </is>
      </c>
      <c r="H372" t="inlineStr">
        <is>
          <t>Municipal</t>
        </is>
      </c>
      <c r="I372" t="inlineStr">
        <is>
          <t>2026-05-11T10:47:45</t>
        </is>
      </c>
      <c r="J372" t="inlineStr">
        <is>
          <t>Pregão - Eletrônico</t>
        </is>
      </c>
      <c r="K372" t="inlineStr">
        <is>
          <t>REGISTRO DE PRECOS, PARA FUTURA E EVENTUAL CONTRATACAO DE EMPRESA PARA EXECUCAO DE SERVICOS COMUNS E CONTINUOS DE ENGENHARIA, COM EMPREGO DE MATERIAIS E MAO DE OBRA, COM O FITO DE PROMOVER MANUTENCAO PREDIAL PREVENTIVA E CORRETIVA, PARA CONSERVACAO E ADEQUACOES FUNCIONAIS DE PEQUENO VULTO, EXECUTADAS SOB DEMANDA NAS UNIDADES DE SAUDE DO MUNICIPIO DE GURUPI - TO.</t>
        </is>
      </c>
      <c r="L372" t="b">
        <v>1</v>
      </c>
      <c r="M372" t="inlineStr">
        <is>
          <t>manutencao_predial</t>
        </is>
      </c>
      <c r="N372" t="inlineStr">
        <is>
          <t>manutencao_predial</t>
        </is>
      </c>
      <c r="O372" t="n">
        <v>10202396.12</v>
      </c>
      <c r="P372" t="n">
        <v>8749890.870000001</v>
      </c>
      <c r="Q372" t="n">
        <v>10202396.12</v>
      </c>
      <c r="R372" t="n">
        <v>0.1423690310507175</v>
      </c>
      <c r="S372" t="n">
        <v>0</v>
      </c>
      <c r="T372" t="n">
        <v>3</v>
      </c>
      <c r="U372" t="n">
        <v>3</v>
      </c>
      <c r="V372" t="n">
        <v>3</v>
      </c>
      <c r="W372" t="n">
        <v>0</v>
      </c>
      <c r="X372" t="n">
        <v>0</v>
      </c>
      <c r="Y372" t="n">
        <v>0</v>
      </c>
      <c r="Z372" t="n">
        <v>0</v>
      </c>
      <c r="AA372" t="n">
        <v>0</v>
      </c>
      <c r="AB372" t="n">
        <v>0</v>
      </c>
      <c r="AC372" t="n">
        <v>0</v>
      </c>
      <c r="AD372" t="n">
        <v>0</v>
      </c>
      <c r="AE372" t="n">
        <v>3</v>
      </c>
      <c r="AF372" t="inlineStr">
        <is>
          <t>KLAO ENGENHARIA S/A:Não se aplica; BF CONSTRUTORA E INCORPORADORA LTDA:Não se aplica; BONNA CONSTRUCAO E ENGENHARIA LTDA:Não se aplica</t>
        </is>
      </c>
      <c r="AH372" t="inlineStr">
        <is>
          <t>pontual</t>
        </is>
      </c>
      <c r="AJ372" t="n">
        <v>0</v>
      </c>
      <c r="AK372" t="n">
        <v>0</v>
      </c>
      <c r="AL372" t="n">
        <v>0</v>
      </c>
      <c r="AM372" t="n">
        <v>0</v>
      </c>
      <c r="AN372" t="n">
        <v>0</v>
      </c>
      <c r="AQ372" t="n">
        <v>0</v>
      </c>
      <c r="AT372" t="n">
        <v>0</v>
      </c>
      <c r="AU372" t="n">
        <v>1</v>
      </c>
    </row>
    <row r="373">
      <c r="A373" t="inlineStr">
        <is>
          <t>11675300000197_2026_2</t>
        </is>
      </c>
      <c r="B373" s="2" t="inlineStr">
        <is>
          <t>https://pncp.gov.br/app/editais/11675300000197/2026/2</t>
        </is>
      </c>
      <c r="C373" t="inlineStr">
        <is>
          <t>2026-09-27T05:41:27.189611+00:00</t>
        </is>
      </c>
      <c r="D373" t="inlineStr">
        <is>
          <t>TO</t>
        </is>
      </c>
      <c r="E373" t="inlineStr">
        <is>
          <t>vizinhos</t>
        </is>
      </c>
      <c r="F373" t="inlineStr">
        <is>
          <t>Paraíso do Tocantins</t>
        </is>
      </c>
      <c r="G373" t="inlineStr">
        <is>
          <t>ASSOCIACAO DE APOIO DO CENTRO DE ENSINO MEDIO GIRASSOL DE TEMPO INTEGRAL DIACONIZIO BEZERRA DA SILVA</t>
        </is>
      </c>
      <c r="H373" t="inlineStr">
        <is>
          <t>Não se aplica</t>
        </is>
      </c>
      <c r="I373" t="inlineStr">
        <is>
          <t>2026-04-29T07:17:38</t>
        </is>
      </c>
      <c r="J373" t="inlineStr">
        <is>
          <t>Pregão - Eletrônico</t>
        </is>
      </c>
      <c r="K373" t="inlineStr">
        <is>
          <t>Contratação de empresa especializada na prestação de serviços continuados de manutenção preventiva e corretiva de bens móveis e imóveis, tais como: serviços de pedreiro e servente; pintura; vidraçaria; manutenção de telhados, forros e calhas; serviços elétricos em geral; manutenção preventiva em impressoras jato de tinta coloridas, modelo Epson L3250; serviços hidráulicos, limpeza de fossas,serviços de serralheria; estofados e tapeçaria; jardinagem, locação de container.</t>
        </is>
      </c>
      <c r="L373" t="b">
        <v>1</v>
      </c>
      <c r="M373" t="inlineStr">
        <is>
          <t>eletrica_predial</t>
        </is>
      </c>
      <c r="N373" t="inlineStr">
        <is>
          <t>eletrica_predial</t>
        </is>
      </c>
      <c r="O373" t="n">
        <v>770634.25</v>
      </c>
      <c r="P373" t="n">
        <v>423740.6858</v>
      </c>
      <c r="Q373" t="n">
        <v>770634.2500000002</v>
      </c>
      <c r="R373" t="n">
        <v>0.4371769931066518</v>
      </c>
      <c r="S373" t="n">
        <v>0</v>
      </c>
      <c r="T373" t="n">
        <v>15</v>
      </c>
      <c r="U373" t="n">
        <v>15</v>
      </c>
      <c r="V373" t="n">
        <v>15</v>
      </c>
      <c r="W373" t="n">
        <v>0</v>
      </c>
      <c r="X373" t="n">
        <v>0</v>
      </c>
      <c r="Y373" t="n">
        <v>0</v>
      </c>
      <c r="Z373" t="n">
        <v>0</v>
      </c>
      <c r="AA373" t="n">
        <v>0</v>
      </c>
      <c r="AB373" t="n">
        <v>1</v>
      </c>
      <c r="AC373" t="n">
        <v>0</v>
      </c>
      <c r="AD373" t="n">
        <v>0</v>
      </c>
      <c r="AE373" t="n">
        <v>2</v>
      </c>
      <c r="AF373" t="inlineStr">
        <is>
          <t>R I VAREJISTA E DISTRIBUIDORA LTDA:ME; BOOMERANG DISTRIBUIDORA E SERVICOS LTDA:ME</t>
        </is>
      </c>
      <c r="AH373" t="inlineStr">
        <is>
          <t>continuado</t>
        </is>
      </c>
      <c r="AJ373" t="n">
        <v>0</v>
      </c>
      <c r="AK373" t="n">
        <v>0</v>
      </c>
      <c r="AL373" t="n">
        <v>0</v>
      </c>
      <c r="AM373" t="n">
        <v>0</v>
      </c>
      <c r="AN373" t="n">
        <v>0</v>
      </c>
      <c r="AQ373" t="n">
        <v>0</v>
      </c>
      <c r="AS373" t="inlineStr">
        <is>
          <t>Servico CONTINUADO de manutencao predial multi-oficio (pedreiro, pintura, vidracaria, telhados, "servicos eletricos em geral", hidraulica, serralheria, tapecaria, jardinagem) em TO, 15 itens, R$770,6 mil estimado. Mesma ressalva do caso anterior: eletrica e so um dos oficios cobertos, contrato guarda-chuva.</t>
        </is>
      </c>
      <c r="AT373" t="n">
        <v>0</v>
      </c>
      <c r="AU373" t="n">
        <v>1</v>
      </c>
    </row>
    <row r="374">
      <c r="A374" t="inlineStr">
        <is>
          <t>11675300000197_2026_3</t>
        </is>
      </c>
      <c r="B374" s="2" t="inlineStr">
        <is>
          <t>https://pncp.gov.br/app/editais/11675300000197/2026/3</t>
        </is>
      </c>
      <c r="C374" t="inlineStr">
        <is>
          <t>2026-09-27T05:32:33.605044+00:00</t>
        </is>
      </c>
      <c r="D374" t="inlineStr">
        <is>
          <t>TO</t>
        </is>
      </c>
      <c r="E374" t="inlineStr">
        <is>
          <t>vizinhos</t>
        </is>
      </c>
      <c r="F374" t="inlineStr">
        <is>
          <t>Paraíso do Tocantins</t>
        </is>
      </c>
      <c r="G374" t="inlineStr">
        <is>
          <t>ASSOCIACAO DE APOIO DO CENTRO DE ENSINO MEDIO GIRASSOL DE TEMPO INTEGRAL DIACONIZIO BEZERRA DA SILVA</t>
        </is>
      </c>
      <c r="H374" t="inlineStr">
        <is>
          <t>Não se aplica</t>
        </is>
      </c>
      <c r="I374" t="inlineStr">
        <is>
          <t>2026-04-30T07:19:45</t>
        </is>
      </c>
      <c r="J374" t="inlineStr">
        <is>
          <t>Pregão - Eletrônico</t>
        </is>
      </c>
      <c r="K374" t="inlineStr">
        <is>
          <t>Prestação de serviços de manutenção preventiva e corretiva em equipamentos de bens móveis, compreendendo equipamentos de refrigeração e sistemas de climatização (tipos central, compacto e split), bem como eletrodomésticos e equipamentos eletroeletrônicos em geral, incluindo, mas não se limitando a equipamentos de cozinha industrial, geladeiras, freezers, máquinas de lavar, portões eletrônicos e sistemas de videomonitoramento, com fornecimento de insumos.</t>
        </is>
      </c>
      <c r="L374" t="b">
        <v>1</v>
      </c>
      <c r="M374" t="inlineStr">
        <is>
          <t>climatizacao</t>
        </is>
      </c>
      <c r="N374" t="inlineStr">
        <is>
          <t>climatizacao</t>
        </is>
      </c>
      <c r="O374" t="n">
        <v>154229.17</v>
      </c>
      <c r="P374" t="n">
        <v>98092.8</v>
      </c>
      <c r="Q374" t="n">
        <v>154229.17</v>
      </c>
      <c r="R374" t="n">
        <v>0.3639802379796248</v>
      </c>
      <c r="S374" t="n">
        <v>0</v>
      </c>
      <c r="T374" t="n">
        <v>16</v>
      </c>
      <c r="U374" t="n">
        <v>16</v>
      </c>
      <c r="V374" t="n">
        <v>16</v>
      </c>
      <c r="W374" t="n">
        <v>0</v>
      </c>
      <c r="X374" t="n">
        <v>0</v>
      </c>
      <c r="Y374" t="n">
        <v>0</v>
      </c>
      <c r="Z374" t="n">
        <v>0</v>
      </c>
      <c r="AA374" t="n">
        <v>1</v>
      </c>
      <c r="AB374" t="n">
        <v>0</v>
      </c>
      <c r="AC374" t="n">
        <v>0</v>
      </c>
      <c r="AD374" t="n">
        <v>0</v>
      </c>
      <c r="AE374" t="n">
        <v>5</v>
      </c>
      <c r="AF374" t="inlineStr">
        <is>
          <t>R I VAREJISTA E DISTRIBUIDORA LTDA:ME; REFRIGERACAO SOUSA LTDA:ME; A A ROCHA LTDA:ME; EBENEZER COMERCIO DE VARIEDADES LTDA:ME; M C R COMERCIO REPRESENTACOES E SERVICOS LTDA:ME</t>
        </is>
      </c>
      <c r="AH374" t="inlineStr">
        <is>
          <t>pontual</t>
        </is>
      </c>
      <c r="AJ374" t="n">
        <v>0</v>
      </c>
      <c r="AK374" t="n">
        <v>0</v>
      </c>
      <c r="AL374" t="n">
        <v>0</v>
      </c>
      <c r="AM374" t="n">
        <v>0</v>
      </c>
      <c r="AN374" t="n">
        <v>0</v>
      </c>
      <c r="AQ374" t="n">
        <v>0</v>
      </c>
      <c r="AS374" t="inlineStr">
        <is>
          <t>Servico de manutencao preventiva/corretiva multi-equipamento (refrigeracao/climatizacao, eletrodomesticos, cozinha industrial etc.); climatizacao/refrigeracao e parte do escopo, sem motivo de exclusao valido -- incluido, mas nota-se escopo multi-equipamento no texto.</t>
        </is>
      </c>
      <c r="AT374" t="n">
        <v>0</v>
      </c>
      <c r="AU374" t="n">
        <v>1</v>
      </c>
    </row>
    <row r="375">
      <c r="A375" t="inlineStr">
        <is>
          <t>11809185000104_2026_22</t>
        </is>
      </c>
      <c r="B375" s="2" t="inlineStr">
        <is>
          <t>https://pncp.gov.br/app/editais/11809185000104/2026/22</t>
        </is>
      </c>
      <c r="C375" t="inlineStr">
        <is>
          <t>2026-09-27T14:31:43.930484+00:00</t>
        </is>
      </c>
      <c r="D375" t="inlineStr">
        <is>
          <t>GO</t>
        </is>
      </c>
      <c r="E375" t="inlineStr">
        <is>
          <t>GO</t>
        </is>
      </c>
      <c r="F375" t="inlineStr">
        <is>
          <t>Aparecida de Goiânia</t>
        </is>
      </c>
      <c r="G375" t="inlineStr">
        <is>
          <t>FUNDO MUNICIPAL DE SAUDE DE APARECIDA DE GOIANIA</t>
        </is>
      </c>
      <c r="H375" t="inlineStr">
        <is>
          <t>Municipal</t>
        </is>
      </c>
      <c r="I375" t="inlineStr">
        <is>
          <t>2026-05-27T10:04:26</t>
        </is>
      </c>
      <c r="J375" t="inlineStr">
        <is>
          <t>Pregão - Eletrônico</t>
        </is>
      </c>
      <c r="K375" t="inlineStr">
        <is>
          <t>REGISTRO DE PREÇO PARA EVENTUAL CONTRATAÇÃO DE EMPRESA ESPECIALIZADA NA PRESTAÇÃO DE SERVIÇOS DE MANUTENÇÃO CORRETIVA E PREVENTIVA DE EQUIPAMENTOS ODONTOLÓGICOS, COM FORNECIMENTO E SUBSTITUIÇÃO DE PEÇAS E ACESSÓRIOS ORIGINAIS, EXECUÇÃO DE CALIBRAÇÕES E TESTES DE SEGURANÇA ELÉTRICA CONFORME NORMAS VIGENTES, E DISPONIBILIZAÇÃO DE SISTEMA INFORMATIZADO DE GESTÃO TÉCNICA, CONFORME CONDIÇÕES E ESPECIFICAÇÕES ESTABELECIDAS NO EDITAL E SEUS ANEXOS</t>
        </is>
      </c>
      <c r="L375" t="b">
        <v>1</v>
      </c>
      <c r="M375" t="inlineStr">
        <is>
          <t>eletrica_predial</t>
        </is>
      </c>
      <c r="N375" t="inlineStr">
        <is>
          <t>eletrica_predial</t>
        </is>
      </c>
      <c r="O375" t="n">
        <v>1275766.74</v>
      </c>
      <c r="P375" t="n">
        <v>600000</v>
      </c>
      <c r="Q375" t="n">
        <v>1275766.74</v>
      </c>
      <c r="R375" t="n">
        <v>0.5296945897805738</v>
      </c>
      <c r="S375" t="n">
        <v>0</v>
      </c>
      <c r="T375" t="n">
        <v>1</v>
      </c>
      <c r="U375" t="n">
        <v>1</v>
      </c>
      <c r="V375" t="n">
        <v>1</v>
      </c>
      <c r="W375" t="n">
        <v>0</v>
      </c>
      <c r="X375" t="n">
        <v>0</v>
      </c>
      <c r="Y375" t="n">
        <v>0</v>
      </c>
      <c r="Z375" t="n">
        <v>0</v>
      </c>
      <c r="AA375" t="n">
        <v>0</v>
      </c>
      <c r="AB375" t="n">
        <v>0</v>
      </c>
      <c r="AC375" t="n">
        <v>0</v>
      </c>
      <c r="AD375" t="n">
        <v>0</v>
      </c>
      <c r="AE375" t="n">
        <v>1</v>
      </c>
      <c r="AF375" t="inlineStr">
        <is>
          <t>SANTER MED COMERCIO E PRESTACAO DE SERVICOS EM MANUTENCAO DE EQUIPAMENTOS HOSPITALARES EIRELI:Demais</t>
        </is>
      </c>
      <c r="AH375" t="inlineStr">
        <is>
          <t>pontual</t>
        </is>
      </c>
      <c r="AI375" t="n">
        <v>3</v>
      </c>
      <c r="AJ375" t="n">
        <v>0</v>
      </c>
      <c r="AK375" t="n">
        <v>0</v>
      </c>
      <c r="AL375" t="n">
        <v>0</v>
      </c>
      <c r="AM375" t="n">
        <v>1</v>
      </c>
      <c r="AN375" t="n">
        <v>1</v>
      </c>
      <c r="AP375" t="inlineStr">
        <is>
          <t>restação de serviços. 7.5.3. Capacitação técnico-operacional - cuja comprovação se fará através de atestados de capacidade técnica, emitidos por pessoa jurídica de direito público ou privado, em nome da empresa licitante, que comprovem aptidão da licitante para o desempenho de atividades compatíveis…</t>
        </is>
      </c>
      <c r="AQ375" t="n">
        <v>0</v>
      </c>
      <c r="AR375" t="inlineStr">
        <is>
          <t>fora_de_escopo</t>
        </is>
      </c>
      <c r="AS375" t="inlineStr">
        <is>
          <t>Manutencao corretiva/preventiva de equipamentos ODONTOLOGICOS, com fornecimento e substituicao de pecas -- e equipamento medico-odontologico, nao eletrica predial (mesmo padrao do caso ja excluido 01005727000124_2026_158, aparentemente o mesmo objeto republicado).</t>
        </is>
      </c>
      <c r="AT375" t="n">
        <v>0</v>
      </c>
      <c r="AU375" t="n">
        <v>0</v>
      </c>
    </row>
    <row r="376">
      <c r="A376" t="inlineStr">
        <is>
          <t>11877880000103_2026_34</t>
        </is>
      </c>
      <c r="B376" s="2" t="inlineStr">
        <is>
          <t>https://pncp.gov.br/app/editais/11877880000103/2026/34</t>
        </is>
      </c>
      <c r="C376" t="inlineStr">
        <is>
          <t>2026-09-27T14:30:36.090459+00:00</t>
        </is>
      </c>
      <c r="D376" t="inlineStr">
        <is>
          <t>GO</t>
        </is>
      </c>
      <c r="E376" t="inlineStr">
        <is>
          <t>GO</t>
        </is>
      </c>
      <c r="F376" t="inlineStr">
        <is>
          <t>Marzagão</t>
        </is>
      </c>
      <c r="G376" t="inlineStr">
        <is>
          <t>FUNDO MUNICIPAL DE SAUDE DO MUNICIPIO DE MARZAGAO</t>
        </is>
      </c>
      <c r="H376" t="inlineStr">
        <is>
          <t>Municipal</t>
        </is>
      </c>
      <c r="I376" t="inlineStr">
        <is>
          <t>2026-07-03T11:07:30</t>
        </is>
      </c>
      <c r="J376" t="inlineStr">
        <is>
          <t>Pregão - Eletrônico</t>
        </is>
      </c>
      <c r="K376" t="inlineStr">
        <is>
          <t>CONTRATAÇÃO, POR MEIO DE ADESÃO À ATA DE REGISTRO DE PREÇOS Nº 007/2024, DO CONSÓRCIO INTERMUNICIPAL DE SAÚDE VALE DO RIO CUIABÁ, DA EMPRESA DETENTORA DA REFERIDA ATA, PARA O FORNECIMENTO DE SISTEMA DE VÍDEO ENDOSCOPIA, CONFORME ESPECIFICAÇÕES CONSTANTES NO ITEM 132 DA ARP, COMPOSTO POR PROCESSADORA DE IMAGEM, FONTE DE LUZ, MONITOR DE VÍDEO, VÍDEO IMPRESSORA, VÍDEOGASTROSCÓPIO, VIDEOCOLONOSCÓPIO E SISTEMA DE REGISTRO DE IMAGENS POR MEIO DE MONITOR LCD DE 20 POLEGADAS DE ALTA RESOLUÇÃO, COM ALIMENTAÇÃO ELÉTRICA BIVOLT (110V/220V – 60HZ). ACOMPANHAM O EQUIPAMENTO TODOS OS ACESSÓRIOS NECESSÁRIOS AO SEU PLENO E ADEQUADO FUNCIONAMENTO, INCLUINDO MANUAIS DE OPERAÇÃO, GARANTIA, TREINAMENTO DOS USUÁRIOS, INSTALAÇÃO, ASSISTÊNCIA TÉCNICA E DEMAIS ITENS E SERVIÇOS INDISPENSÁVEIS À SUA UTILIZAÇÃO.</t>
        </is>
      </c>
      <c r="L376" t="b">
        <v>1</v>
      </c>
      <c r="M376" t="inlineStr">
        <is>
          <t>eletrica_predial</t>
        </is>
      </c>
      <c r="N376" t="inlineStr">
        <is>
          <t>eletrica_predial</t>
        </is>
      </c>
      <c r="O376" t="n">
        <v>754410.33</v>
      </c>
      <c r="P376" t="n">
        <v>561524.4</v>
      </c>
      <c r="Q376" t="n">
        <v>754410.3300000001</v>
      </c>
      <c r="R376" t="n">
        <v>0.2556777423766188</v>
      </c>
      <c r="S376" t="n">
        <v>0</v>
      </c>
      <c r="T376" t="n">
        <v>4</v>
      </c>
      <c r="U376" t="n">
        <v>4</v>
      </c>
      <c r="V376" t="n">
        <v>4</v>
      </c>
      <c r="W376" t="n">
        <v>0</v>
      </c>
      <c r="X376" t="n">
        <v>0</v>
      </c>
      <c r="Y376" t="n">
        <v>0</v>
      </c>
      <c r="Z376" t="n">
        <v>0</v>
      </c>
      <c r="AA376" t="n">
        <v>0</v>
      </c>
      <c r="AB376" t="n">
        <v>0</v>
      </c>
      <c r="AC376" t="n">
        <v>0</v>
      </c>
      <c r="AD376" t="n">
        <v>0</v>
      </c>
      <c r="AE376" t="n">
        <v>1</v>
      </c>
      <c r="AF376" t="inlineStr">
        <is>
          <t>MAIS MEDICO SAUDE LTDA:Demais</t>
        </is>
      </c>
      <c r="AH376" t="inlineStr">
        <is>
          <t>pontual</t>
        </is>
      </c>
      <c r="AJ376" t="n">
        <v>0</v>
      </c>
      <c r="AK376" t="n">
        <v>0</v>
      </c>
      <c r="AL376" t="n">
        <v>0</v>
      </c>
      <c r="AM376" t="n">
        <v>0</v>
      </c>
      <c r="AN376" t="n">
        <v>0</v>
      </c>
      <c r="AQ376" t="n">
        <v>1</v>
      </c>
      <c r="AR376" t="inlineStr">
        <is>
          <t>fornecimento_puro</t>
        </is>
      </c>
      <c r="AS376" t="inlineStr">
        <is>
          <t>Confirmada exclusao automatica (fornecimento_puro): 4 item(ns), todos classificados como material (sem servico).</t>
        </is>
      </c>
      <c r="AT376" t="n">
        <v>1</v>
      </c>
      <c r="AU376" t="n">
        <v>0</v>
      </c>
    </row>
    <row r="377">
      <c r="A377" t="inlineStr">
        <is>
          <t>11924138000101_2024_540</t>
        </is>
      </c>
      <c r="B377" s="2" t="inlineStr">
        <is>
          <t>https://pncp.gov.br/app/editais/11924138000101/2024/540</t>
        </is>
      </c>
      <c r="C377" t="inlineStr">
        <is>
          <t>2026-09-27T03:29:07.126417+00:00</t>
        </is>
      </c>
      <c r="D377" t="inlineStr">
        <is>
          <t>GO</t>
        </is>
      </c>
      <c r="E377" t="inlineStr">
        <is>
          <t>GO</t>
        </is>
      </c>
      <c r="F377" t="inlineStr">
        <is>
          <t>Mineiros</t>
        </is>
      </c>
      <c r="G377" t="inlineStr">
        <is>
          <t>FUNDO MUNICIPAL DE SAUDE DE MINEIROS</t>
        </is>
      </c>
      <c r="H377" t="inlineStr">
        <is>
          <t>Municipal</t>
        </is>
      </c>
      <c r="I377" t="inlineStr">
        <is>
          <t>2024-11-14T11:10:35</t>
        </is>
      </c>
      <c r="J377" t="inlineStr">
        <is>
          <t>Pregão - Eletrônico</t>
        </is>
      </c>
      <c r="K377" t="inlineStr">
        <is>
          <t>AQUISIÇÃO DE MATERIAIS DE MATERIAIS PARA MANUTENÇÃO PREDIAL (PEQUENOS REPAROS ELÉTRICOS, HIDRÁULICOS, DE ALVENARIA E OUTROS) PARA ATENDER ÀS NECESSIDADES DA SECRETARIA DE SAÚDE E SUAS UNIDADES.</t>
        </is>
      </c>
      <c r="L377" t="b">
        <v>1</v>
      </c>
      <c r="M377" t="inlineStr">
        <is>
          <t>manutencao_predial</t>
        </is>
      </c>
      <c r="N377" t="inlineStr">
        <is>
          <t>manutencao_predial</t>
        </is>
      </c>
      <c r="O377" t="n">
        <v>679895.41</v>
      </c>
      <c r="P377" t="n">
        <v>72757.34999999999</v>
      </c>
      <c r="Q377" t="n">
        <v>85030.80000000002</v>
      </c>
      <c r="R377" t="n">
        <v>0.1443412269436486</v>
      </c>
      <c r="S377" t="n">
        <v>0</v>
      </c>
      <c r="T377" t="n">
        <v>142</v>
      </c>
      <c r="U377" t="n">
        <v>40</v>
      </c>
      <c r="V377" t="n">
        <v>142</v>
      </c>
      <c r="W377" t="n">
        <v>0</v>
      </c>
      <c r="X377" t="n">
        <v>0</v>
      </c>
      <c r="Y377" t="n">
        <v>0</v>
      </c>
      <c r="Z377" t="n">
        <v>0</v>
      </c>
      <c r="AA377" t="n">
        <v>0</v>
      </c>
      <c r="AB377" t="n">
        <v>0</v>
      </c>
      <c r="AC377" t="n">
        <v>0</v>
      </c>
      <c r="AD377" t="n">
        <v>0</v>
      </c>
      <c r="AE377" t="n">
        <v>3</v>
      </c>
      <c r="AF377" t="inlineStr">
        <is>
          <t>AVERTANO MATERIAIS PARA CONSTRUÇÃO LTDA:Não Informado; TECNO COM INFORMATICA LTDA:Não Informado; BORGES RESENDE E RESENDE LTDA:Não Informado</t>
        </is>
      </c>
      <c r="AH377" t="inlineStr">
        <is>
          <t>pontual</t>
        </is>
      </c>
      <c r="AJ377" t="n">
        <v>0</v>
      </c>
      <c r="AK377" t="n">
        <v>0</v>
      </c>
      <c r="AL377" t="n">
        <v>0</v>
      </c>
      <c r="AM377" t="n">
        <v>0</v>
      </c>
      <c r="AN377" t="n">
        <v>0</v>
      </c>
      <c r="AQ377" t="n">
        <v>1</v>
      </c>
      <c r="AR377" t="inlineStr">
        <is>
          <t>fornecimento_puro</t>
        </is>
      </c>
      <c r="AS377" t="inlineStr">
        <is>
          <t>142 item(ns), todos classificados como material (sem servico).</t>
        </is>
      </c>
      <c r="AT377" t="n">
        <v>1</v>
      </c>
      <c r="AU377" t="n">
        <v>0</v>
      </c>
    </row>
    <row r="378">
      <c r="A378" t="inlineStr">
        <is>
          <t>11924138000101_2025_1136</t>
        </is>
      </c>
      <c r="B378" s="2" t="inlineStr">
        <is>
          <t>https://pncp.gov.br/app/editais/11924138000101/2025/1136</t>
        </is>
      </c>
      <c r="C378" t="inlineStr">
        <is>
          <t>2026-09-27T02:59:31.042603+00:00</t>
        </is>
      </c>
      <c r="D378" t="inlineStr">
        <is>
          <t>GO</t>
        </is>
      </c>
      <c r="E378" t="inlineStr">
        <is>
          <t>GO</t>
        </is>
      </c>
      <c r="F378" t="inlineStr">
        <is>
          <t>Mineiros</t>
        </is>
      </c>
      <c r="G378" t="inlineStr">
        <is>
          <t>FUNDO MUNICIPAL DE SAUDE DE MINEIROS</t>
        </is>
      </c>
      <c r="H378" t="inlineStr">
        <is>
          <t>Municipal</t>
        </is>
      </c>
      <c r="I378" t="inlineStr">
        <is>
          <t>2025-07-29T17:26:58</t>
        </is>
      </c>
      <c r="J378" t="inlineStr">
        <is>
          <t>Pregão - Eletrônico</t>
        </is>
      </c>
      <c r="K378" t="inlineStr">
        <is>
          <t>CONTRATAÇÃO DE EMPRESA ESPECIALIZADA EM MANUTENÇÃO PREVENTIVA E CORRETIVA, INSTALAÇÃO E DESINSTALAÇÃO E REPOSIÇÃO DE GÁS DE AR-CONDICIONADO, BEM COMO ELABORAÇÃO DO PLANO DE MANUTENÇÃO, OPERAÇÃO E CONTROLE - PMOC DAS UNIDADES DE SAÚDE DA SECRETARIA MUNICIPAL DE SAÚDE DE MINEIROS-GO.</t>
        </is>
      </c>
      <c r="L378" t="b">
        <v>0</v>
      </c>
      <c r="M378" t="inlineStr">
        <is>
          <t>climatizacao</t>
        </is>
      </c>
      <c r="N378" t="inlineStr">
        <is>
          <t>climatizacao</t>
        </is>
      </c>
      <c r="O378" t="n">
        <v>600071.5</v>
      </c>
      <c r="P378" t="n">
        <v>168100</v>
      </c>
      <c r="Q378" t="n">
        <v>600071.5</v>
      </c>
      <c r="R378" t="n">
        <v>0.7198667158830241</v>
      </c>
      <c r="S378" t="n">
        <v>0</v>
      </c>
      <c r="T378" t="n">
        <v>18</v>
      </c>
      <c r="U378" t="n">
        <v>18</v>
      </c>
      <c r="V378" t="n">
        <v>18</v>
      </c>
      <c r="W378" t="n">
        <v>0</v>
      </c>
      <c r="X378" t="n">
        <v>0</v>
      </c>
      <c r="Y378" t="n">
        <v>0</v>
      </c>
      <c r="Z378" t="n">
        <v>0</v>
      </c>
      <c r="AA378" t="n">
        <v>0</v>
      </c>
      <c r="AB378" t="n">
        <v>0</v>
      </c>
      <c r="AC378" t="n">
        <v>0</v>
      </c>
      <c r="AD378" t="n">
        <v>0</v>
      </c>
      <c r="AE378" t="n">
        <v>1</v>
      </c>
      <c r="AF378" t="inlineStr">
        <is>
          <t>CEMAHR LOGISTICA E SERVICOS LTDA:Demais</t>
        </is>
      </c>
      <c r="AH378" t="inlineStr">
        <is>
          <t>indefinido</t>
        </is>
      </c>
      <c r="AJ378" t="n">
        <v>0</v>
      </c>
      <c r="AK378" t="n">
        <v>0</v>
      </c>
      <c r="AL378" t="n">
        <v>0</v>
      </c>
      <c r="AM378" t="n">
        <v>0</v>
      </c>
      <c r="AN378" t="n">
        <v>0</v>
      </c>
      <c r="AQ378" t="n">
        <v>0</v>
      </c>
      <c r="AS378" t="inlineStr">
        <is>
          <t>heuristica automatica confirmada: servico real de climatizacao, sem sinais de exclusao.</t>
        </is>
      </c>
      <c r="AT378" t="n">
        <v>0</v>
      </c>
      <c r="AU378" t="n">
        <v>1</v>
      </c>
    </row>
    <row r="379">
      <c r="A379" t="inlineStr">
        <is>
          <t>11924138000101_2025_1444</t>
        </is>
      </c>
      <c r="B379" s="2" t="inlineStr">
        <is>
          <t>https://pncp.gov.br/app/editais/11924138000101/2025/1444</t>
        </is>
      </c>
      <c r="C379" t="inlineStr">
        <is>
          <t>2026-09-27T03:17:07.279128+00:00</t>
        </is>
      </c>
      <c r="D379" t="inlineStr">
        <is>
          <t>GO</t>
        </is>
      </c>
      <c r="E379" t="inlineStr">
        <is>
          <t>GO</t>
        </is>
      </c>
      <c r="F379" t="inlineStr">
        <is>
          <t>Mineiros</t>
        </is>
      </c>
      <c r="G379" t="inlineStr">
        <is>
          <t>FUNDO MUNICIPAL DE SAUDE DE MINEIROS</t>
        </is>
      </c>
      <c r="H379" t="inlineStr">
        <is>
          <t>Municipal</t>
        </is>
      </c>
      <c r="I379" t="inlineStr">
        <is>
          <t>2026-01-23T11:35:01</t>
        </is>
      </c>
      <c r="J379" t="inlineStr">
        <is>
          <t>Pregão - Eletrônico</t>
        </is>
      </c>
      <c r="K379" t="inlineStr">
        <is>
          <t>AQUISIÇÃO DE MATERIAIS PARA MANUTENÇÃO PREDIAL (PEQUENOS REPAROS ELÉTRICOS, HIDRÁULICOS, DE ALVENARIA E OUTROS) PARA ATENDER ÀS NECESSIDADES DA SECRETARIA DE SAÚDE E SUAS UNIDADES.</t>
        </is>
      </c>
      <c r="L379" t="b">
        <v>1</v>
      </c>
      <c r="M379" t="inlineStr">
        <is>
          <t>eletrica_predial</t>
        </is>
      </c>
      <c r="N379" t="inlineStr">
        <is>
          <t>eletrica_predial</t>
        </is>
      </c>
      <c r="O379" t="n">
        <v>1478695.88</v>
      </c>
      <c r="P379" t="n">
        <v>107084.7</v>
      </c>
      <c r="Q379" t="n">
        <v>119683.12</v>
      </c>
      <c r="R379" t="n">
        <v>0.1052648025887025</v>
      </c>
      <c r="S379" t="n">
        <v>0</v>
      </c>
      <c r="T379" t="n">
        <v>226</v>
      </c>
      <c r="U379" t="n">
        <v>40</v>
      </c>
      <c r="V379" t="n">
        <v>217</v>
      </c>
      <c r="W379" t="n">
        <v>0</v>
      </c>
      <c r="X379" t="n">
        <v>0</v>
      </c>
      <c r="Y379" t="n">
        <v>0</v>
      </c>
      <c r="Z379" t="n">
        <v>0</v>
      </c>
      <c r="AA379" t="n">
        <v>0</v>
      </c>
      <c r="AB379" t="n">
        <v>0</v>
      </c>
      <c r="AC379" t="n">
        <v>0</v>
      </c>
      <c r="AD379" t="n">
        <v>0</v>
      </c>
      <c r="AE379" t="n">
        <v>1</v>
      </c>
      <c r="AF379" t="inlineStr">
        <is>
          <t>BORGES RESENDE E RESENDE LTDA - ME:Demais</t>
        </is>
      </c>
      <c r="AH379" t="inlineStr">
        <is>
          <t>pontual</t>
        </is>
      </c>
      <c r="AI379" t="n">
        <v>12</v>
      </c>
      <c r="AJ379" t="n">
        <v>0</v>
      </c>
      <c r="AK379" t="n">
        <v>0</v>
      </c>
      <c r="AL379" t="n">
        <v>0</v>
      </c>
      <c r="AM379" t="n">
        <v>0</v>
      </c>
      <c r="AN379" t="n">
        <v>0</v>
      </c>
      <c r="AP379" t="inlineStr">
        <is>
          <t>1. As licitantes deverão apresentar a seguinte documentação para fins de qualificação técnica: a) ATESTADO DE CAPACIDADE TÉCNICA , no mínimo 01 (um), emitido por Pessoa Jurídica de Direito Público (que preferencialmente não seja o órgão contratante ) ou Privado, em papel timbrado, assinado e datado,…</t>
        </is>
      </c>
      <c r="AQ379" t="n">
        <v>0.9981795445321726</v>
      </c>
      <c r="AR379" t="inlineStr">
        <is>
          <t>equipamento_alto</t>
        </is>
      </c>
      <c r="AS379" t="inlineStr">
        <is>
          <t>Confirmada exclusao automatica (equipamento_alto): fracao estimada em itens de material = 100% (&gt; 40%).</t>
        </is>
      </c>
      <c r="AT379" t="n">
        <v>0</v>
      </c>
      <c r="AU379" t="n">
        <v>0</v>
      </c>
    </row>
    <row r="380">
      <c r="A380" t="inlineStr">
        <is>
          <t>12053489000149_2025_139</t>
        </is>
      </c>
      <c r="B380" s="2" t="inlineStr">
        <is>
          <t>https://pncp.gov.br/app/editais/12053489000149/2025/139</t>
        </is>
      </c>
      <c r="C380" t="inlineStr">
        <is>
          <t>2026-09-27T02:42:41.308177+00:00</t>
        </is>
      </c>
      <c r="D380" t="inlineStr">
        <is>
          <t>GO</t>
        </is>
      </c>
      <c r="E380" t="inlineStr">
        <is>
          <t>GO</t>
        </is>
      </c>
      <c r="F380" t="inlineStr">
        <is>
          <t>Jataí</t>
        </is>
      </c>
      <c r="G380" t="inlineStr">
        <is>
          <t>FUNDO MUNICIPAL DE SAUDE</t>
        </is>
      </c>
      <c r="H380" t="inlineStr">
        <is>
          <t>Municipal</t>
        </is>
      </c>
      <c r="I380" t="inlineStr">
        <is>
          <t>2025-11-19T08:19:24</t>
        </is>
      </c>
      <c r="J380" t="inlineStr">
        <is>
          <t>Pregão - Eletrônico</t>
        </is>
      </c>
      <c r="K380" t="inlineStr">
        <is>
          <t>[Portal de Compras Públicas] - Contratação através de Pregão Eletrônico sistema de registro de preços do tipo menor preço Global, de empresa especializada para executar os serviços de: Manutenção Corretiva e Preventiva, Instalação, Remoção, Recarga de Gás, Fornecimento de Peças e Materiais para Aparelhos de Ares-Condicionados, Cortinas de Ar e demais itens Correlatos, que faz-se necessária, bem como elaboração de PMOC – Plano de Manutenção, Operação e Controle dos Aparelhos de Ares-Condicionados e Cortinas de ar existentes em todas as Unidades de Saúde sob a Gestão e Responsabilidade da Secretaria Municipal da Saúde de Jataí-GO</t>
        </is>
      </c>
      <c r="L380" t="b">
        <v>1</v>
      </c>
      <c r="M380" t="inlineStr">
        <is>
          <t>climatizacao</t>
        </is>
      </c>
      <c r="N380" t="inlineStr">
        <is>
          <t>climatizacao</t>
        </is>
      </c>
      <c r="O380" t="n">
        <v>623180.1</v>
      </c>
      <c r="P380" t="n">
        <v>522869.5</v>
      </c>
      <c r="Q380" t="n">
        <v>623180.1</v>
      </c>
      <c r="R380" t="n">
        <v>0.160965666265659</v>
      </c>
      <c r="S380" t="n">
        <v>0</v>
      </c>
      <c r="T380" t="n">
        <v>158</v>
      </c>
      <c r="U380" t="n">
        <v>13</v>
      </c>
      <c r="V380" t="n">
        <v>13</v>
      </c>
      <c r="W380" t="n">
        <v>0</v>
      </c>
      <c r="X380" t="n">
        <v>0</v>
      </c>
      <c r="Y380" t="n">
        <v>0</v>
      </c>
      <c r="Z380" t="n">
        <v>0</v>
      </c>
      <c r="AA380" t="n">
        <v>0</v>
      </c>
      <c r="AB380" t="n">
        <v>0</v>
      </c>
      <c r="AC380" t="n">
        <v>0</v>
      </c>
      <c r="AD380" t="n">
        <v>0</v>
      </c>
      <c r="AE380" t="n">
        <v>1</v>
      </c>
      <c r="AF380" t="inlineStr">
        <is>
          <t>27.687.501 LUCIONEI SOARES:ME</t>
        </is>
      </c>
      <c r="AH380" t="inlineStr">
        <is>
          <t>pontual</t>
        </is>
      </c>
      <c r="AJ380" t="n">
        <v>0</v>
      </c>
      <c r="AK380" t="n">
        <v>0</v>
      </c>
      <c r="AL380" t="n">
        <v>0</v>
      </c>
      <c r="AM380" t="n">
        <v>0</v>
      </c>
      <c r="AN380" t="n">
        <v>0</v>
      </c>
      <c r="AQ380" t="n">
        <v>1</v>
      </c>
      <c r="AS380" t="inlineStr">
        <is>
          <t>servico de manutencao/instalacao/recarga de gas/PMOC para toda rede de saude do municipio = servico continuado classico da area.</t>
        </is>
      </c>
      <c r="AT380" t="n">
        <v>1</v>
      </c>
      <c r="AU380" t="n">
        <v>1</v>
      </c>
    </row>
    <row r="381">
      <c r="A381" t="inlineStr">
        <is>
          <t>12053489000149_2026_158</t>
        </is>
      </c>
      <c r="B381" s="2" t="inlineStr">
        <is>
          <t>https://pncp.gov.br/app/editais/12053489000149/2026/158</t>
        </is>
      </c>
      <c r="C381" t="inlineStr">
        <is>
          <t>2026-09-27T03:32:36.668294+00:00</t>
        </is>
      </c>
      <c r="D381" t="inlineStr">
        <is>
          <t>GO</t>
        </is>
      </c>
      <c r="E381" t="inlineStr">
        <is>
          <t>GO</t>
        </is>
      </c>
      <c r="F381" t="inlineStr">
        <is>
          <t>Jataí</t>
        </is>
      </c>
      <c r="G381" t="inlineStr">
        <is>
          <t>FUNDO MUNICIPAL DE SAUDE</t>
        </is>
      </c>
      <c r="H381" t="inlineStr">
        <is>
          <t>Municipal</t>
        </is>
      </c>
      <c r="I381" t="inlineStr">
        <is>
          <t>2026-08-06T16:22:12</t>
        </is>
      </c>
      <c r="J381" t="inlineStr">
        <is>
          <t>Pregão - Eletrônico</t>
        </is>
      </c>
      <c r="K381" t="inlineStr">
        <is>
          <t>[Portal de Compras Públicas] - Contratação via Pregão Eletrônico, Sistema Registro de Preços, do tipo menor preço por GRUPO, de empresa do ramo visando à aquisição de material elétrico eletrônico, material farmacológico, material e equipamento médico hospitalar e correlatos para atender as necessidades da Secretaria de Saúde de Jataí – Goiás</t>
        </is>
      </c>
      <c r="L381" t="b">
        <v>1</v>
      </c>
      <c r="M381" t="inlineStr">
        <is>
          <t>eletrica_predial</t>
        </is>
      </c>
      <c r="N381" t="inlineStr">
        <is>
          <t>eletrica_predial</t>
        </is>
      </c>
      <c r="O381" t="n">
        <v>22125644.58</v>
      </c>
      <c r="S381" t="n">
        <v>0</v>
      </c>
      <c r="T381" t="n">
        <v>913</v>
      </c>
      <c r="U381" t="n">
        <v>0</v>
      </c>
      <c r="V381" t="n">
        <v>0</v>
      </c>
      <c r="W381" t="n">
        <v>306</v>
      </c>
      <c r="X381" t="n">
        <v>85</v>
      </c>
      <c r="Y381" t="n">
        <v>0</v>
      </c>
      <c r="Z381" t="n">
        <v>1</v>
      </c>
      <c r="AA381" t="n">
        <v>0</v>
      </c>
      <c r="AB381" t="n">
        <v>0</v>
      </c>
      <c r="AC381" t="n">
        <v>0</v>
      </c>
      <c r="AD381" t="n">
        <v>0</v>
      </c>
      <c r="AE381" t="n">
        <v>0</v>
      </c>
      <c r="AF381" t="inlineStr"/>
      <c r="AH381" t="inlineStr">
        <is>
          <t>pontual</t>
        </is>
      </c>
      <c r="AI381" t="n">
        <v>12</v>
      </c>
      <c r="AJ381" t="n">
        <v>0</v>
      </c>
      <c r="AK381" t="n">
        <v>0</v>
      </c>
      <c r="AL381" t="n">
        <v>0</v>
      </c>
      <c r="AM381" t="n">
        <v>1</v>
      </c>
      <c r="AN381" t="n">
        <v>0</v>
      </c>
      <c r="AP381" t="inlineStr">
        <is>
          <t>endo ser fornecidos de forma parcelada durante a vigência da Ata de Registro de Preço, não havendo quantitativo mínimo de pedidos, sendo que as entregas dev erão ser realizadas no seguinte endereço: 7.1.1. Av. Veriano de Oliveira Lima, nº37, Lote I 1A; quadra CHA 7, Vila Olavo, CEP.: 75.804 - 011, c…</t>
        </is>
      </c>
      <c r="AQ381" t="n">
        <v>1</v>
      </c>
      <c r="AR381" t="inlineStr">
        <is>
          <t>fornecimento_puro</t>
        </is>
      </c>
      <c r="AS381" t="inlineStr">
        <is>
          <t>Confirmada exclusao automatica (fornecimento_puro): 913 item(ns), todos classificados como material (sem servico).</t>
        </is>
      </c>
      <c r="AT381" t="n">
        <v>0</v>
      </c>
      <c r="AU381" t="n">
        <v>0</v>
      </c>
    </row>
    <row r="382">
      <c r="A382" t="inlineStr">
        <is>
          <t>12333051000114_2026_16</t>
        </is>
      </c>
      <c r="B382" s="2" t="inlineStr">
        <is>
          <t>https://pncp.gov.br/app/editais/12333051000114/2026/16</t>
        </is>
      </c>
      <c r="C382" t="inlineStr">
        <is>
          <t>2026-09-27T05:47:35.480272+00:00</t>
        </is>
      </c>
      <c r="D382" t="inlineStr">
        <is>
          <t>MG</t>
        </is>
      </c>
      <c r="E382" t="inlineStr">
        <is>
          <t>vizinhos</t>
        </is>
      </c>
      <c r="F382" t="inlineStr">
        <is>
          <t>Janaúba</t>
        </is>
      </c>
      <c r="G382" t="inlineStr">
        <is>
          <t>CONSORCIO INTERMUNICIPAL DE DESENVOLVIMENTO SUSTENTAVEL DA MICRORREGIAO DA SERRA GERAL DE MINAS - UNIAO DA SERRA GERAL</t>
        </is>
      </c>
      <c r="H382" t="inlineStr">
        <is>
          <t>Não se aplica</t>
        </is>
      </c>
      <c r="I382" t="inlineStr">
        <is>
          <t>2026-09-24T14:25:16</t>
        </is>
      </c>
      <c r="J382" t="inlineStr">
        <is>
          <t>Pregão - Eletrônico</t>
        </is>
      </c>
      <c r="K382" t="inlineStr">
        <is>
          <t>[Portal de Compras Públicas] - Registro de Preços para futura e eventual aquisição, por lotes, de insumos, materiais de construção, agregados minerais, materiais hidráulicos e elétricos, ferragens, ferramentas, equipamentos e materiais de cercamento, destinados à manutenção preventiva e corretiva das estruturas, instalações, equipamentos e sistemas operacionais do Aterro Sanitário Regional da Serra Geral, conforme especificações, quantitativos e condições estabelecidos no Edital e seus anexos.</t>
        </is>
      </c>
      <c r="L382" t="b">
        <v>0</v>
      </c>
      <c r="M382" t="inlineStr">
        <is>
          <t>eletrica_predial</t>
        </is>
      </c>
      <c r="N382" t="inlineStr">
        <is>
          <t>eletrica_predial</t>
        </is>
      </c>
      <c r="O382" t="n">
        <v>583078.95</v>
      </c>
      <c r="P382" t="n">
        <v>867782.7000000001</v>
      </c>
      <c r="Q382" t="n">
        <v>583078.9500000001</v>
      </c>
      <c r="R382" t="n">
        <v>-0.4882765042619043</v>
      </c>
      <c r="S382" t="n">
        <v>1</v>
      </c>
      <c r="T382" t="n">
        <v>31</v>
      </c>
      <c r="U382" t="n">
        <v>31</v>
      </c>
      <c r="V382" t="n">
        <v>31</v>
      </c>
      <c r="W382" t="n">
        <v>0</v>
      </c>
      <c r="X382" t="n">
        <v>0</v>
      </c>
      <c r="Y382" t="n">
        <v>0</v>
      </c>
      <c r="Z382" t="n">
        <v>0</v>
      </c>
      <c r="AA382" t="n">
        <v>0</v>
      </c>
      <c r="AB382" t="n">
        <v>0</v>
      </c>
      <c r="AC382" t="n">
        <v>0</v>
      </c>
      <c r="AD382" t="n">
        <v>0</v>
      </c>
      <c r="AE382" t="n">
        <v>2</v>
      </c>
      <c r="AF382" t="inlineStr">
        <is>
          <t>A CONSTRUJAN LTDA:Demais; W BRITO FERRAMENTAS LTDA:ME</t>
        </is>
      </c>
      <c r="AH382" t="inlineStr">
        <is>
          <t>pontual</t>
        </is>
      </c>
      <c r="AJ382" t="n">
        <v>0</v>
      </c>
      <c r="AK382" t="n">
        <v>0</v>
      </c>
      <c r="AL382" t="n">
        <v>0</v>
      </c>
      <c r="AM382" t="n">
        <v>0</v>
      </c>
      <c r="AN382" t="n">
        <v>0</v>
      </c>
      <c r="AQ382" t="n">
        <v>1</v>
      </c>
      <c r="AR382" t="inlineStr">
        <is>
          <t>fornecimento_puro</t>
        </is>
      </c>
      <c r="AS382" t="inlineStr">
        <is>
          <t>Confirmada exclusao automatica (fornecimento_puro): 31 item(ns), todos classificados como material (sem servico).</t>
        </is>
      </c>
      <c r="AT382" t="n">
        <v>1</v>
      </c>
      <c r="AU382" t="n">
        <v>0</v>
      </c>
    </row>
    <row r="383">
      <c r="A383" t="inlineStr">
        <is>
          <t>12560864000147_2026_16</t>
        </is>
      </c>
      <c r="B383" s="2" t="inlineStr">
        <is>
          <t>https://pncp.gov.br/app/editais/12560864000147/2026/16</t>
        </is>
      </c>
      <c r="C383" t="inlineStr">
        <is>
          <t>2026-09-27T02:35:06.738958+00:00</t>
        </is>
      </c>
      <c r="D383" t="inlineStr">
        <is>
          <t>GO</t>
        </is>
      </c>
      <c r="E383" t="inlineStr">
        <is>
          <t>GO</t>
        </is>
      </c>
      <c r="F383" t="inlineStr">
        <is>
          <t>Águas Lindas de Goiás</t>
        </is>
      </c>
      <c r="G383" t="inlineStr">
        <is>
          <t>FUNDO MUNICIPAL DE ASSISTENCIA SOCIAL</t>
        </is>
      </c>
      <c r="H383" t="inlineStr">
        <is>
          <t>Municipal</t>
        </is>
      </c>
      <c r="I383" t="inlineStr">
        <is>
          <t>2026-06-08T14:17:52</t>
        </is>
      </c>
      <c r="J383" t="inlineStr">
        <is>
          <t>Pregão - Eletrônico</t>
        </is>
      </c>
      <c r="K383" t="inlineStr">
        <is>
          <t>REGISTRO DE PREÇOS PARA FUTURA E EVENTUAL AQUISIÇÃO DE EQUIPAMENTOS DE INFORMÁTICA, PERIFÉRICOS, AR CONDICIONADO, ELETROELETRÔNICOS, MATERIAIS PARA PROCESSAMENTOS DE DADOS, APARELHOS E EQUIPAMENTOS DE COMUNICAÇÃO E EQUIPAMENTOS PARA ÁUDIO E VÍDEO PARA ATENDER AS NECESSIDADES DAS UNIDADES DA SECRETARIA MUNICIPAL DE ASSISTÊNCIA SOCIAL, CONFORME AS ESPECIFICAÇÕES E OS QUANTITATIVOS CONTIDOS NO TERMO DE REFERÊNCIA.</t>
        </is>
      </c>
      <c r="L383" t="b">
        <v>1</v>
      </c>
      <c r="M383" t="inlineStr">
        <is>
          <t>climatizacao</t>
        </is>
      </c>
      <c r="N383" t="inlineStr">
        <is>
          <t>climatizacao</t>
        </is>
      </c>
      <c r="O383" t="n">
        <v>788204.79</v>
      </c>
      <c r="P383" t="n">
        <v>628135.65</v>
      </c>
      <c r="Q383" t="n">
        <v>788204.7899999998</v>
      </c>
      <c r="R383" t="n">
        <v>0.2030806486217878</v>
      </c>
      <c r="S383" t="n">
        <v>0</v>
      </c>
      <c r="T383" t="n">
        <v>19</v>
      </c>
      <c r="U383" t="n">
        <v>19</v>
      </c>
      <c r="V383" t="n">
        <v>19</v>
      </c>
      <c r="W383" t="n">
        <v>0</v>
      </c>
      <c r="X383" t="n">
        <v>0</v>
      </c>
      <c r="Y383" t="n">
        <v>0</v>
      </c>
      <c r="Z383" t="n">
        <v>0</v>
      </c>
      <c r="AA383" t="n">
        <v>0</v>
      </c>
      <c r="AB383" t="n">
        <v>0</v>
      </c>
      <c r="AC383" t="n">
        <v>0</v>
      </c>
      <c r="AD383" t="n">
        <v>0</v>
      </c>
      <c r="AE383" t="n">
        <v>15</v>
      </c>
      <c r="AF383" t="inlineStr">
        <is>
          <t>VIA LUMEN'S AUDIO, VIDEO E INFORMATICA LTDA:Demais; VERTYS SOLAR LTDA:Demais; FELIPE ALTAMIRO ESPINDOLA:Demais; MSI COMERCIO E SERVICOS LTDA:Demais; GDA SOLUCOES EM INFORMATICA LTDA.:Demais; T L SOLUCOES TECNOLOGICAS LTDA:Demais; HABITUS DIGITAL COMERCIAL LTDA:Demais; MASTER DISTRIBUIDORA DE ALIMENTOS E OUTROS LTDA:Demais; AUZEC &amp; ARIOSI COMERCIO DE EQUIPAMENTOS DE INFORMATICA LTDA:Demais; 59.713.882 EDGLEISON SOUZA FERNANDES:Demais; NOVO HORIZONTE COMERCIO E SERVICOS LTDA:Demais; PUBLITEK TI TECNOLOGIA LTDA:Demais; HD COMERCIO ELETRONICO LTDA:Demais; MF COMERCIO DE MATERIAIS DE CONSTRUCAO LTDA:Demais; ROCAS PRODUTOS DE INFORMÁTICA SERVIÇO LTDA:Demais</t>
        </is>
      </c>
      <c r="AH383" t="inlineStr">
        <is>
          <t>pontual</t>
        </is>
      </c>
      <c r="AI383" t="n">
        <v>12</v>
      </c>
      <c r="AJ383" t="n">
        <v>0</v>
      </c>
      <c r="AK383" t="n">
        <v>0</v>
      </c>
      <c r="AL383" t="n">
        <v>0</v>
      </c>
      <c r="AM383" t="n">
        <v>0</v>
      </c>
      <c r="AN383" t="n">
        <v>0</v>
      </c>
      <c r="AP383" t="inlineStr">
        <is>
          <t>rá se referir à sede da licitante. IV. QUALIFICAÇÃO TÉCNICA: a) Apresentação de declaração ou atestado de capacidade técnica -operacional emitido por pessoa jurídica de direito público ou privado, que comprove aptidão para desempenho de atividade pertinente e compatível com o objeto da licitação, re…</t>
        </is>
      </c>
      <c r="AQ383" t="n">
        <v>0.01987376910003301</v>
      </c>
      <c r="AS383" t="inlineStr">
        <is>
          <t>heuristica automatica confirmada: servico real de climatizacao, sem sinais de exclusao.</t>
        </is>
      </c>
      <c r="AT383" t="n">
        <v>0</v>
      </c>
      <c r="AU383" t="n">
        <v>1</v>
      </c>
    </row>
    <row r="384">
      <c r="A384" t="inlineStr">
        <is>
          <t>12600146000157_2026_37</t>
        </is>
      </c>
      <c r="B384" s="2" t="inlineStr">
        <is>
          <t>https://pncp.gov.br/app/editais/12600146000157/2026/37</t>
        </is>
      </c>
      <c r="C384" t="inlineStr">
        <is>
          <t>2026-09-27T05:22:02.790185+00:00</t>
        </is>
      </c>
      <c r="D384" t="inlineStr">
        <is>
          <t>MS</t>
        </is>
      </c>
      <c r="E384" t="inlineStr">
        <is>
          <t>vizinhos</t>
        </is>
      </c>
      <c r="F384" t="inlineStr">
        <is>
          <t>Nova Andradina</t>
        </is>
      </c>
      <c r="G384" t="inlineStr">
        <is>
          <t>FUNDACAO SERVICOS DE SAUDE DE NOVA ANDRADINA</t>
        </is>
      </c>
      <c r="H384" t="inlineStr">
        <is>
          <t>Municipal</t>
        </is>
      </c>
      <c r="I384" t="inlineStr">
        <is>
          <t>2026-05-28T10:06:28</t>
        </is>
      </c>
      <c r="J384" t="inlineStr">
        <is>
          <t>Pregão - Eletrônico</t>
        </is>
      </c>
      <c r="K384" t="inlineStr">
        <is>
          <t>CONTRATAÇÃO DE EMPRESA ESPECIALIZADA PARA A PRESTAÇÃO DE SERVIÇOS EM MANUTENÇÃO DE EQUIPAMENTOS DE AR CONDICIONADO, INCLUSO A DISPONIBILIZAÇÃO DE PEÇAS, PARA ATENDER A DEMANDA DA FUNDAÇÃO SERVIÇOS DE SAÚDE DE NOVA ANDRADINA-FUNSAU/NA</t>
        </is>
      </c>
      <c r="L384" t="b">
        <v>1</v>
      </c>
      <c r="M384" t="inlineStr">
        <is>
          <t>climatizacao</t>
        </is>
      </c>
      <c r="N384" t="inlineStr">
        <is>
          <t>climatizacao</t>
        </is>
      </c>
      <c r="O384" t="n">
        <v>501559.58</v>
      </c>
      <c r="P384" t="n">
        <v>39372.70000000001</v>
      </c>
      <c r="Q384" t="n">
        <v>43376.46</v>
      </c>
      <c r="R384" t="n">
        <v>0.09230259915170576</v>
      </c>
      <c r="S384" t="n">
        <v>0</v>
      </c>
      <c r="T384" t="n">
        <v>270</v>
      </c>
      <c r="U384" t="n">
        <v>40</v>
      </c>
      <c r="V384" t="n">
        <v>270</v>
      </c>
      <c r="W384" t="n">
        <v>0</v>
      </c>
      <c r="X384" t="n">
        <v>0</v>
      </c>
      <c r="Y384" t="n">
        <v>0</v>
      </c>
      <c r="Z384" t="n">
        <v>0</v>
      </c>
      <c r="AA384" t="n">
        <v>0</v>
      </c>
      <c r="AB384" t="n">
        <v>0</v>
      </c>
      <c r="AC384" t="n">
        <v>0</v>
      </c>
      <c r="AD384" t="n">
        <v>0</v>
      </c>
      <c r="AE384" t="n">
        <v>1</v>
      </c>
      <c r="AF384" t="inlineStr">
        <is>
          <t>DAF AR CONDICIONADO E ELÉTRICA LTDA:ME</t>
        </is>
      </c>
      <c r="AH384" t="inlineStr">
        <is>
          <t>indefinido</t>
        </is>
      </c>
      <c r="AJ384" t="n">
        <v>0</v>
      </c>
      <c r="AK384" t="n">
        <v>0</v>
      </c>
      <c r="AL384" t="n">
        <v>0</v>
      </c>
      <c r="AM384" t="n">
        <v>0</v>
      </c>
      <c r="AN384" t="n">
        <v>0</v>
      </c>
      <c r="AQ384" t="n">
        <v>0</v>
      </c>
      <c r="AS384" t="inlineStr">
        <is>
          <t>heuristica automatica confirmada: servico real de climatizacao, sem sinais de exclusao.</t>
        </is>
      </c>
      <c r="AT384" t="n">
        <v>0</v>
      </c>
      <c r="AU384" t="n">
        <v>1</v>
      </c>
    </row>
    <row r="385">
      <c r="A385" t="inlineStr">
        <is>
          <t>12775985000106_2026_4</t>
        </is>
      </c>
      <c r="B385" s="2" t="inlineStr">
        <is>
          <t>https://pncp.gov.br/app/editais/12775985000106/2026/4</t>
        </is>
      </c>
      <c r="C385" t="inlineStr">
        <is>
          <t>2026-09-27T05:31:53.196725+00:00</t>
        </is>
      </c>
      <c r="D385" t="inlineStr">
        <is>
          <t>TO</t>
        </is>
      </c>
      <c r="E385" t="inlineStr">
        <is>
          <t>vizinhos</t>
        </is>
      </c>
      <c r="F385" t="inlineStr">
        <is>
          <t>Campos Lindos</t>
        </is>
      </c>
      <c r="G385" t="inlineStr">
        <is>
          <t>FUNDO MUNICIPAL DE SAUDE DE CAMPOS LINDOS</t>
        </is>
      </c>
      <c r="H385" t="inlineStr">
        <is>
          <t>Municipal</t>
        </is>
      </c>
      <c r="I385" t="inlineStr">
        <is>
          <t>2026-06-09T09:43:37</t>
        </is>
      </c>
      <c r="J385" t="inlineStr">
        <is>
          <t>Pregão - Eletrônico</t>
        </is>
      </c>
      <c r="K385" t="inlineStr">
        <is>
          <t>CONTRATAÇÃO DE EMPRESA PARA PRESTAÇÃO DE SERVIÇOS DE LIMPEZA E MANUTENÇÃO DE AR CONDICIONADO, DE INTERESSE DO FUNDO MUNICIPAL DE SAUDE DE CAMPOS LINDOS.</t>
        </is>
      </c>
      <c r="L385" t="b">
        <v>1</v>
      </c>
      <c r="M385" t="inlineStr">
        <is>
          <t>climatizacao</t>
        </is>
      </c>
      <c r="N385" t="inlineStr">
        <is>
          <t>climatizacao</t>
        </is>
      </c>
      <c r="O385" t="n">
        <v>117508.93</v>
      </c>
      <c r="P385" t="n">
        <v>117508.93</v>
      </c>
      <c r="Q385" t="n">
        <v>117508.93</v>
      </c>
      <c r="R385" t="n">
        <v>0</v>
      </c>
      <c r="S385" t="n">
        <v>0</v>
      </c>
      <c r="T385" t="n">
        <v>7</v>
      </c>
      <c r="U385" t="n">
        <v>7</v>
      </c>
      <c r="V385" t="n">
        <v>7</v>
      </c>
      <c r="W385" t="n">
        <v>0</v>
      </c>
      <c r="X385" t="n">
        <v>0</v>
      </c>
      <c r="Y385" t="n">
        <v>0</v>
      </c>
      <c r="Z385" t="n">
        <v>0</v>
      </c>
      <c r="AA385" t="n">
        <v>0</v>
      </c>
      <c r="AB385" t="n">
        <v>0</v>
      </c>
      <c r="AC385" t="n">
        <v>0</v>
      </c>
      <c r="AD385" t="n">
        <v>0</v>
      </c>
      <c r="AE385" t="n">
        <v>1</v>
      </c>
      <c r="AF385" t="inlineStr">
        <is>
          <t>RENOVAR COMERCIO E SERVICOS:EPP</t>
        </is>
      </c>
      <c r="AH385" t="inlineStr">
        <is>
          <t>indefinido</t>
        </is>
      </c>
      <c r="AJ385" t="n">
        <v>0</v>
      </c>
      <c r="AK385" t="n">
        <v>0</v>
      </c>
      <c r="AL385" t="n">
        <v>0</v>
      </c>
      <c r="AM385" t="n">
        <v>0</v>
      </c>
      <c r="AN385" t="n">
        <v>0</v>
      </c>
      <c r="AQ385" t="n">
        <v>1</v>
      </c>
      <c r="AS385" t="inlineStr">
        <is>
          <t>Servico de limpeza e manutencao de ar condicionado; itens mal cadastrados como Material pelo orgao (heuristica automatica reagiu a isso).</t>
        </is>
      </c>
      <c r="AT385" t="n">
        <v>1</v>
      </c>
      <c r="AU385" t="n">
        <v>1</v>
      </c>
    </row>
    <row r="386">
      <c r="A386" t="inlineStr">
        <is>
          <t>13842783000100_2026_15</t>
        </is>
      </c>
      <c r="B386" s="2" t="inlineStr">
        <is>
          <t>https://pncp.gov.br/app/editais/13842783000100/2026/15</t>
        </is>
      </c>
      <c r="C386" t="inlineStr">
        <is>
          <t>2026-09-27T14:30:43.955204+00:00</t>
        </is>
      </c>
      <c r="D386" t="inlineStr">
        <is>
          <t>GO</t>
        </is>
      </c>
      <c r="E386" t="inlineStr">
        <is>
          <t>GO</t>
        </is>
      </c>
      <c r="F386" t="inlineStr">
        <is>
          <t>Taquaral de Goiás</t>
        </is>
      </c>
      <c r="G386" t="inlineStr">
        <is>
          <t>FUNDO MUNICIPAL DE ASSISTENCIA SOCIAL FMAS</t>
        </is>
      </c>
      <c r="H386" t="inlineStr">
        <is>
          <t>Municipal</t>
        </is>
      </c>
      <c r="I386" t="inlineStr">
        <is>
          <t>2026-06-19T14:59:49</t>
        </is>
      </c>
      <c r="J386" t="inlineStr">
        <is>
          <t>Concorrência - Presencial</t>
        </is>
      </c>
      <c r="K386" t="inlineStr">
        <is>
          <t xml:space="preserve">SOLICITO CONTRATAÇÃO DE EMPRESA ESPECIALIZADA  EM ENGENHARIA DA OBRA DE REFORMA,ADEQUAÇAO E AMPLIAÇAO DO CENTRO DE REFERENCIA DE ASSISTENCIA SOCIAL(CRAS) DESTE MUNICIPIO TAQUARAL DE GOIÁS LOCALIZADO NA RUA: MOREIRA COELHO; QD:14; LT: SETOR: CENTRAL; CEP:76640-030 COMPREENDENDO QUE O FORNECIMENTO DE MATERIAIS, EQUIPAMENTOS, MAO DE OBRA,INSTALAÇOES ELETRICAS E HIDRÁULICA,TESTES OPERACIONAIS E ENTREGAR FINAL DA OBRA, EM CONFORMIDADE COM O MEMORIAL DESCRITIVO,PLANILHA, ORÇAMENTÁRIA E CRONOGRAMA FÍSICO-FINANCEIRO. EQUIPA SOCIAL - CONFINANCIAMENTO EXTRAORDINARIO NO VALOR DE R$ 250.000,00 (DUZENTOS E CINQUENTA MIL REAIS). </t>
        </is>
      </c>
      <c r="L386" t="b">
        <v>0</v>
      </c>
      <c r="M386" t="inlineStr">
        <is>
          <t>eletrica_predial</t>
        </is>
      </c>
      <c r="N386" t="inlineStr">
        <is>
          <t>eletrica_predial</t>
        </is>
      </c>
      <c r="O386" t="n">
        <v>235888.54</v>
      </c>
      <c r="P386" t="n">
        <v>235888.54</v>
      </c>
      <c r="Q386" t="n">
        <v>235888.54</v>
      </c>
      <c r="R386" t="n">
        <v>0</v>
      </c>
      <c r="S386" t="n">
        <v>0</v>
      </c>
      <c r="T386" t="n">
        <v>1</v>
      </c>
      <c r="U386" t="n">
        <v>1</v>
      </c>
      <c r="V386" t="n">
        <v>1</v>
      </c>
      <c r="W386" t="n">
        <v>0</v>
      </c>
      <c r="X386" t="n">
        <v>0</v>
      </c>
      <c r="Y386" t="n">
        <v>0</v>
      </c>
      <c r="Z386" t="n">
        <v>0</v>
      </c>
      <c r="AA386" t="n">
        <v>0</v>
      </c>
      <c r="AB386" t="n">
        <v>0</v>
      </c>
      <c r="AC386" t="n">
        <v>0</v>
      </c>
      <c r="AD386" t="n">
        <v>0</v>
      </c>
      <c r="AE386" t="n">
        <v>1</v>
      </c>
      <c r="AF386" t="inlineStr">
        <is>
          <t>ARGIO CONSTRUTORA E PRESTADORA DE SERVIÇO LTDA:ME</t>
        </is>
      </c>
      <c r="AH386" t="inlineStr">
        <is>
          <t>pontual</t>
        </is>
      </c>
      <c r="AJ386" t="n">
        <v>0</v>
      </c>
      <c r="AK386" t="n">
        <v>0</v>
      </c>
      <c r="AL386" t="n">
        <v>0</v>
      </c>
      <c r="AM386" t="n">
        <v>0</v>
      </c>
      <c r="AN386" t="n">
        <v>0</v>
      </c>
      <c r="AQ386" t="n">
        <v>1</v>
      </c>
      <c r="AR386" t="inlineStr">
        <is>
          <t>fornecimento_puro</t>
        </is>
      </c>
      <c r="AS386" t="inlineStr">
        <is>
          <t>Confirmada exclusao automatica (fornecimento_puro): 1 item(ns), todos classificados como material (sem servico).</t>
        </is>
      </c>
      <c r="AT386" t="n">
        <v>0</v>
      </c>
      <c r="AU386" t="n">
        <v>0</v>
      </c>
    </row>
    <row r="387">
      <c r="A387" t="inlineStr">
        <is>
          <t>14004655000142_2025_55</t>
        </is>
      </c>
      <c r="B387" s="2" t="inlineStr">
        <is>
          <t>https://pncp.gov.br/app/editais/14004655000142/2025/55</t>
        </is>
      </c>
      <c r="C387" t="inlineStr">
        <is>
          <t>2026-09-27T05:29:31.704509+00:00</t>
        </is>
      </c>
      <c r="D387" t="inlineStr">
        <is>
          <t>MS</t>
        </is>
      </c>
      <c r="E387" t="inlineStr">
        <is>
          <t>vizinhos</t>
        </is>
      </c>
      <c r="F387" t="inlineStr">
        <is>
          <t>Chapadão do Sul</t>
        </is>
      </c>
      <c r="G387" t="inlineStr">
        <is>
          <t>FUNDO MUNICIPAL DE SAUDE DE CHAPADAO DO SUL-MS</t>
        </is>
      </c>
      <c r="H387" t="inlineStr">
        <is>
          <t>Municipal</t>
        </is>
      </c>
      <c r="I387" t="inlineStr">
        <is>
          <t>2025-09-12T11:31:58</t>
        </is>
      </c>
      <c r="J387" t="inlineStr">
        <is>
          <t>Pregão - Eletrônico</t>
        </is>
      </c>
      <c r="K387" t="inlineStr">
        <is>
          <t>Registro de Preços para futura e eventual aquisição de materiais (elétrico e hidráulico), equipamentos e ferramentas para a manutenção predial e de bens nos estabelecimentos públicos de saúde, em atendimento ao Fundo Municipal de Saúde.</t>
        </is>
      </c>
      <c r="L387" t="b">
        <v>1</v>
      </c>
      <c r="M387" t="inlineStr">
        <is>
          <t>manutencao_predial</t>
        </is>
      </c>
      <c r="N387" t="inlineStr">
        <is>
          <t>manutencao_predial</t>
        </is>
      </c>
      <c r="O387" t="n">
        <v>127135.7</v>
      </c>
      <c r="P387" t="n">
        <v>34894.63</v>
      </c>
      <c r="Q387" t="n">
        <v>44298.45</v>
      </c>
      <c r="R387" t="n">
        <v>0.2070712819936906</v>
      </c>
      <c r="S387" t="n">
        <v>0</v>
      </c>
      <c r="T387" t="n">
        <v>164</v>
      </c>
      <c r="U387" t="n">
        <v>40</v>
      </c>
      <c r="V387" t="n">
        <v>144</v>
      </c>
      <c r="W387" t="n">
        <v>1</v>
      </c>
      <c r="X387" t="n">
        <v>19</v>
      </c>
      <c r="Y387" t="n">
        <v>0</v>
      </c>
      <c r="Z387" t="n">
        <v>1</v>
      </c>
      <c r="AA387" t="n">
        <v>1</v>
      </c>
      <c r="AB387" t="n">
        <v>0</v>
      </c>
      <c r="AC387" t="n">
        <v>0</v>
      </c>
      <c r="AD387" t="n">
        <v>0</v>
      </c>
      <c r="AE387" t="n">
        <v>4</v>
      </c>
      <c r="AF387" t="inlineStr">
        <is>
          <t>DEPOSITO DE GAS CENTRAL LTDA EPP:ME; CLAUDIOMAR BOCALON EIRELLI:ME; EREMASTER DISTRIBUIDORA DE FERRAGENS E FERRAMENTAS LTDA:EPP; JL COMERCIO E SERVICOS LTDA EPP:EPP</t>
        </is>
      </c>
      <c r="AH387" t="inlineStr">
        <is>
          <t>pontual</t>
        </is>
      </c>
      <c r="AJ387" t="n">
        <v>0</v>
      </c>
      <c r="AK387" t="n">
        <v>0</v>
      </c>
      <c r="AL387" t="n">
        <v>0</v>
      </c>
      <c r="AM387" t="n">
        <v>0</v>
      </c>
      <c r="AN387" t="n">
        <v>0</v>
      </c>
      <c r="AQ387" t="n">
        <v>1</v>
      </c>
      <c r="AR387" t="inlineStr">
        <is>
          <t>fornecimento_puro</t>
        </is>
      </c>
      <c r="AS387" t="inlineStr">
        <is>
          <t>164 item(ns), todos classificados como material (sem servico).</t>
        </is>
      </c>
      <c r="AT387" t="n">
        <v>1</v>
      </c>
      <c r="AU387" t="n">
        <v>0</v>
      </c>
    </row>
    <row r="388">
      <c r="A388" t="inlineStr">
        <is>
          <t>14627173000149_2026_15</t>
        </is>
      </c>
      <c r="B388" s="2" t="inlineStr">
        <is>
          <t>https://pncp.gov.br/app/editais/14627173000149/2026/15</t>
        </is>
      </c>
      <c r="C388" t="inlineStr">
        <is>
          <t>2026-09-27T14:32:22.011197+00:00</t>
        </is>
      </c>
      <c r="D388" t="inlineStr">
        <is>
          <t>GO</t>
        </is>
      </c>
      <c r="E388" t="inlineStr">
        <is>
          <t>GO</t>
        </is>
      </c>
      <c r="F388" t="inlineStr">
        <is>
          <t>Uruaçu</t>
        </is>
      </c>
      <c r="G388" t="inlineStr">
        <is>
          <t>FUNDO MUNICIPAL DE ASSISTENCIA SOCIAL-FMAS</t>
        </is>
      </c>
      <c r="H388" t="inlineStr">
        <is>
          <t>Municipal</t>
        </is>
      </c>
      <c r="I388" t="inlineStr">
        <is>
          <t>2026-04-24T13:55:17</t>
        </is>
      </c>
      <c r="J388" t="inlineStr">
        <is>
          <t>Concorrência - Eletrônica</t>
        </is>
      </c>
      <c r="K388" t="inlineStr">
        <is>
          <t>CONTRATAÇÃO DE EMPRESA ESPECIALIZADA EM SERVIÇOS DE ENGENHARIA PARA A EXECUÇÃO DA REFORMA E READEQUAÇÃO DO PRÉDIO DO CENTRO DE REFERÊNCIA DE ASSISTÊNCIA SOCIAL – CRAS DO MUNICÍPIO DE URUAÇU/GO. OS SERVIÇOS INCLUEM A DEMOLIÇÃO DA ESTRUTURA FRONTAL EXISTENTE, AMPLIAÇÃO DA ÁREA POSTERIOR, ELEVAÇÃO E RECONFIGURAÇÃO DO SISTEMA DE COBERTURA, BEM COMO A REDISTRIBUIÇÃO E ADEQUAÇÃO DOS AMBIENTES INTERNOS PARA MELHORIA DO FLUXO FUNCIONAL. COMPREENDEM-SE, AINDA, AS INTERVENÇÕES NAS INSTALAÇÕES HIDROSSANITÁRIAS E ELÉTRICAS, INCLUINDO SUBSTITUIÇÕES, REMANEJAMENTOS E ADEQUAÇÕES NECESSÁRIAS PARA ATENDER ÀS NORMAS TÉCNICAS VIGENTES, GARANTINDO SEGURANÇA, EFICIÊNCIA E PLENO FUNCIONAMENTO DA EDIFICAÇÃO.</t>
        </is>
      </c>
      <c r="L388" t="b">
        <v>0</v>
      </c>
      <c r="M388" t="inlineStr">
        <is>
          <t>eletrica_predial</t>
        </is>
      </c>
      <c r="N388" t="inlineStr">
        <is>
          <t>eletrica_predial</t>
        </is>
      </c>
      <c r="O388" t="n">
        <v>622919.03</v>
      </c>
      <c r="P388" t="n">
        <v>505200</v>
      </c>
      <c r="Q388" t="n">
        <v>622919.03</v>
      </c>
      <c r="R388" t="n">
        <v>0.1889796656236366</v>
      </c>
      <c r="S388" t="n">
        <v>0</v>
      </c>
      <c r="T388" t="n">
        <v>1</v>
      </c>
      <c r="U388" t="n">
        <v>1</v>
      </c>
      <c r="V388" t="n">
        <v>1</v>
      </c>
      <c r="W388" t="n">
        <v>0</v>
      </c>
      <c r="X388" t="n">
        <v>0</v>
      </c>
      <c r="Y388" t="n">
        <v>0</v>
      </c>
      <c r="Z388" t="n">
        <v>0</v>
      </c>
      <c r="AA388" t="n">
        <v>0</v>
      </c>
      <c r="AB388" t="n">
        <v>0</v>
      </c>
      <c r="AC388" t="n">
        <v>0</v>
      </c>
      <c r="AD388" t="n">
        <v>0</v>
      </c>
      <c r="AE388" t="n">
        <v>1</v>
      </c>
      <c r="AF388" t="inlineStr">
        <is>
          <t>KSP CONSTRUTORA CONSULTORIA EIRELI:ME</t>
        </is>
      </c>
      <c r="AH388" t="inlineStr">
        <is>
          <t>indefinido</t>
        </is>
      </c>
      <c r="AJ388" t="n">
        <v>0</v>
      </c>
      <c r="AK388" t="n">
        <v>0</v>
      </c>
      <c r="AL388" t="n">
        <v>0</v>
      </c>
      <c r="AM388" t="n">
        <v>0</v>
      </c>
      <c r="AN388" t="n">
        <v>0</v>
      </c>
      <c r="AQ388" t="n">
        <v>0</v>
      </c>
      <c r="AR388" t="inlineStr">
        <is>
          <t>fora_de_escopo</t>
        </is>
      </c>
      <c r="AS388" t="inlineStr">
        <is>
          <t>Reforma/readequacao de CRAS (demolicao de estrutura frontal, ampliacao, elevacao de cobertura, redistribuicao de ambientes) -- obra civil geral, eletrica e hidrossanitaria aparecem so como "intervencoes" incidentais.</t>
        </is>
      </c>
      <c r="AT388" t="n">
        <v>0</v>
      </c>
      <c r="AU388" t="n">
        <v>0</v>
      </c>
    </row>
    <row r="389">
      <c r="A389" t="inlineStr">
        <is>
          <t>15024037000127_2026_12</t>
        </is>
      </c>
      <c r="B389" s="2" t="inlineStr">
        <is>
          <t>https://pncp.gov.br/app/editais/15024037000127/2026/12</t>
        </is>
      </c>
      <c r="C389" t="inlineStr">
        <is>
          <t>2026-09-27T05:09:34.777434+00:00</t>
        </is>
      </c>
      <c r="D389" t="inlineStr">
        <is>
          <t>MT</t>
        </is>
      </c>
      <c r="E389" t="inlineStr">
        <is>
          <t>vizinhos</t>
        </is>
      </c>
      <c r="F389" t="inlineStr">
        <is>
          <t>São José do Rio Claro</t>
        </is>
      </c>
      <c r="G389" t="inlineStr">
        <is>
          <t>MUNICIPIO DE SAO JOSE DO RIO CLARO</t>
        </is>
      </c>
      <c r="H389" t="inlineStr">
        <is>
          <t>Municipal</t>
        </is>
      </c>
      <c r="I389" t="inlineStr">
        <is>
          <t>2026-02-25T09:50:07</t>
        </is>
      </c>
      <c r="J389" t="inlineStr">
        <is>
          <t>Pregão - Eletrônico</t>
        </is>
      </c>
      <c r="K389" t="inlineStr">
        <is>
          <t>REGISTRO DE PREÇOS PARA A REALIZAÇÃO DE MANUTENÇÃO PREVENTIVA E CORRETIVA DE AR CONDICIONADO, BEM COMO AINDA, INSTALAÇÕES, E DESINSTAÇÕES, RECARGA DE GÁS, MANUTENÇÃO EM BEBEDOUROS.</t>
        </is>
      </c>
      <c r="L389" t="b">
        <v>1</v>
      </c>
      <c r="M389" t="inlineStr">
        <is>
          <t>refrigeracao</t>
        </is>
      </c>
      <c r="N389" t="inlineStr">
        <is>
          <t>refrigeracao</t>
        </is>
      </c>
      <c r="O389" t="n">
        <v>705870.16</v>
      </c>
      <c r="P389" t="n">
        <v>430000</v>
      </c>
      <c r="Q389" t="n">
        <v>705870.1599999999</v>
      </c>
      <c r="R389" t="n">
        <v>0.3908228071292885</v>
      </c>
      <c r="S389" t="n">
        <v>0</v>
      </c>
      <c r="T389" t="n">
        <v>24</v>
      </c>
      <c r="U389" t="n">
        <v>24</v>
      </c>
      <c r="V389" t="n">
        <v>24</v>
      </c>
      <c r="W389" t="n">
        <v>0</v>
      </c>
      <c r="X389" t="n">
        <v>0</v>
      </c>
      <c r="Y389" t="n">
        <v>0</v>
      </c>
      <c r="Z389" t="n">
        <v>0</v>
      </c>
      <c r="AA389" t="n">
        <v>0</v>
      </c>
      <c r="AB389" t="n">
        <v>0</v>
      </c>
      <c r="AC389" t="n">
        <v>0</v>
      </c>
      <c r="AD389" t="n">
        <v>0</v>
      </c>
      <c r="AE389" t="n">
        <v>1</v>
      </c>
      <c r="AF389" t="inlineStr">
        <is>
          <t>PRIME SISTEMA DE REFRIGERAÇÃO LTDA:ME</t>
        </is>
      </c>
      <c r="AH389" t="inlineStr">
        <is>
          <t>indefinido</t>
        </is>
      </c>
      <c r="AJ389" t="n">
        <v>0</v>
      </c>
      <c r="AK389" t="n">
        <v>0</v>
      </c>
      <c r="AL389" t="n">
        <v>0</v>
      </c>
      <c r="AM389" t="n">
        <v>0</v>
      </c>
      <c r="AN389" t="n">
        <v>0</v>
      </c>
      <c r="AQ389" t="n">
        <v>0.05832163240899715</v>
      </c>
      <c r="AR389" t="inlineStr">
        <is>
          <t>fora_do_nucleo</t>
        </is>
      </c>
      <c r="AS389" t="inlineStr">
        <is>
          <t>~88% do valor em higienizacao/instalacao de ar-condicionado por faixa de BTU; bebedouro e item marginal (~6%).</t>
        </is>
      </c>
      <c r="AT389" t="n">
        <v>0</v>
      </c>
      <c r="AU389" t="n">
        <v>0</v>
      </c>
    </row>
    <row r="390">
      <c r="A390" t="inlineStr">
        <is>
          <t>15126437000143_2025_4</t>
        </is>
      </c>
      <c r="B390" s="2" t="inlineStr">
        <is>
          <t>https://pncp.gov.br/app/editais/15126437000143/2025/4</t>
        </is>
      </c>
      <c r="C390" t="inlineStr">
        <is>
          <t>2026-09-27T03:28:00.499449+00:00</t>
        </is>
      </c>
      <c r="D390" t="inlineStr">
        <is>
          <t>GO</t>
        </is>
      </c>
      <c r="E390" t="inlineStr">
        <is>
          <t>GO</t>
        </is>
      </c>
      <c r="F390" t="inlineStr">
        <is>
          <t>Goiânia</t>
        </is>
      </c>
      <c r="G390" t="inlineStr">
        <is>
          <t>EMPRESA BRASILEIRA DE SERVIÇOS HOSPITALARES</t>
        </is>
      </c>
      <c r="H390" t="inlineStr">
        <is>
          <t>Federal</t>
        </is>
      </c>
      <c r="I390" t="inlineStr">
        <is>
          <t>2024-12-12T07:45:00</t>
        </is>
      </c>
      <c r="J390" t="inlineStr">
        <is>
          <t>Pregão - Eletrônico</t>
        </is>
      </c>
      <c r="K390" t="inlineStr">
        <is>
          <t>Contratação de empresa especializada no ramo de engenharia para a prestação de serviços de manutenção predial nas modalidades preventiva, preditiva, corretiva planejada, corretiva não planejada dos sistemas, adequações e melhoria dos equipamentos e das instalações prediais, com fornecimento de mão de obra, ferramentas, equipamentos, instrumentos, materiais, para planejamento e controle da manutenção, e realização de serviços especializados eventuais.</t>
        </is>
      </c>
      <c r="L390" t="b">
        <v>0</v>
      </c>
      <c r="M390" t="inlineStr">
        <is>
          <t>manutencao_predial</t>
        </is>
      </c>
      <c r="N390" t="inlineStr">
        <is>
          <t>manutencao_predial</t>
        </is>
      </c>
      <c r="O390" t="n">
        <v>6677242.07</v>
      </c>
      <c r="P390" t="n">
        <v>5348702.4038</v>
      </c>
      <c r="Q390" t="n">
        <v>5693999.55</v>
      </c>
      <c r="R390" t="n">
        <v>0.06064227543186224</v>
      </c>
      <c r="S390" t="n">
        <v>0</v>
      </c>
      <c r="T390" t="n">
        <v>66</v>
      </c>
      <c r="U390" t="n">
        <v>40</v>
      </c>
      <c r="V390" t="n">
        <v>66</v>
      </c>
      <c r="W390" t="n">
        <v>0</v>
      </c>
      <c r="X390" t="n">
        <v>0</v>
      </c>
      <c r="Y390" t="n">
        <v>0</v>
      </c>
      <c r="Z390" t="n">
        <v>0</v>
      </c>
      <c r="AA390" t="n">
        <v>0</v>
      </c>
      <c r="AB390" t="n">
        <v>0</v>
      </c>
      <c r="AC390" t="n">
        <v>0</v>
      </c>
      <c r="AD390" t="n">
        <v>0</v>
      </c>
      <c r="AE390" t="n">
        <v>1</v>
      </c>
      <c r="AF390" t="inlineStr">
        <is>
          <t>TEKNO SISTEMAS DE ENGENHARIA LTDA:Demais</t>
        </is>
      </c>
      <c r="AH390" t="inlineStr">
        <is>
          <t>pontual</t>
        </is>
      </c>
      <c r="AJ390" t="n">
        <v>0</v>
      </c>
      <c r="AK390" t="n">
        <v>0</v>
      </c>
      <c r="AL390" t="n">
        <v>0</v>
      </c>
      <c r="AM390" t="n">
        <v>0</v>
      </c>
      <c r="AN390" t="n">
        <v>0</v>
      </c>
      <c r="AQ390" t="n">
        <v>0</v>
      </c>
      <c r="AT390" t="n">
        <v>0</v>
      </c>
      <c r="AU390" t="n">
        <v>1</v>
      </c>
    </row>
    <row r="391">
      <c r="A391" t="inlineStr">
        <is>
          <t>15410665000140_2026_8</t>
        </is>
      </c>
      <c r="B391" s="2" t="inlineStr">
        <is>
          <t>https://pncp.gov.br/app/editais/15410665000140/2026/8</t>
        </is>
      </c>
      <c r="C391" t="inlineStr">
        <is>
          <t>2026-09-27T05:29:45.950583+00:00</t>
        </is>
      </c>
      <c r="D391" t="inlineStr">
        <is>
          <t>MS</t>
        </is>
      </c>
      <c r="E391" t="inlineStr">
        <is>
          <t>vizinhos</t>
        </is>
      </c>
      <c r="F391" t="inlineStr">
        <is>
          <t>Selvíria</t>
        </is>
      </c>
      <c r="G391" t="inlineStr">
        <is>
          <t>MUNICIPIO DE SELVIRIA</t>
        </is>
      </c>
      <c r="H391" t="inlineStr">
        <is>
          <t>Municipal</t>
        </is>
      </c>
      <c r="I391" t="inlineStr">
        <is>
          <t>2026-03-09T09:20:00</t>
        </is>
      </c>
      <c r="J391" t="inlineStr">
        <is>
          <t>Concorrência - Eletrônica</t>
        </is>
      </c>
      <c r="K391" t="inlineStr">
        <is>
          <t>Código da Pré Publicação E-Sfinge-TCE: “8FBBB847188B7EEA8E18BDD85695580892C7323A” “Contratação de empresa legalmente habilitada e tecnicamente qualificada para execução do projeto elétrico destinado à implantação da infraestrutura de distribuição de energia elétrica trifásica, em média tensão de 13,8 kV e baixa tensão de 220/127 V, incluindo postes, cabos, transformadores e demais componentes necessários, para o atendimento das 64 (sessenta e quatro) unidades habitacionais construídas no Conjunt</t>
        </is>
      </c>
      <c r="L391" t="b">
        <v>0</v>
      </c>
      <c r="M391" t="inlineStr">
        <is>
          <t>munck</t>
        </is>
      </c>
      <c r="N391" t="inlineStr">
        <is>
          <t>munck</t>
        </is>
      </c>
      <c r="O391" t="n">
        <v>392521.61</v>
      </c>
      <c r="P391" t="n">
        <v>294200</v>
      </c>
      <c r="Q391" t="n">
        <v>392521.61</v>
      </c>
      <c r="R391" t="n">
        <v>0.250487126046385</v>
      </c>
      <c r="S391" t="n">
        <v>0</v>
      </c>
      <c r="T391" t="n">
        <v>1</v>
      </c>
      <c r="U391" t="n">
        <v>1</v>
      </c>
      <c r="V391" t="n">
        <v>1</v>
      </c>
      <c r="W391" t="n">
        <v>0</v>
      </c>
      <c r="X391" t="n">
        <v>0</v>
      </c>
      <c r="Y391" t="n">
        <v>0</v>
      </c>
      <c r="Z391" t="n">
        <v>0</v>
      </c>
      <c r="AA391" t="n">
        <v>0</v>
      </c>
      <c r="AB391" t="n">
        <v>0</v>
      </c>
      <c r="AC391" t="n">
        <v>0</v>
      </c>
      <c r="AD391" t="n">
        <v>0</v>
      </c>
      <c r="AE391" t="n">
        <v>1</v>
      </c>
      <c r="AF391" t="inlineStr">
        <is>
          <t>ELÉTRICA CONFIANÇA LTDA:ME</t>
        </is>
      </c>
      <c r="AH391" t="inlineStr">
        <is>
          <t>indefinido</t>
        </is>
      </c>
      <c r="AJ391" t="n">
        <v>0</v>
      </c>
      <c r="AK391" t="n">
        <v>0</v>
      </c>
      <c r="AL391" t="n">
        <v>0</v>
      </c>
      <c r="AM391" t="n">
        <v>0</v>
      </c>
      <c r="AN391" t="n">
        <v>0</v>
      </c>
      <c r="AQ391" t="n">
        <v>0</v>
      </c>
      <c r="AR391" t="inlineStr">
        <is>
          <t>fora_escopo</t>
        </is>
      </c>
      <c r="AS391" t="inlineStr">
        <is>
          <t>Implantação de rede de distribuição de energia elétrica em média tensão (13,8kV) com transformadores para conjunto habitacional -- é obra de engenharia elétrica de rede/subestação, não serviço de munck ou substituição pontual de postes de iluminação; reclassificado de incluído (heurística) para excluído.</t>
        </is>
      </c>
      <c r="AT391" t="n">
        <v>0</v>
      </c>
      <c r="AU391" t="n">
        <v>0</v>
      </c>
    </row>
    <row r="392">
      <c r="A392" t="inlineStr">
        <is>
          <t>15457856000168_2026_85</t>
        </is>
      </c>
      <c r="B392" s="2" t="inlineStr">
        <is>
          <t>https://pncp.gov.br/app/editais/15457856000168/2026/85</t>
        </is>
      </c>
      <c r="C392" t="inlineStr">
        <is>
          <t>2026-09-27T05:20:17.606801+00:00</t>
        </is>
      </c>
      <c r="D392" t="inlineStr">
        <is>
          <t>MS</t>
        </is>
      </c>
      <c r="E392" t="inlineStr">
        <is>
          <t>vizinhos</t>
        </is>
      </c>
      <c r="F392" t="inlineStr">
        <is>
          <t>Campo Grande</t>
        </is>
      </c>
      <c r="G392" t="inlineStr">
        <is>
          <t>AGENCIA ESTADUAL DE GESTAO DE EMPREENDIMENTOS</t>
        </is>
      </c>
      <c r="H392" t="inlineStr">
        <is>
          <t>Estadual</t>
        </is>
      </c>
      <c r="I392" t="inlineStr">
        <is>
          <t>2026-06-18T10:42:12</t>
        </is>
      </c>
      <c r="J392" t="inlineStr">
        <is>
          <t>Concorrência - Eletrônica</t>
        </is>
      </c>
      <c r="K392" t="inlineStr">
        <is>
          <t>SERVIÇOS DE MANUTENÇÃO GERAL PREVENTIVA, PREDITIVA E CORRETIVA, COM FORNECIMENTO DE PEÇAS E INSUMOS, DA SUBESTAÇÃO DE ENERGIA ELÉTRICA, GRUPO GERADOR DE ENERGIA E USCA, BANCO DE CAPACITOR, RESERVATÓRIO DE DIESEL E EQUIPAMENTOS DE PROTEÇÃO, QUE ATENDEM O BIOPARQUE DO PANTANAL, NO MUNICÍPIO DE CAMPO GRANDE/MS.</t>
        </is>
      </c>
      <c r="L392" t="b">
        <v>0</v>
      </c>
      <c r="M392" t="inlineStr">
        <is>
          <t>eletrica_predial</t>
        </is>
      </c>
      <c r="N392" t="inlineStr">
        <is>
          <t>eletrica_predial</t>
        </is>
      </c>
      <c r="O392" t="n">
        <v>1100097.63</v>
      </c>
      <c r="P392" t="n">
        <v>1100097.63</v>
      </c>
      <c r="Q392" t="n">
        <v>1100097.63</v>
      </c>
      <c r="R392" t="n">
        <v>0</v>
      </c>
      <c r="S392" t="n">
        <v>0</v>
      </c>
      <c r="T392" t="n">
        <v>1</v>
      </c>
      <c r="U392" t="n">
        <v>1</v>
      </c>
      <c r="V392" t="n">
        <v>1</v>
      </c>
      <c r="W392" t="n">
        <v>0</v>
      </c>
      <c r="X392" t="n">
        <v>0</v>
      </c>
      <c r="Y392" t="n">
        <v>0</v>
      </c>
      <c r="Z392" t="n">
        <v>0</v>
      </c>
      <c r="AA392" t="n">
        <v>0</v>
      </c>
      <c r="AB392" t="n">
        <v>0</v>
      </c>
      <c r="AC392" t="n">
        <v>1</v>
      </c>
      <c r="AD392" t="n">
        <v>0</v>
      </c>
      <c r="AE392" t="n">
        <v>1</v>
      </c>
      <c r="AF392" t="inlineStr">
        <is>
          <t>KELLTCH-ON ELÉTRICA E CONSTRUÇÃO CIVIL LTDA:Demais</t>
        </is>
      </c>
      <c r="AH392" t="inlineStr">
        <is>
          <t>pontual</t>
        </is>
      </c>
      <c r="AJ392" t="n">
        <v>0</v>
      </c>
      <c r="AK392" t="n">
        <v>0</v>
      </c>
      <c r="AL392" t="n">
        <v>0</v>
      </c>
      <c r="AM392" t="n">
        <v>0</v>
      </c>
      <c r="AN392" t="n">
        <v>0</v>
      </c>
      <c r="AQ392" t="n">
        <v>0</v>
      </c>
      <c r="AS392" t="inlineStr">
        <is>
          <t>Manutencao preventiva/preditiva/corretiva de subestacao de energia, grupo gerador e banco de capacitores JA EXISTENTES (sem implantacao), com fornecimento de pecas/insumos por demanda -- servico real, dentro do escopo da area (a heuristica automatica excluiu por mencionar "gerador"/"subestacao", mas aqui e manutencao, nao implantacao); vencedora e empresa de eletrica e construcao civil.</t>
        </is>
      </c>
      <c r="AT392" t="n">
        <v>0</v>
      </c>
      <c r="AU392" t="n">
        <v>1</v>
      </c>
    </row>
    <row r="393">
      <c r="A393" t="inlineStr">
        <is>
          <t>15461510000133_2025_239</t>
        </is>
      </c>
      <c r="B393" s="2" t="inlineStr">
        <is>
          <t>https://pncp.gov.br/app/editais/15461510000133/2025/239</t>
        </is>
      </c>
      <c r="C393" t="inlineStr">
        <is>
          <t>2026-09-27T05:20:31.583429+00:00</t>
        </is>
      </c>
      <c r="D393" t="inlineStr">
        <is>
          <t>MS</t>
        </is>
      </c>
      <c r="E393" t="inlineStr">
        <is>
          <t>vizinhos</t>
        </is>
      </c>
      <c r="F393" t="inlineStr">
        <is>
          <t>Campo Grande</t>
        </is>
      </c>
      <c r="G393" t="inlineStr">
        <is>
          <t>FUNDACAO UNIVERSIDADE FEDERAL DE MATO GROSSO DO SUL</t>
        </is>
      </c>
      <c r="H393" t="inlineStr">
        <is>
          <t>Federal</t>
        </is>
      </c>
      <c r="I393" t="inlineStr">
        <is>
          <t>2026-06-18T07:02:14</t>
        </is>
      </c>
      <c r="J393" t="inlineStr">
        <is>
          <t>Pregão - Eletrônico</t>
        </is>
      </c>
      <c r="K393" t="inlineStr">
        <is>
          <t>Serviços comuns de engenharia - Áreas civil e elétrica</t>
        </is>
      </c>
      <c r="L393" t="b">
        <v>1</v>
      </c>
      <c r="M393" t="inlineStr">
        <is>
          <t>eletrica_predial</t>
        </is>
      </c>
      <c r="N393" t="inlineStr">
        <is>
          <t>eletrica_predial</t>
        </is>
      </c>
      <c r="O393" t="n">
        <v>8762454.5</v>
      </c>
      <c r="P393" t="n">
        <v>7011221.7008</v>
      </c>
      <c r="Q393" t="n">
        <v>8762454.5</v>
      </c>
      <c r="R393" t="n">
        <v>0.1998564214170813</v>
      </c>
      <c r="S393" t="n">
        <v>0</v>
      </c>
      <c r="T393" t="n">
        <v>11</v>
      </c>
      <c r="U393" t="n">
        <v>11</v>
      </c>
      <c r="V393" t="n">
        <v>11</v>
      </c>
      <c r="W393" t="n">
        <v>0</v>
      </c>
      <c r="X393" t="n">
        <v>0</v>
      </c>
      <c r="Y393" t="n">
        <v>0</v>
      </c>
      <c r="Z393" t="n">
        <v>0</v>
      </c>
      <c r="AA393" t="n">
        <v>0</v>
      </c>
      <c r="AB393" t="n">
        <v>0</v>
      </c>
      <c r="AC393" t="n">
        <v>0</v>
      </c>
      <c r="AD393" t="n">
        <v>0</v>
      </c>
      <c r="AE393" t="n">
        <v>2</v>
      </c>
      <c r="AF393" t="inlineStr">
        <is>
          <t>JM COMERCIO, CONSTRUCAO E SERVICOS LTDA:ME; ELLO CONSULTORIA E CONSTRUCOES LTDA:ME</t>
        </is>
      </c>
      <c r="AH393" t="inlineStr">
        <is>
          <t>indefinido</t>
        </is>
      </c>
      <c r="AJ393" t="n">
        <v>0</v>
      </c>
      <c r="AK393" t="n">
        <v>0</v>
      </c>
      <c r="AL393" t="n">
        <v>0</v>
      </c>
      <c r="AM393" t="n">
        <v>0</v>
      </c>
      <c r="AN393" t="n">
        <v>0</v>
      </c>
      <c r="AQ393" t="n">
        <v>0</v>
      </c>
      <c r="AS393" t="inlineStr">
        <is>
          <t>Registro de precos por lotes (11 itens de "Manutencao/Reforma Predial", medidos em unidade) para "servicos comuns de engenharia - areas civil e eletrica"; contrato grande, mas decomposto em lotes que uma empresa media pode disputar isoladamente.</t>
        </is>
      </c>
      <c r="AT393" t="n">
        <v>0</v>
      </c>
      <c r="AU393" t="n">
        <v>1</v>
      </c>
    </row>
    <row r="394">
      <c r="A394" t="inlineStr">
        <is>
          <t>15465016000147_2026_38</t>
        </is>
      </c>
      <c r="B394" s="2" t="inlineStr">
        <is>
          <t>https://pncp.gov.br/app/editais/15465016000147/2026/38</t>
        </is>
      </c>
      <c r="C394" t="inlineStr">
        <is>
          <t>2026-09-27T05:20:13.582058+00:00</t>
        </is>
      </c>
      <c r="D394" t="inlineStr">
        <is>
          <t>MS</t>
        </is>
      </c>
      <c r="E394" t="inlineStr">
        <is>
          <t>vizinhos</t>
        </is>
      </c>
      <c r="F394" t="inlineStr">
        <is>
          <t>Bodoquena</t>
        </is>
      </c>
      <c r="G394" t="inlineStr">
        <is>
          <t>MUNICIPIO DE BODOQUENA</t>
        </is>
      </c>
      <c r="H394" t="inlineStr">
        <is>
          <t>Municipal</t>
        </is>
      </c>
      <c r="I394" t="inlineStr">
        <is>
          <t>2026-06-29T07:09:10</t>
        </is>
      </c>
      <c r="J394" t="inlineStr">
        <is>
          <t>Concorrência - Eletrônica</t>
        </is>
      </c>
      <c r="K394" t="inlineStr">
        <is>
          <t>Contratação de empresa especializada para obra REFORMA E ADEQUAÇÃO DO GALPÃO DO VIVEIRO MUNICIPAL DE BODOQUENA/MS, visando o desenvolvimento de atividades voltadas à produção e manejo de plantas nativas da região, compreendendo a restauração estrutural e funcional do barracão existente, execução de fechamentos, instalações elétricas e hidrossanitárias, melhorias externas e implantação de sistemas complementares.</t>
        </is>
      </c>
      <c r="L394" t="b">
        <v>0</v>
      </c>
      <c r="M394" t="inlineStr">
        <is>
          <t>eletrica_predial</t>
        </is>
      </c>
      <c r="N394" t="inlineStr">
        <is>
          <t>eletrica_predial</t>
        </is>
      </c>
      <c r="O394" t="n">
        <v>172322.81</v>
      </c>
      <c r="P394" t="n">
        <v>147000</v>
      </c>
      <c r="Q394" t="n">
        <v>172322.81</v>
      </c>
      <c r="R394" t="n">
        <v>0.1469498437264342</v>
      </c>
      <c r="S394" t="n">
        <v>0</v>
      </c>
      <c r="T394" t="n">
        <v>1</v>
      </c>
      <c r="U394" t="n">
        <v>1</v>
      </c>
      <c r="V394" t="n">
        <v>1</v>
      </c>
      <c r="W394" t="n">
        <v>0</v>
      </c>
      <c r="X394" t="n">
        <v>0</v>
      </c>
      <c r="Y394" t="n">
        <v>0</v>
      </c>
      <c r="Z394" t="n">
        <v>0</v>
      </c>
      <c r="AA394" t="n">
        <v>0</v>
      </c>
      <c r="AB394" t="n">
        <v>0</v>
      </c>
      <c r="AC394" t="n">
        <v>0</v>
      </c>
      <c r="AD394" t="n">
        <v>0</v>
      </c>
      <c r="AE394" t="n">
        <v>1</v>
      </c>
      <c r="AF394" t="inlineStr">
        <is>
          <t>AXIONTEK LTDA:ME</t>
        </is>
      </c>
      <c r="AH394" t="inlineStr">
        <is>
          <t>indefinido</t>
        </is>
      </c>
      <c r="AJ394" t="n">
        <v>0</v>
      </c>
      <c r="AK394" t="n">
        <v>0</v>
      </c>
      <c r="AL394" t="n">
        <v>0</v>
      </c>
      <c r="AM394" t="n">
        <v>0</v>
      </c>
      <c r="AN394" t="n">
        <v>0</v>
      </c>
      <c r="AQ394" t="n">
        <v>0</v>
      </c>
      <c r="AR394" t="inlineStr">
        <is>
          <t>fora_de_escopo</t>
        </is>
      </c>
      <c r="AS394" t="inlineStr">
        <is>
          <t>Reforma/adequacao de galpao de viveiro municipal (restauracao estrutural, fechamentos, melhorias externas); instalacoes eletricas e apenas um item dentro de obra civil geral.</t>
        </is>
      </c>
      <c r="AT394" t="n">
        <v>0</v>
      </c>
      <c r="AU394" t="n">
        <v>0</v>
      </c>
    </row>
    <row r="395">
      <c r="A395" t="inlineStr">
        <is>
          <t>15469091000186_2026_3</t>
        </is>
      </c>
      <c r="B395" s="2" t="inlineStr">
        <is>
          <t>https://pncp.gov.br/app/editais/15469091000186/2026/3</t>
        </is>
      </c>
      <c r="C395" t="inlineStr">
        <is>
          <t>2026-09-27T05:25:11.244691+00:00</t>
        </is>
      </c>
      <c r="D395" t="inlineStr">
        <is>
          <t>MS</t>
        </is>
      </c>
      <c r="E395" t="inlineStr">
        <is>
          <t>vizinhos</t>
        </is>
      </c>
      <c r="F395" t="inlineStr">
        <is>
          <t>Dourados</t>
        </is>
      </c>
      <c r="G395" t="inlineStr">
        <is>
          <t>CAMARA MUNICIPAL DE DOURADOS</t>
        </is>
      </c>
      <c r="H395" t="inlineStr">
        <is>
          <t>Municipal</t>
        </is>
      </c>
      <c r="I395" t="inlineStr">
        <is>
          <t>2026-01-14T07:07:37</t>
        </is>
      </c>
      <c r="J395" t="inlineStr">
        <is>
          <t>Pregão - Eletrônico</t>
        </is>
      </c>
      <c r="K395" t="inlineStr">
        <is>
          <t>Prestação de serviços de manutenção preventiva e corretiva em aparelhos de ar-condicionado, refrigeradores, purificadores de água e bebedouros, incluindo o fornecimento de peças, materiais e insumos necessários, sob demanda, destinados ao atendimento das necessidades operacionais da Câmara Municipal de Dourados/MS.</t>
        </is>
      </c>
      <c r="L395" t="b">
        <v>1</v>
      </c>
      <c r="M395" t="inlineStr">
        <is>
          <t>refrigeracao</t>
        </is>
      </c>
      <c r="N395" t="inlineStr">
        <is>
          <t>refrigeracao</t>
        </is>
      </c>
      <c r="O395" t="n">
        <v>100550</v>
      </c>
      <c r="P395" t="n">
        <v>42297</v>
      </c>
      <c r="Q395" t="n">
        <v>100550</v>
      </c>
      <c r="R395" t="n">
        <v>0.5793436101442069</v>
      </c>
      <c r="S395" t="n">
        <v>0</v>
      </c>
      <c r="T395" t="n">
        <v>14</v>
      </c>
      <c r="U395" t="n">
        <v>14</v>
      </c>
      <c r="V395" t="n">
        <v>14</v>
      </c>
      <c r="W395" t="n">
        <v>0</v>
      </c>
      <c r="X395" t="n">
        <v>0</v>
      </c>
      <c r="Y395" t="n">
        <v>0</v>
      </c>
      <c r="Z395" t="n">
        <v>0</v>
      </c>
      <c r="AA395" t="n">
        <v>0</v>
      </c>
      <c r="AB395" t="n">
        <v>0</v>
      </c>
      <c r="AC395" t="n">
        <v>0</v>
      </c>
      <c r="AD395" t="n">
        <v>0</v>
      </c>
      <c r="AE395" t="n">
        <v>1</v>
      </c>
      <c r="AF395" t="inlineStr">
        <is>
          <t>S.R.J COMERCIO &amp; SERVICOS LTDA:ME</t>
        </is>
      </c>
      <c r="AH395" t="inlineStr">
        <is>
          <t>pontual</t>
        </is>
      </c>
      <c r="AJ395" t="n">
        <v>0</v>
      </c>
      <c r="AK395" t="n">
        <v>0</v>
      </c>
      <c r="AL395" t="n">
        <v>0</v>
      </c>
      <c r="AM395" t="n">
        <v>0</v>
      </c>
      <c r="AN395" t="n">
        <v>0</v>
      </c>
      <c r="AQ395" t="n">
        <v>0</v>
      </c>
      <c r="AR395" t="inlineStr">
        <is>
          <t>fora_do_nucleo</t>
        </is>
      </c>
      <c r="AS395" t="inlineStr">
        <is>
          <t>~96% do valor em manutencao de ar-condicionado por faixa de BTU.</t>
        </is>
      </c>
      <c r="AT395" t="n">
        <v>0</v>
      </c>
      <c r="AU395" t="n">
        <v>0</v>
      </c>
    </row>
    <row r="396">
      <c r="A396" t="inlineStr">
        <is>
          <t>15487762000131_2026_10</t>
        </is>
      </c>
      <c r="B396" s="2" t="inlineStr">
        <is>
          <t>https://pncp.gov.br/app/editais/15487762000131/2026/10</t>
        </is>
      </c>
      <c r="C396" t="inlineStr">
        <is>
          <t>2026-09-27T05:22:21.885075+00:00</t>
        </is>
      </c>
      <c r="D396" t="inlineStr">
        <is>
          <t>MS</t>
        </is>
      </c>
      <c r="E396" t="inlineStr">
        <is>
          <t>vizinhos</t>
        </is>
      </c>
      <c r="F396" t="inlineStr">
        <is>
          <t>Nova Andradina</t>
        </is>
      </c>
      <c r="G396" t="inlineStr">
        <is>
          <t>CAMARA MUNICIPAL DE NOVA ANDRADINA</t>
        </is>
      </c>
      <c r="H396" t="inlineStr">
        <is>
          <t>Municipal</t>
        </is>
      </c>
      <c r="I396" t="inlineStr">
        <is>
          <t>2026-05-28T09:28:13</t>
        </is>
      </c>
      <c r="J396" t="inlineStr">
        <is>
          <t>Pregão - Eletrônico</t>
        </is>
      </c>
      <c r="K396" t="inlineStr">
        <is>
          <t>Contratação de empresa especializada para prestação de serviços contínuos de manutenção preventiva em aparelhos de ar-condicionado instalados na Câmara Municipal, incluindo limpeza técnica, higienização, verificação elétrica e mecânica, testes de funcionamento, recarga de gás refrigerante quando necessária, bem como instalação e desinstalação de equipamentos.</t>
        </is>
      </c>
      <c r="L396" t="b">
        <v>0</v>
      </c>
      <c r="M396" t="inlineStr">
        <is>
          <t>climatizacao</t>
        </is>
      </c>
      <c r="N396" t="inlineStr">
        <is>
          <t>climatizacao</t>
        </is>
      </c>
      <c r="O396" t="n">
        <v>86924.2</v>
      </c>
      <c r="P396" t="n">
        <v>40910</v>
      </c>
      <c r="Q396" t="n">
        <v>86924.2</v>
      </c>
      <c r="R396" t="n">
        <v>0.5293600631354676</v>
      </c>
      <c r="S396" t="n">
        <v>0</v>
      </c>
      <c r="T396" t="n">
        <v>16</v>
      </c>
      <c r="U396" t="n">
        <v>16</v>
      </c>
      <c r="V396" t="n">
        <v>16</v>
      </c>
      <c r="W396" t="n">
        <v>0</v>
      </c>
      <c r="X396" t="n">
        <v>0</v>
      </c>
      <c r="Y396" t="n">
        <v>0</v>
      </c>
      <c r="Z396" t="n">
        <v>0</v>
      </c>
      <c r="AA396" t="n">
        <v>0</v>
      </c>
      <c r="AB396" t="n">
        <v>0</v>
      </c>
      <c r="AC396" t="n">
        <v>0</v>
      </c>
      <c r="AD396" t="n">
        <v>0</v>
      </c>
      <c r="AE396" t="n">
        <v>1</v>
      </c>
      <c r="AF396" t="inlineStr">
        <is>
          <t>NOVA INSPECOES LTDA:Demais</t>
        </is>
      </c>
      <c r="AH396" t="inlineStr">
        <is>
          <t>indefinido</t>
        </is>
      </c>
      <c r="AJ396" t="n">
        <v>0</v>
      </c>
      <c r="AK396" t="n">
        <v>0</v>
      </c>
      <c r="AL396" t="n">
        <v>0</v>
      </c>
      <c r="AM396" t="n">
        <v>0</v>
      </c>
      <c r="AN396" t="n">
        <v>0</v>
      </c>
      <c r="AQ396" t="n">
        <v>0</v>
      </c>
      <c r="AS396" t="inlineStr">
        <is>
          <t>heuristica automatica confirmada: servico real de climatizacao, sem sinais de exclusao.</t>
        </is>
      </c>
      <c r="AT396" t="n">
        <v>0</v>
      </c>
      <c r="AU396" t="n">
        <v>1</v>
      </c>
    </row>
    <row r="397">
      <c r="A397" t="inlineStr">
        <is>
          <t>15905003000141_2026_21</t>
        </is>
      </c>
      <c r="B397" s="2" t="inlineStr">
        <is>
          <t>https://pncp.gov.br/app/editais/15905003000141/2026/21</t>
        </is>
      </c>
      <c r="C397" t="inlineStr">
        <is>
          <t>2026-09-27T05:19:16.703856+00:00</t>
        </is>
      </c>
      <c r="D397" t="inlineStr">
        <is>
          <t>MS</t>
        </is>
      </c>
      <c r="E397" t="inlineStr">
        <is>
          <t>vizinhos</t>
        </is>
      </c>
      <c r="F397" t="inlineStr">
        <is>
          <t>Inocência</t>
        </is>
      </c>
      <c r="G397" t="inlineStr">
        <is>
          <t>CAMARA MUNICIPAL DE INOCENCIA</t>
        </is>
      </c>
      <c r="H397" t="inlineStr">
        <is>
          <t>Municipal</t>
        </is>
      </c>
      <c r="I397" t="inlineStr">
        <is>
          <t>2026-08-26T10:13:39</t>
        </is>
      </c>
      <c r="J397" t="inlineStr">
        <is>
          <t>Pregão - Eletrônico</t>
        </is>
      </c>
      <c r="K397" t="inlineStr">
        <is>
          <t>Aquisição de equipamentos de informática, peças de reposição, suprimentos de impressão e dispositivos de proteção elétrica, destinados a atender à demanda administrativa da Câmara Municipal de Inocência/MS</t>
        </is>
      </c>
      <c r="L397" t="b">
        <v>0</v>
      </c>
      <c r="M397" t="inlineStr">
        <is>
          <t>eletrica_predial</t>
        </is>
      </c>
      <c r="N397" t="inlineStr">
        <is>
          <t>eletrica_predial</t>
        </is>
      </c>
      <c r="O397" t="n">
        <v>22574.34</v>
      </c>
      <c r="P397" t="n">
        <v>13715</v>
      </c>
      <c r="Q397" t="n">
        <v>17074.26</v>
      </c>
      <c r="R397" t="n">
        <v>0.1967441048689665</v>
      </c>
      <c r="S397" t="n">
        <v>0</v>
      </c>
      <c r="T397" t="n">
        <v>8</v>
      </c>
      <c r="U397" t="n">
        <v>2</v>
      </c>
      <c r="V397" t="n">
        <v>2</v>
      </c>
      <c r="W397" t="n">
        <v>0</v>
      </c>
      <c r="X397" t="n">
        <v>6</v>
      </c>
      <c r="Y397" t="n">
        <v>0</v>
      </c>
      <c r="Z397" t="n">
        <v>1</v>
      </c>
      <c r="AA397" t="n">
        <v>0</v>
      </c>
      <c r="AB397" t="n">
        <v>0</v>
      </c>
      <c r="AC397" t="n">
        <v>0</v>
      </c>
      <c r="AD397" t="n">
        <v>0</v>
      </c>
      <c r="AE397" t="n">
        <v>2</v>
      </c>
      <c r="AF397" t="inlineStr">
        <is>
          <t>SINCES TECNOLOGIA COMERCIO E SERVICOS LTDA:Demais; D M R BICAS:ME</t>
        </is>
      </c>
      <c r="AH397" t="inlineStr">
        <is>
          <t>pontual</t>
        </is>
      </c>
      <c r="AJ397" t="n">
        <v>0</v>
      </c>
      <c r="AK397" t="n">
        <v>0</v>
      </c>
      <c r="AL397" t="n">
        <v>0</v>
      </c>
      <c r="AM397" t="n">
        <v>0</v>
      </c>
      <c r="AN397" t="n">
        <v>0</v>
      </c>
      <c r="AQ397" t="n">
        <v>1</v>
      </c>
      <c r="AR397" t="inlineStr">
        <is>
          <t>fornecimento_puro</t>
        </is>
      </c>
      <c r="AS397" t="inlineStr">
        <is>
          <t>Confirmada exclusao automatica (fornecimento_puro): 8 item(ns), todos classificados como material (sem servico).</t>
        </is>
      </c>
      <c r="AT397" t="n">
        <v>0</v>
      </c>
      <c r="AU397" t="n">
        <v>0</v>
      </c>
    </row>
    <row r="398">
      <c r="A398" t="inlineStr">
        <is>
          <t>16907746000113_2026_81</t>
        </is>
      </c>
      <c r="B398" s="2" t="inlineStr">
        <is>
          <t>https://pncp.gov.br/app/editais/16907746000113/2026/81</t>
        </is>
      </c>
      <c r="C398" t="inlineStr">
        <is>
          <t>2026-09-27T05:44:09.247003+00:00</t>
        </is>
      </c>
      <c r="D398" t="inlineStr">
        <is>
          <t>MG</t>
        </is>
      </c>
      <c r="E398" t="inlineStr">
        <is>
          <t>vizinhos</t>
        </is>
      </c>
      <c r="F398" t="inlineStr">
        <is>
          <t>Varginha</t>
        </is>
      </c>
      <c r="G398" t="inlineStr">
        <is>
          <t>SECRETARIA DE ESTADO DE FAZENDA DE MINAS GERAIS</t>
        </is>
      </c>
      <c r="H398" t="inlineStr">
        <is>
          <t>Estadual</t>
        </is>
      </c>
      <c r="I398" t="inlineStr">
        <is>
          <t>2026-08-21T11:21:08</t>
        </is>
      </c>
      <c r="J398" t="inlineStr">
        <is>
          <t>Pregão - Eletrônico</t>
        </is>
      </c>
      <c r="K398" t="inlineStr">
        <is>
          <t>Contratação de empresa para Instalação e Manutenção Preventiva e Corretiva em aparelhos de Ar condicionado para  Regional Varginha.</t>
        </is>
      </c>
      <c r="L398" t="b">
        <v>0</v>
      </c>
      <c r="M398" t="inlineStr">
        <is>
          <t>climatizacao</t>
        </is>
      </c>
      <c r="N398" t="inlineStr">
        <is>
          <t>climatizacao</t>
        </is>
      </c>
      <c r="O398" t="n">
        <v>232852.92</v>
      </c>
      <c r="P398" t="n">
        <v>157999.54</v>
      </c>
      <c r="Q398" t="n">
        <v>232852.92</v>
      </c>
      <c r="R398" t="n">
        <v>0.3214620628334831</v>
      </c>
      <c r="S398" t="n">
        <v>0</v>
      </c>
      <c r="T398" t="n">
        <v>2</v>
      </c>
      <c r="U398" t="n">
        <v>2</v>
      </c>
      <c r="V398" t="n">
        <v>2</v>
      </c>
      <c r="W398" t="n">
        <v>0</v>
      </c>
      <c r="X398" t="n">
        <v>0</v>
      </c>
      <c r="Y398" t="n">
        <v>0</v>
      </c>
      <c r="Z398" t="n">
        <v>0</v>
      </c>
      <c r="AA398" t="n">
        <v>0</v>
      </c>
      <c r="AB398" t="n">
        <v>0</v>
      </c>
      <c r="AC398" t="n">
        <v>0</v>
      </c>
      <c r="AD398" t="n">
        <v>0</v>
      </c>
      <c r="AE398" t="n">
        <v>1</v>
      </c>
      <c r="AF398" t="inlineStr">
        <is>
          <t>SERC REFRIGERACAO E CLIMATIZACAO LTDA:ME</t>
        </is>
      </c>
      <c r="AH398" t="inlineStr">
        <is>
          <t>indefinido</t>
        </is>
      </c>
      <c r="AJ398" t="n">
        <v>0</v>
      </c>
      <c r="AK398" t="n">
        <v>0</v>
      </c>
      <c r="AL398" t="n">
        <v>0</v>
      </c>
      <c r="AM398" t="n">
        <v>0</v>
      </c>
      <c r="AN398" t="n">
        <v>0</v>
      </c>
      <c r="AQ398" t="n">
        <v>0</v>
      </c>
      <c r="AS398" t="inlineStr">
        <is>
          <t>Servico de instalacao e manutencao preventiva/corretiva em aparelhos de ar condicionado.</t>
        </is>
      </c>
      <c r="AT398" t="n">
        <v>0</v>
      </c>
      <c r="AU398" t="n">
        <v>1</v>
      </c>
    </row>
    <row r="399">
      <c r="A399" t="inlineStr">
        <is>
          <t>17058108000138_2026_75</t>
        </is>
      </c>
      <c r="B399" s="2" t="inlineStr">
        <is>
          <t>https://pncp.gov.br/app/editais/17058108000138/2026/75</t>
        </is>
      </c>
      <c r="C399" t="inlineStr">
        <is>
          <t>2026-09-27T05:55:23.646063+00:00</t>
        </is>
      </c>
      <c r="D399" t="inlineStr">
        <is>
          <t>MG</t>
        </is>
      </c>
      <c r="E399" t="inlineStr">
        <is>
          <t>vizinhos</t>
        </is>
      </c>
      <c r="F399" t="inlineStr">
        <is>
          <t>João Monlevade</t>
        </is>
      </c>
      <c r="G399" t="inlineStr">
        <is>
          <t>DEPARTAMENTO MUNICIPAL DE AGUAS E ESGOTOS</t>
        </is>
      </c>
      <c r="H399" t="inlineStr">
        <is>
          <t>Municipal</t>
        </is>
      </c>
      <c r="I399" t="inlineStr">
        <is>
          <t>2026-06-30T14:19:54</t>
        </is>
      </c>
      <c r="J399" t="inlineStr">
        <is>
          <t>Pregão - Eletrônico</t>
        </is>
      </c>
      <c r="K399" t="inlineStr">
        <is>
          <t>AQUISIÇÃO DE BLOCO DE CONCRETO MACIÇO COM ALÇA DE IÇAMENTO 1,60 X  0,80 X 0,60 PARA USO NO MURO GABIÃO NO RIO SANTA BARBARA NA E.A.B.  PACAS PARA AUMENTO DO VOLUME DE ÁGUA BRUTA PARA A CAPTAÇÃO DE ÁGUA PARA TRATAMENTO</t>
        </is>
      </c>
      <c r="L399" t="b">
        <v>0</v>
      </c>
      <c r="M399" t="inlineStr">
        <is>
          <t>munck</t>
        </is>
      </c>
      <c r="N399" t="inlineStr">
        <is>
          <t>munck</t>
        </is>
      </c>
      <c r="O399" t="n">
        <v>411243.33</v>
      </c>
      <c r="P399" t="n">
        <v>217250</v>
      </c>
      <c r="Q399" t="n">
        <v>411243.33</v>
      </c>
      <c r="R399" t="n">
        <v>0.4717239075361015</v>
      </c>
      <c r="S399" t="n">
        <v>0</v>
      </c>
      <c r="T399" t="n">
        <v>2</v>
      </c>
      <c r="U399" t="n">
        <v>2</v>
      </c>
      <c r="V399" t="n">
        <v>2</v>
      </c>
      <c r="W399" t="n">
        <v>0</v>
      </c>
      <c r="X399" t="n">
        <v>0</v>
      </c>
      <c r="Y399" t="n">
        <v>0</v>
      </c>
      <c r="Z399" t="n">
        <v>0</v>
      </c>
      <c r="AA399" t="n">
        <v>0</v>
      </c>
      <c r="AB399" t="n">
        <v>0</v>
      </c>
      <c r="AC399" t="n">
        <v>0</v>
      </c>
      <c r="AD399" t="n">
        <v>0</v>
      </c>
      <c r="AE399" t="n">
        <v>2</v>
      </c>
      <c r="AF399" t="inlineStr">
        <is>
          <t>VALEMIX CONCRETOS E SERVIÇOS LTDA:Demais; A &amp; C MATERIAL DE CONSTRUÇÃO LTDA:ME</t>
        </is>
      </c>
      <c r="AH399" t="inlineStr">
        <is>
          <t>pontual</t>
        </is>
      </c>
      <c r="AJ399" t="n">
        <v>0</v>
      </c>
      <c r="AK399" t="n">
        <v>0</v>
      </c>
      <c r="AL399" t="n">
        <v>0</v>
      </c>
      <c r="AM399" t="n">
        <v>0</v>
      </c>
      <c r="AN399" t="n">
        <v>0</v>
      </c>
      <c r="AQ399" t="n">
        <v>1</v>
      </c>
      <c r="AR399" t="inlineStr">
        <is>
          <t>fora_escopo</t>
        </is>
      </c>
      <c r="AS399" t="inlineStr">
        <is>
          <t>Aquisição de blocos de concreto para muro de gabião e material de pavimentação; 'alça de içamento' é uma característica do produto (alça no próprio bloco), não um serviço de içamento com munck -- falso positivo.</t>
        </is>
      </c>
      <c r="AT399" t="n">
        <v>0</v>
      </c>
      <c r="AU399" t="n">
        <v>0</v>
      </c>
    </row>
    <row r="400">
      <c r="A400" t="inlineStr">
        <is>
          <t>17361639000103_2026_44</t>
        </is>
      </c>
      <c r="B400" s="2" t="inlineStr">
        <is>
          <t>https://pncp.gov.br/app/editais/17361639000103/2026/44</t>
        </is>
      </c>
      <c r="C400" t="inlineStr">
        <is>
          <t>2026-09-27T05:17:35.225267+00:00</t>
        </is>
      </c>
      <c r="D400" t="inlineStr">
        <is>
          <t>MS</t>
        </is>
      </c>
      <c r="E400" t="inlineStr">
        <is>
          <t>vizinhos</t>
        </is>
      </c>
      <c r="F400" t="inlineStr">
        <is>
          <t>Paraíso das Águas</t>
        </is>
      </c>
      <c r="G400" t="inlineStr">
        <is>
          <t>MUNICIPIO DE PARAISO DAS AGUAS</t>
        </is>
      </c>
      <c r="H400" t="inlineStr">
        <is>
          <t>Municipal</t>
        </is>
      </c>
      <c r="I400" t="inlineStr">
        <is>
          <t>2026-07-24T10:06:04</t>
        </is>
      </c>
      <c r="J400" t="inlineStr">
        <is>
          <t>Pregão - Eletrônico</t>
        </is>
      </c>
      <c r="K400" t="inlineStr">
        <is>
          <t>CONTRATAÇÃO DE EMPRESA ESPECIALIZADA PARA PRESTAÇÃO DE SERVIÇOS DE LOCAÇÃO DE APARELHOS DE SONORIZAÇÃO, ILUMINAÇÃO, LOCAÇÃO DE PALCO, LOCAÇÃO DE TENDAS, LOCAÇÃO DE PAINEL DE LED, SERVIÇO DE LOCUÇÃO E FILMAGENS COM EDIÇÃO PARA OS EVENTOS E AÇÕES REALIZADAS NO MUNICÍPIO DE PARAÍSO DAS ÁGUAS/MS.</t>
        </is>
      </c>
      <c r="L400" t="b">
        <v>1</v>
      </c>
      <c r="M400" t="inlineStr">
        <is>
          <t>iluminacao_publica</t>
        </is>
      </c>
      <c r="N400" t="inlineStr">
        <is>
          <t>iluminacao_publica</t>
        </is>
      </c>
      <c r="O400" t="n">
        <v>2678288.07</v>
      </c>
      <c r="P400" t="n">
        <v>1342976.7</v>
      </c>
      <c r="Q400" t="n">
        <v>2262060.57</v>
      </c>
      <c r="R400" t="n">
        <v>0.4063038285486758</v>
      </c>
      <c r="S400" t="n">
        <v>0</v>
      </c>
      <c r="T400" t="n">
        <v>45</v>
      </c>
      <c r="U400" t="n">
        <v>40</v>
      </c>
      <c r="V400" t="n">
        <v>45</v>
      </c>
      <c r="W400" t="n">
        <v>0</v>
      </c>
      <c r="X400" t="n">
        <v>0</v>
      </c>
      <c r="Y400" t="n">
        <v>0</v>
      </c>
      <c r="Z400" t="n">
        <v>0</v>
      </c>
      <c r="AA400" t="n">
        <v>0</v>
      </c>
      <c r="AB400" t="n">
        <v>1</v>
      </c>
      <c r="AC400" t="n">
        <v>0</v>
      </c>
      <c r="AD400" t="n">
        <v>0</v>
      </c>
      <c r="AE400" t="n">
        <v>8</v>
      </c>
      <c r="AF400" t="inlineStr">
        <is>
          <t>MICHAEL BUREMAN DOS SANTOS:ME; POSITIVA TENDAS E EVENTOS LTDA:ME; L F P RIBEIRO LTDA:ME; KARITEH SERVICOS ENGENHARIA E EVENTOS LTDA - MATRIZ:ME; ELTON FERREIRA DA SILVA PUBLICIDADES :ME; MARCOS ANTONIO GAETAN ME :ME; ADILSON ROCHA DA SILVA 92085202187:ME; LC ENTRETERIMENTO E EVENTOS LTDA:ME</t>
        </is>
      </c>
      <c r="AH400" t="inlineStr">
        <is>
          <t>indefinido</t>
        </is>
      </c>
      <c r="AJ400" t="n">
        <v>0</v>
      </c>
      <c r="AK400" t="n">
        <v>0</v>
      </c>
      <c r="AL400" t="n">
        <v>0</v>
      </c>
      <c r="AM400" t="n">
        <v>0</v>
      </c>
      <c r="AN400" t="n">
        <v>0</v>
      </c>
      <c r="AQ400" t="n">
        <v>1</v>
      </c>
      <c r="AR400" t="inlineStr">
        <is>
          <t>mencao_passagem</t>
        </is>
      </c>
      <c r="AS400" t="inlineStr">
        <is>
          <t>Locação de sonorização/iluminação/palco/tendas/painel LED/locução/filmagens para eventos; não é manutenção de IP.</t>
        </is>
      </c>
      <c r="AT400" t="n">
        <v>1</v>
      </c>
      <c r="AU400" t="n">
        <v>0</v>
      </c>
    </row>
    <row r="401">
      <c r="A401" t="inlineStr">
        <is>
          <t>17361639000103_2026_46</t>
        </is>
      </c>
      <c r="B401" s="2" t="inlineStr">
        <is>
          <t>https://pncp.gov.br/app/editais/17361639000103/2026/46</t>
        </is>
      </c>
      <c r="C401" t="inlineStr">
        <is>
          <t>2026-09-27T05:16:52.106497+00:00</t>
        </is>
      </c>
      <c r="D401" t="inlineStr">
        <is>
          <t>MS</t>
        </is>
      </c>
      <c r="E401" t="inlineStr">
        <is>
          <t>vizinhos</t>
        </is>
      </c>
      <c r="F401" t="inlineStr">
        <is>
          <t>Paraíso das Águas</t>
        </is>
      </c>
      <c r="G401" t="inlineStr">
        <is>
          <t>MUNICIPIO DE PARAISO DAS AGUAS</t>
        </is>
      </c>
      <c r="H401" t="inlineStr">
        <is>
          <t>Municipal</t>
        </is>
      </c>
      <c r="I401" t="inlineStr">
        <is>
          <t>2026-07-31T09:19:04</t>
        </is>
      </c>
      <c r="J401" t="inlineStr">
        <is>
          <t>Pregão - Eletrônico</t>
        </is>
      </c>
      <c r="K401" t="inlineStr">
        <is>
          <t>AQUISIÇÃO DE MATERIAIS ELÉTRICOS DESTINADOS AO ATENDIMENTO DAS NECESSIDADES DA ILUMINAÇÃO PÚBLICA DO MUNICÍPIO DE PARAÍSO DAS ÁGUAS</t>
        </is>
      </c>
      <c r="L401" t="b">
        <v>0</v>
      </c>
      <c r="M401" t="inlineStr">
        <is>
          <t>iluminacao_publica</t>
        </is>
      </c>
      <c r="N401" t="inlineStr">
        <is>
          <t>iluminacao_publica</t>
        </is>
      </c>
      <c r="O401" t="n">
        <v>106548.6</v>
      </c>
      <c r="P401" t="n">
        <v>54936.6</v>
      </c>
      <c r="Q401" t="n">
        <v>99055.60000000001</v>
      </c>
      <c r="R401" t="n">
        <v>0.4453963228732146</v>
      </c>
      <c r="S401" t="n">
        <v>0</v>
      </c>
      <c r="T401" t="n">
        <v>14</v>
      </c>
      <c r="U401" t="n">
        <v>11</v>
      </c>
      <c r="V401" t="n">
        <v>11</v>
      </c>
      <c r="W401" t="n">
        <v>0</v>
      </c>
      <c r="X401" t="n">
        <v>3</v>
      </c>
      <c r="Y401" t="n">
        <v>0</v>
      </c>
      <c r="Z401" t="n">
        <v>1</v>
      </c>
      <c r="AA401" t="n">
        <v>1</v>
      </c>
      <c r="AB401" t="n">
        <v>0</v>
      </c>
      <c r="AC401" t="n">
        <v>0</v>
      </c>
      <c r="AD401" t="n">
        <v>0</v>
      </c>
      <c r="AE401" t="n">
        <v>4</v>
      </c>
      <c r="AF401" t="inlineStr">
        <is>
          <t>CENTROLED DISTRIBUIÇÃO DE MATERIAIS ELETRICOS E ILUMINAÇÃO LTDA:ME; E. LUAN CAMARGO DE ALMEIDA LTDA:ME; Luz do Brasil comercio de artigos de iluminação LTDA:ME; MIRIAM SUZANA MORETTI ME:ME</t>
        </is>
      </c>
      <c r="AH401" t="inlineStr">
        <is>
          <t>pontual</t>
        </is>
      </c>
      <c r="AJ401" t="n">
        <v>0</v>
      </c>
      <c r="AK401" t="n">
        <v>0</v>
      </c>
      <c r="AL401" t="n">
        <v>0</v>
      </c>
      <c r="AM401" t="n">
        <v>0</v>
      </c>
      <c r="AN401" t="n">
        <v>0</v>
      </c>
      <c r="AQ401" t="n">
        <v>1</v>
      </c>
      <c r="AR401" t="inlineStr">
        <is>
          <t>fornecimento_puro</t>
        </is>
      </c>
      <c r="AS401" t="inlineStr">
        <is>
          <t>Registro de preços/contratação de fornecimento de materiais, sem mão de obra de manutenção contratada.</t>
        </is>
      </c>
      <c r="AT401" t="n">
        <v>0</v>
      </c>
      <c r="AU401" t="n">
        <v>0</v>
      </c>
    </row>
    <row r="402">
      <c r="A402" t="inlineStr">
        <is>
          <t>17590843000198_2026_19</t>
        </is>
      </c>
      <c r="B402" s="2" t="inlineStr">
        <is>
          <t>https://pncp.gov.br/app/editais/17590843000198/2026/19</t>
        </is>
      </c>
      <c r="C402" t="inlineStr">
        <is>
          <t>2026-09-27T05:41:32.852515+00:00</t>
        </is>
      </c>
      <c r="D402" t="inlineStr">
        <is>
          <t>TO</t>
        </is>
      </c>
      <c r="E402" t="inlineStr">
        <is>
          <t>vizinhos</t>
        </is>
      </c>
      <c r="F402" t="inlineStr">
        <is>
          <t>Gurupi</t>
        </is>
      </c>
      <c r="G402" t="inlineStr">
        <is>
          <t>GURUPI-SECRETARIA MUNICIPAL DE INFRAESTRUTURA</t>
        </is>
      </c>
      <c r="H402" t="inlineStr">
        <is>
          <t>Municipal</t>
        </is>
      </c>
      <c r="I402" t="inlineStr">
        <is>
          <t>2026-09-16T13:22:01</t>
        </is>
      </c>
      <c r="J402" t="inlineStr">
        <is>
          <t>Pregão - Eletrônico</t>
        </is>
      </c>
      <c r="K402" t="inlineStr">
        <is>
          <t>ADESAO CONTRATACAO DE EMPRESA ESPECIALIZADA NA PRESTACAO DE SERVICOS POR EMPREITADA GLOBAL PARA MODERNIZACAO DE ILUMINACAO PUBLICA (COMPREENDENDO FORNECIMENTOS DE MATERIAL - MAO DE OBRA - ENCARGOS - LOGISTICA, ETC.)</t>
        </is>
      </c>
      <c r="L402" t="b">
        <v>1</v>
      </c>
      <c r="M402" t="inlineStr">
        <is>
          <t>iluminacao_publica</t>
        </is>
      </c>
      <c r="N402" t="inlineStr">
        <is>
          <t>iluminacao_publica</t>
        </is>
      </c>
      <c r="O402" t="n">
        <v>5010499.97</v>
      </c>
      <c r="P402" t="n">
        <v>4506162</v>
      </c>
      <c r="Q402" t="n">
        <v>5010499.965</v>
      </c>
      <c r="R402" t="n">
        <v>0.1006562156517249</v>
      </c>
      <c r="S402" t="n">
        <v>0</v>
      </c>
      <c r="T402" t="n">
        <v>2</v>
      </c>
      <c r="U402" t="n">
        <v>2</v>
      </c>
      <c r="V402" t="n">
        <v>2</v>
      </c>
      <c r="W402" t="n">
        <v>0</v>
      </c>
      <c r="X402" t="n">
        <v>0</v>
      </c>
      <c r="Y402" t="n">
        <v>0</v>
      </c>
      <c r="Z402" t="n">
        <v>0</v>
      </c>
      <c r="AA402" t="n">
        <v>0</v>
      </c>
      <c r="AB402" t="n">
        <v>0</v>
      </c>
      <c r="AC402" t="n">
        <v>0</v>
      </c>
      <c r="AD402" t="n">
        <v>0</v>
      </c>
      <c r="AE402" t="n">
        <v>1</v>
      </c>
      <c r="AF402" t="inlineStr">
        <is>
          <t>CONSTRUTORA SAO BENTO LTDA EPP:Não se aplica</t>
        </is>
      </c>
      <c r="AH402" t="inlineStr">
        <is>
          <t>indefinido</t>
        </is>
      </c>
      <c r="AJ402" t="n">
        <v>0</v>
      </c>
      <c r="AK402" t="n">
        <v>0</v>
      </c>
      <c r="AL402" t="n">
        <v>0</v>
      </c>
      <c r="AM402" t="n">
        <v>0</v>
      </c>
      <c r="AN402" t="n">
        <v>0</v>
      </c>
      <c r="AQ402" t="n">
        <v>0</v>
      </c>
      <c r="AR402" t="inlineStr">
        <is>
          <t>equipamento_alto</t>
        </is>
      </c>
      <c r="AS402" t="inlineStr">
        <is>
          <t>Empreitada global de MODERNIZAÇÃO de IP (fornecimento de material + mão de obra + encargos + logística), R$5,01 mi; modernização de grande porte, não manutenção corretiva (mesmo padrão de Uruaçu/Senador Canedo).</t>
        </is>
      </c>
      <c r="AT402" t="n">
        <v>0</v>
      </c>
      <c r="AU402" t="n">
        <v>0</v>
      </c>
    </row>
    <row r="403">
      <c r="A403" t="inlineStr">
        <is>
          <t>17701982000141_2026_5</t>
        </is>
      </c>
      <c r="B403" s="2" t="inlineStr">
        <is>
          <t>https://pncp.gov.br/app/editais/17701982000141/2026/5</t>
        </is>
      </c>
      <c r="C403" t="inlineStr">
        <is>
          <t>2026-09-27T05:24:05.907115+00:00</t>
        </is>
      </c>
      <c r="D403" t="inlineStr">
        <is>
          <t>MS</t>
        </is>
      </c>
      <c r="E403" t="inlineStr">
        <is>
          <t>vizinhos</t>
        </is>
      </c>
      <c r="F403" t="inlineStr">
        <is>
          <t>Ribas do Rio Pardo</t>
        </is>
      </c>
      <c r="G403" t="inlineStr">
        <is>
          <t>FUNDO MUNICIPAL DE SAUDE DE RIBAS DO RIO PARDO</t>
        </is>
      </c>
      <c r="H403" t="inlineStr">
        <is>
          <t>Municipal</t>
        </is>
      </c>
      <c r="I403" t="inlineStr">
        <is>
          <t>2026-02-26T09:22:43</t>
        </is>
      </c>
      <c r="J403" t="inlineStr">
        <is>
          <t>Pregão - Eletrônico</t>
        </is>
      </c>
      <c r="K403" t="inlineStr">
        <is>
          <t>Contratação de empresa especializada para prestação de serviços de manutenção técnica preventiva e corretiva, de forma contínua e mensal, para os equipamentos médico-hospitalares, laboratoriais, odontológicos, de fisioterapia e de refrigeração, existentes e os que vierem a ser adquiridos, pertencentes às unidades de saúde do Município de Ribas do Rio Pardo/MS.</t>
        </is>
      </c>
      <c r="L403" t="b">
        <v>0</v>
      </c>
      <c r="M403" t="inlineStr">
        <is>
          <t>refrigeracao</t>
        </is>
      </c>
      <c r="N403" t="inlineStr">
        <is>
          <t>refrigeracao</t>
        </is>
      </c>
      <c r="O403" t="n">
        <v>385387.5</v>
      </c>
      <c r="P403" t="n">
        <v>235998</v>
      </c>
      <c r="Q403" t="n">
        <v>385387.5</v>
      </c>
      <c r="R403" t="n">
        <v>0.387634523693685</v>
      </c>
      <c r="S403" t="n">
        <v>0</v>
      </c>
      <c r="T403" t="n">
        <v>3</v>
      </c>
      <c r="U403" t="n">
        <v>3</v>
      </c>
      <c r="V403" t="n">
        <v>3</v>
      </c>
      <c r="W403" t="n">
        <v>0</v>
      </c>
      <c r="X403" t="n">
        <v>0</v>
      </c>
      <c r="Y403" t="n">
        <v>0</v>
      </c>
      <c r="Z403" t="n">
        <v>0</v>
      </c>
      <c r="AA403" t="n">
        <v>0</v>
      </c>
      <c r="AB403" t="n">
        <v>0</v>
      </c>
      <c r="AC403" t="n">
        <v>0</v>
      </c>
      <c r="AD403" t="n">
        <v>0</v>
      </c>
      <c r="AE403" t="n">
        <v>1</v>
      </c>
      <c r="AF403" t="inlineStr">
        <is>
          <t>AMILTON RODRIGUES DA SILVA LTDA:ME</t>
        </is>
      </c>
      <c r="AH403" t="inlineStr">
        <is>
          <t>continuado</t>
        </is>
      </c>
      <c r="AJ403" t="n">
        <v>0</v>
      </c>
      <c r="AK403" t="n">
        <v>0</v>
      </c>
      <c r="AL403" t="n">
        <v>0</v>
      </c>
      <c r="AM403" t="n">
        <v>0</v>
      </c>
      <c r="AN403" t="n">
        <v>0</v>
      </c>
      <c r="AQ403" t="n">
        <v>1</v>
      </c>
      <c r="AR403" t="inlineStr">
        <is>
          <t>fora_do_nucleo</t>
        </is>
      </c>
      <c r="AS403" t="inlineStr">
        <is>
          <t>Objeto e itens sao manutencao do 'parque tecnologico' da Secretaria de Saude -- equipamentos medico-hospitalares, laboratoriais e odontologicos ('hora tecnica excedente', 'fornecimento de pecas e componentes'). Nao e refrigeracao comercial (camara fria/freezer/bebedouro/balcao).</t>
        </is>
      </c>
      <c r="AT403" t="n">
        <v>1</v>
      </c>
      <c r="AU403" t="n">
        <v>0</v>
      </c>
    </row>
    <row r="404">
      <c r="A404" t="inlineStr">
        <is>
          <t>17819061000188_2026_77</t>
        </is>
      </c>
      <c r="B404" s="2" t="inlineStr">
        <is>
          <t>https://pncp.gov.br/app/editais/17819061000188/2026/77</t>
        </is>
      </c>
      <c r="C404" t="inlineStr">
        <is>
          <t>2026-09-27T05:48:12.482004+00:00</t>
        </is>
      </c>
      <c r="D404" t="inlineStr">
        <is>
          <t>MG</t>
        </is>
      </c>
      <c r="E404" t="inlineStr">
        <is>
          <t>vizinhos</t>
        </is>
      </c>
      <c r="F404" t="inlineStr">
        <is>
          <t>Ituiutaba</t>
        </is>
      </c>
      <c r="G404" t="inlineStr">
        <is>
          <t>SUPERINTENDENCIA DE AGUA E ESGOTOS DE ITUIUTABA</t>
        </is>
      </c>
      <c r="H404" t="inlineStr">
        <is>
          <t>Municipal</t>
        </is>
      </c>
      <c r="I404" t="inlineStr">
        <is>
          <t>2026-09-03T19:40:42</t>
        </is>
      </c>
      <c r="J404" t="inlineStr">
        <is>
          <t>Pregão - Eletrônico</t>
        </is>
      </c>
      <c r="K404" t="inlineStr">
        <is>
          <t>[LICITANET] - Aquisição de ferramentas e equipamentos destinados à reposição e à execução de
atividades de operação e manutenção elétrica e mecânica nos sistemas de abastecimento de
água e esgotamento sanitário das unidades da Superintendência de Água e Esgotos de Ituiutaba/MG – SAE, para o período de 12 (doze) meses, conforme especificações, quantidades e
condições de fornecimento constantes do Anexo I - Termo de Referência.</t>
        </is>
      </c>
      <c r="L404" t="b">
        <v>1</v>
      </c>
      <c r="M404" t="inlineStr">
        <is>
          <t>eletrica_predial</t>
        </is>
      </c>
      <c r="N404" t="inlineStr">
        <is>
          <t>eletrica_predial</t>
        </is>
      </c>
      <c r="O404" t="n">
        <v>451886.35</v>
      </c>
      <c r="P404" t="n">
        <v>281052.46</v>
      </c>
      <c r="Q404" t="n">
        <v>372982.8200000001</v>
      </c>
      <c r="R404" t="n">
        <v>0.2464734434685222</v>
      </c>
      <c r="S404" t="n">
        <v>0</v>
      </c>
      <c r="T404" t="n">
        <v>63</v>
      </c>
      <c r="U404" t="n">
        <v>34</v>
      </c>
      <c r="V404" t="n">
        <v>34</v>
      </c>
      <c r="W404" t="n">
        <v>17</v>
      </c>
      <c r="X404" t="n">
        <v>6</v>
      </c>
      <c r="Y404" t="n">
        <v>0</v>
      </c>
      <c r="Z404" t="n">
        <v>1</v>
      </c>
      <c r="AA404" t="n">
        <v>0</v>
      </c>
      <c r="AB404" t="n">
        <v>1</v>
      </c>
      <c r="AC404" t="n">
        <v>0</v>
      </c>
      <c r="AD404" t="n">
        <v>0</v>
      </c>
      <c r="AE404" t="n">
        <v>8</v>
      </c>
      <c r="AF404" t="inlineStr">
        <is>
          <t>REFINAR EMPRESARIAL ASSESSORIA EM CONTROLES ADMINISTRATIVOS LTDA:ME; CASA DOS PEDREIROS DE ITUIUTABA LTDA.:ME; FJF COMERCIO E SERVIÇO LTDA:ME; RUMO ELETROTECNICA LTDA:ME; R&amp;D TECH LTDA:EPP; AUTOMEDICAL LTDA:EPP; BRASFERMA LTDA:EPP; WU COMERCIO &amp; SERVIÇOS LTDA:ME</t>
        </is>
      </c>
      <c r="AH404" t="inlineStr">
        <is>
          <t>pontual</t>
        </is>
      </c>
      <c r="AI404" t="n">
        <v>12</v>
      </c>
      <c r="AJ404" t="n">
        <v>0</v>
      </c>
      <c r="AK404" t="n">
        <v>0</v>
      </c>
      <c r="AL404" t="n">
        <v>0</v>
      </c>
      <c r="AM404" t="n">
        <v>0</v>
      </c>
      <c r="AN404" t="n">
        <v>0</v>
      </c>
      <c r="AQ404" t="n">
        <v>1</v>
      </c>
      <c r="AR404" t="inlineStr">
        <is>
          <t>fornecimento_puro</t>
        </is>
      </c>
      <c r="AS404" t="inlineStr">
        <is>
          <t>Confirmada exclusao automatica (fornecimento_puro): 63 item(ns), todos classificados como material (sem servico).</t>
        </is>
      </c>
      <c r="AT404" t="n">
        <v>1</v>
      </c>
      <c r="AU404" t="n">
        <v>0</v>
      </c>
    </row>
    <row r="405">
      <c r="A405" t="inlineStr">
        <is>
          <t>17955386000198_2026_182</t>
        </is>
      </c>
      <c r="B405" s="2" t="inlineStr">
        <is>
          <t>https://pncp.gov.br/app/editais/17955386000198/2026/182</t>
        </is>
      </c>
      <c r="C405" t="inlineStr">
        <is>
          <t>2026-09-27T05:43:15.229532+00:00</t>
        </is>
      </c>
      <c r="D405" t="inlineStr">
        <is>
          <t>MG</t>
        </is>
      </c>
      <c r="E405" t="inlineStr">
        <is>
          <t>vizinhos</t>
        </is>
      </c>
      <c r="F405" t="inlineStr">
        <is>
          <t>Cambuquira</t>
        </is>
      </c>
      <c r="G405" t="inlineStr">
        <is>
          <t>MUNICIPIO DE CAMBUQUIRA</t>
        </is>
      </c>
      <c r="H405" t="inlineStr">
        <is>
          <t>Municipal</t>
        </is>
      </c>
      <c r="I405" t="inlineStr">
        <is>
          <t>2026-08-19T10:51:19</t>
        </is>
      </c>
      <c r="J405" t="inlineStr">
        <is>
          <t>Pregão - Eletrônico</t>
        </is>
      </c>
      <c r="K405" t="inlineStr">
        <is>
          <t>Contratação de empresa especializada para o fornecimento de poste decorativo para iluminação ornamental e sinalização turística, com altura mínima de 3,00 m, composto por coluna metálica tubular, braço ornamental, luminá</t>
        </is>
      </c>
      <c r="L405" t="b">
        <v>1</v>
      </c>
      <c r="M405" t="inlineStr">
        <is>
          <t>iluminacao_publica</t>
        </is>
      </c>
      <c r="N405" t="inlineStr">
        <is>
          <t>iluminacao_publica</t>
        </is>
      </c>
      <c r="O405" t="n">
        <v>153393.8</v>
      </c>
      <c r="P405" t="n">
        <v>151420</v>
      </c>
      <c r="Q405" t="n">
        <v>153393.8</v>
      </c>
      <c r="R405" t="n">
        <v>0.01105226801749948</v>
      </c>
      <c r="S405" t="n">
        <v>0</v>
      </c>
      <c r="T405" t="n">
        <v>2</v>
      </c>
      <c r="U405" t="n">
        <v>2</v>
      </c>
      <c r="V405" t="n">
        <v>2</v>
      </c>
      <c r="W405" t="n">
        <v>0</v>
      </c>
      <c r="X405" t="n">
        <v>0</v>
      </c>
      <c r="Y405" t="n">
        <v>0</v>
      </c>
      <c r="Z405" t="n">
        <v>0</v>
      </c>
      <c r="AA405" t="n">
        <v>0</v>
      </c>
      <c r="AB405" t="n">
        <v>0</v>
      </c>
      <c r="AC405" t="n">
        <v>0</v>
      </c>
      <c r="AD405" t="n">
        <v>0</v>
      </c>
      <c r="AE405" t="n">
        <v>1</v>
      </c>
      <c r="AF405" t="inlineStr">
        <is>
          <t>37.578.644 ELIEZER DOMINGUES ALVES:ME</t>
        </is>
      </c>
      <c r="AH405" t="inlineStr">
        <is>
          <t>pontual</t>
        </is>
      </c>
      <c r="AJ405" t="n">
        <v>0</v>
      </c>
      <c r="AK405" t="n">
        <v>0</v>
      </c>
      <c r="AL405" t="n">
        <v>0</v>
      </c>
      <c r="AM405" t="n">
        <v>0</v>
      </c>
      <c r="AN405" t="n">
        <v>0</v>
      </c>
      <c r="AQ405" t="n">
        <v>1</v>
      </c>
      <c r="AR405" t="inlineStr">
        <is>
          <t>fornecimento_puro</t>
        </is>
      </c>
      <c r="AS405" t="inlineStr">
        <is>
          <t>Registro de preços/contratação de fornecimento de materiais, sem mão de obra de manutenção contratada.</t>
        </is>
      </c>
      <c r="AT405" t="n">
        <v>0</v>
      </c>
      <c r="AU405" t="n">
        <v>0</v>
      </c>
    </row>
    <row r="406">
      <c r="A406" t="inlineStr">
        <is>
          <t>18008920000111_2026_38</t>
        </is>
      </c>
      <c r="B406" s="2" t="inlineStr">
        <is>
          <t>https://pncp.gov.br/app/editais/18008920000111/2026/38</t>
        </is>
      </c>
      <c r="C406" t="inlineStr">
        <is>
          <t>2026-09-27T05:54:16.972335+00:00</t>
        </is>
      </c>
      <c r="D406" t="inlineStr">
        <is>
          <t>MG</t>
        </is>
      </c>
      <c r="E406" t="inlineStr">
        <is>
          <t>vizinhos</t>
        </is>
      </c>
      <c r="F406" t="inlineStr">
        <is>
          <t>São Tomé das Letras</t>
        </is>
      </c>
      <c r="G406" t="inlineStr">
        <is>
          <t>MUNICIPIO DE SAO TOME DAS LETRAS</t>
        </is>
      </c>
      <c r="H406" t="inlineStr">
        <is>
          <t>Municipal</t>
        </is>
      </c>
      <c r="I406" t="inlineStr">
        <is>
          <t>2026-07-23T11:20:29</t>
        </is>
      </c>
      <c r="J406" t="inlineStr">
        <is>
          <t>Pregão - Eletrônico</t>
        </is>
      </c>
      <c r="K406" t="inlineStr">
        <is>
          <t>Contratação de empresa especializada para o fornecimento de poliguindaste simples e caçambas metálicas estacionárias tipo poliguindaste, destinados ao atendimento das necessidades operacionais da Prefeitura Municipal de São Thomé das Letras/MG.</t>
        </is>
      </c>
      <c r="L406" t="b">
        <v>0</v>
      </c>
      <c r="M406" t="inlineStr">
        <is>
          <t>munck</t>
        </is>
      </c>
      <c r="N406" t="inlineStr">
        <is>
          <t>munck</t>
        </is>
      </c>
      <c r="O406" t="n">
        <v>187061.13</v>
      </c>
      <c r="P406" t="n">
        <v>185600</v>
      </c>
      <c r="Q406" t="n">
        <v>187061.13</v>
      </c>
      <c r="R406" t="n">
        <v>0.007810976016236017</v>
      </c>
      <c r="S406" t="n">
        <v>0</v>
      </c>
      <c r="T406" t="n">
        <v>2</v>
      </c>
      <c r="U406" t="n">
        <v>2</v>
      </c>
      <c r="V406" t="n">
        <v>2</v>
      </c>
      <c r="W406" t="n">
        <v>0</v>
      </c>
      <c r="X406" t="n">
        <v>0</v>
      </c>
      <c r="Y406" t="n">
        <v>0</v>
      </c>
      <c r="Z406" t="n">
        <v>0</v>
      </c>
      <c r="AA406" t="n">
        <v>0</v>
      </c>
      <c r="AB406" t="n">
        <v>0</v>
      </c>
      <c r="AC406" t="n">
        <v>0</v>
      </c>
      <c r="AD406" t="n">
        <v>0</v>
      </c>
      <c r="AE406" t="n">
        <v>1</v>
      </c>
      <c r="AF406" t="inlineStr">
        <is>
          <t>BAZ METALURGICA INDUSTRIA E COMERCIO LTDA:EPP</t>
        </is>
      </c>
      <c r="AH406" t="inlineStr">
        <is>
          <t>pontual</t>
        </is>
      </c>
      <c r="AJ406" t="n">
        <v>0</v>
      </c>
      <c r="AK406" t="n">
        <v>0</v>
      </c>
      <c r="AL406" t="n">
        <v>0</v>
      </c>
      <c r="AM406" t="n">
        <v>0</v>
      </c>
      <c r="AN406" t="n">
        <v>0</v>
      </c>
      <c r="AQ406" t="n">
        <v>1</v>
      </c>
      <c r="AR406" t="inlineStr">
        <is>
          <t>fornecimento_puro</t>
        </is>
      </c>
      <c r="AS406" t="inlineStr">
        <is>
          <t>Aquisição de poliguindaste simples e caçambas estacionárias (equipamento de guincho para caçambas de entulho, diferente do guindauto/munck de içamento); compra de bem, não locação de serviço.</t>
        </is>
      </c>
      <c r="AT406" t="n">
        <v>0</v>
      </c>
      <c r="AU406" t="n">
        <v>0</v>
      </c>
    </row>
    <row r="407">
      <c r="A407" t="inlineStr">
        <is>
          <t>18025965000102_2026_53</t>
        </is>
      </c>
      <c r="B407" s="2" t="inlineStr">
        <is>
          <t>https://pncp.gov.br/app/editais/18025965000102/2026/53</t>
        </is>
      </c>
      <c r="C407" t="inlineStr">
        <is>
          <t>2026-09-27T05:45:25.267076+00:00</t>
        </is>
      </c>
      <c r="D407" t="inlineStr">
        <is>
          <t>MG</t>
        </is>
      </c>
      <c r="E407" t="inlineStr">
        <is>
          <t>vizinhos</t>
        </is>
      </c>
      <c r="F407" t="inlineStr">
        <is>
          <t>Paraisópolis</t>
        </is>
      </c>
      <c r="G407" t="inlineStr">
        <is>
          <t>MUNICIPIO DE PARAISOPOLIS</t>
        </is>
      </c>
      <c r="H407" t="inlineStr">
        <is>
          <t>Municipal</t>
        </is>
      </c>
      <c r="I407" t="inlineStr">
        <is>
          <t>2026-08-27T09:54:34</t>
        </is>
      </c>
      <c r="J407" t="inlineStr">
        <is>
          <t>Pregão - Eletrônico</t>
        </is>
      </c>
      <c r="K407" t="inlineStr">
        <is>
          <t>[Portal de Compras Públicas] - Contratação de empresa para aquisição de câmaras/refrigeradores científicos para conservação de imunobiológicos e de materiais para uso diário na Rede de Frio do Programa Nacional de Imunizações (PNI), destinados ao atendimento do Departamento Municipal de Saúde do Município de Paraisópolis/MG, conforme condições, quantidades e exigências estabelecidas no Anexo I - Termo de Referência.</t>
        </is>
      </c>
      <c r="L407" t="b">
        <v>1</v>
      </c>
      <c r="M407" t="inlineStr">
        <is>
          <t>refrigeracao</t>
        </is>
      </c>
      <c r="N407" t="inlineStr">
        <is>
          <t>refrigeracao</t>
        </is>
      </c>
      <c r="O407" t="n">
        <v>159224.06</v>
      </c>
      <c r="P407" t="n">
        <v>106275.37</v>
      </c>
      <c r="Q407" t="n">
        <v>159224.06</v>
      </c>
      <c r="R407" t="n">
        <v>0.3325420165771429</v>
      </c>
      <c r="S407" t="n">
        <v>0</v>
      </c>
      <c r="T407" t="n">
        <v>7</v>
      </c>
      <c r="U407" t="n">
        <v>6</v>
      </c>
      <c r="V407" t="n">
        <v>6</v>
      </c>
      <c r="W407" t="n">
        <v>0</v>
      </c>
      <c r="X407" t="n">
        <v>1</v>
      </c>
      <c r="Y407" t="n">
        <v>0</v>
      </c>
      <c r="Z407" t="n">
        <v>1</v>
      </c>
      <c r="AA407" t="n">
        <v>0</v>
      </c>
      <c r="AB407" t="n">
        <v>0</v>
      </c>
      <c r="AC407" t="n">
        <v>0</v>
      </c>
      <c r="AD407" t="n">
        <v>0</v>
      </c>
      <c r="AE407" t="n">
        <v>5</v>
      </c>
      <c r="AF407" t="inlineStr">
        <is>
          <t>OLIMPIO EQUIPAMENTOS HOSPITALARES EIRELI:EPP; Bunker Comercial Ltda:EPP; SUPRIMEDICE PRODUTOS HOSPITALARES LTDA:ME; Cirúrgica União Ltda.:Demais; GO VENDAS ELETRONICAS LTDA:Demais</t>
        </is>
      </c>
      <c r="AH407" t="inlineStr">
        <is>
          <t>pontual</t>
        </is>
      </c>
      <c r="AJ407" t="n">
        <v>0</v>
      </c>
      <c r="AK407" t="n">
        <v>0</v>
      </c>
      <c r="AL407" t="n">
        <v>0</v>
      </c>
      <c r="AM407" t="n">
        <v>0</v>
      </c>
      <c r="AN407" t="n">
        <v>0</v>
      </c>
      <c r="AQ407" t="n">
        <v>1</v>
      </c>
      <c r="AR407" t="inlineStr">
        <is>
          <t>fornecimento_puro</t>
        </is>
      </c>
      <c r="AS407" t="inlineStr">
        <is>
          <t>Aquisicao de camaras cientificas para conservacao de imunobiologicos (vacinas) e gelo reciclavel -- compra pura de equipamento de laboratorio, nao servico de manutencao.</t>
        </is>
      </c>
      <c r="AT407" t="n">
        <v>0</v>
      </c>
      <c r="AU407" t="n">
        <v>0</v>
      </c>
    </row>
    <row r="408">
      <c r="A408" t="inlineStr">
        <is>
          <t>18070772000165_2025_111</t>
        </is>
      </c>
      <c r="B408" s="2" t="inlineStr">
        <is>
          <t>https://pncp.gov.br/app/editais/18070772000165/2025/111</t>
        </is>
      </c>
      <c r="C408" t="inlineStr">
        <is>
          <t>2026-09-27T02:45:00.480745+00:00</t>
        </is>
      </c>
      <c r="D408" t="inlineStr">
        <is>
          <t>GO</t>
        </is>
      </c>
      <c r="E408" t="inlineStr">
        <is>
          <t>GO</t>
        </is>
      </c>
      <c r="F408" t="inlineStr">
        <is>
          <t>Uruaçu</t>
        </is>
      </c>
      <c r="G408" t="inlineStr">
        <is>
          <t>FUNDO MUNICIPAL DE EDUCACAO - FME</t>
        </is>
      </c>
      <c r="H408" t="inlineStr">
        <is>
          <t>Municipal</t>
        </is>
      </c>
      <c r="I408" t="inlineStr">
        <is>
          <t>2025-10-28T14:12:47</t>
        </is>
      </c>
      <c r="J408" t="inlineStr">
        <is>
          <t>Pregão - Eletrônico</t>
        </is>
      </c>
      <c r="K408" t="inlineStr">
        <is>
          <t>REGISTRO DE PREÇOS PARA AQUISIÇÃO EVENTUAL, FUTURA E PARCELADA DE SERVIÇO DE MANUTENÇÃO DOS APARELHOS DE AR CONDICIONADO DAS UNIDADES ESCOLARES, CENTROS MUNICIPAIS DE EDUCAÇÃO INFANTIL E SECRETARIA MUNICIPAL DE EDUCAÇÃO DO MUNICÍPIO.</t>
        </is>
      </c>
      <c r="L408" t="b">
        <v>1</v>
      </c>
      <c r="M408" t="inlineStr">
        <is>
          <t>climatizacao</t>
        </is>
      </c>
      <c r="N408" t="inlineStr">
        <is>
          <t>climatizacao</t>
        </is>
      </c>
      <c r="O408" t="n">
        <v>1712813.62</v>
      </c>
      <c r="P408" t="n">
        <v>282309.3</v>
      </c>
      <c r="Q408" t="n">
        <v>420516.9</v>
      </c>
      <c r="R408" t="n">
        <v>0.3286612262194457</v>
      </c>
      <c r="S408" t="n">
        <v>0</v>
      </c>
      <c r="T408" t="n">
        <v>182</v>
      </c>
      <c r="U408" t="n">
        <v>40</v>
      </c>
      <c r="V408" t="n">
        <v>182</v>
      </c>
      <c r="W408" t="n">
        <v>0</v>
      </c>
      <c r="X408" t="n">
        <v>0</v>
      </c>
      <c r="Y408" t="n">
        <v>0</v>
      </c>
      <c r="Z408" t="n">
        <v>0</v>
      </c>
      <c r="AA408" t="n">
        <v>0</v>
      </c>
      <c r="AB408" t="n">
        <v>0</v>
      </c>
      <c r="AC408" t="n">
        <v>0</v>
      </c>
      <c r="AD408" t="n">
        <v>0</v>
      </c>
      <c r="AE408" t="n">
        <v>2</v>
      </c>
      <c r="AF408" t="inlineStr">
        <is>
          <t>ELETROWOLTS SERVICOS LTDA:ME; MULTI ASSISTENCIA LTDA:ME</t>
        </is>
      </c>
      <c r="AH408" t="inlineStr">
        <is>
          <t>pontual</t>
        </is>
      </c>
      <c r="AJ408" t="n">
        <v>0</v>
      </c>
      <c r="AK408" t="n">
        <v>0</v>
      </c>
      <c r="AL408" t="n">
        <v>0</v>
      </c>
      <c r="AM408" t="n">
        <v>0</v>
      </c>
      <c r="AN408" t="n">
        <v>0</v>
      </c>
      <c r="AQ408" t="n">
        <v>0</v>
      </c>
      <c r="AS408" t="inlineStr">
        <is>
          <t>heuristica automatica confirmada: servico real de climatizacao, sem sinais de exclusao.</t>
        </is>
      </c>
      <c r="AT408" t="n">
        <v>0</v>
      </c>
      <c r="AU408" t="n">
        <v>1</v>
      </c>
    </row>
    <row r="409">
      <c r="A409" t="inlineStr">
        <is>
          <t>18128231000140_2026_120</t>
        </is>
      </c>
      <c r="B409" s="2" t="inlineStr">
        <is>
          <t>https://pncp.gov.br/app/editais/18128231000140/2026/120</t>
        </is>
      </c>
      <c r="C409" t="inlineStr">
        <is>
          <t>2026-09-27T05:46:08.456878+00:00</t>
        </is>
      </c>
      <c r="D409" t="inlineStr">
        <is>
          <t>MG</t>
        </is>
      </c>
      <c r="E409" t="inlineStr">
        <is>
          <t>vizinhos</t>
        </is>
      </c>
      <c r="F409" t="inlineStr">
        <is>
          <t>Senador Firmino</t>
        </is>
      </c>
      <c r="G409" t="inlineStr">
        <is>
          <t>MUNICIPIO DE SENADOR FIRMINO</t>
        </is>
      </c>
      <c r="H409" t="inlineStr">
        <is>
          <t>Municipal</t>
        </is>
      </c>
      <c r="I409" t="inlineStr">
        <is>
          <t>2026-08-14T09:35:14</t>
        </is>
      </c>
      <c r="J409" t="inlineStr">
        <is>
          <t>Pregão - Eletrônico</t>
        </is>
      </c>
      <c r="K409" t="inlineStr">
        <is>
          <t>Registro de preços para futura e eventual aquisição de gêneros alimentícios (perecíveis e não perecíveis, in natura, processados, industrializados,
refrigerados e congelados), destinados a atender de forma contínua as necessidades das Secretarias do Município de Senador Firmino/MG.</t>
        </is>
      </c>
      <c r="L409" t="b">
        <v>1</v>
      </c>
      <c r="M409" t="inlineStr">
        <is>
          <t>refrigeracao</t>
        </is>
      </c>
      <c r="N409" t="inlineStr">
        <is>
          <t>refrigeracao</t>
        </is>
      </c>
      <c r="O409" t="n">
        <v>1491726.88</v>
      </c>
      <c r="P409" t="n">
        <v>296226.88</v>
      </c>
      <c r="Q409" t="n">
        <v>531620.9</v>
      </c>
      <c r="R409" t="n">
        <v>0.4427854886818784</v>
      </c>
      <c r="S409" t="n">
        <v>0</v>
      </c>
      <c r="T409" t="n">
        <v>145</v>
      </c>
      <c r="U409" t="n">
        <v>40</v>
      </c>
      <c r="V409" t="n">
        <v>143</v>
      </c>
      <c r="W409" t="n">
        <v>1</v>
      </c>
      <c r="X409" t="n">
        <v>1</v>
      </c>
      <c r="Y409" t="n">
        <v>0</v>
      </c>
      <c r="Z409" t="n">
        <v>1</v>
      </c>
      <c r="AA409" t="n">
        <v>0</v>
      </c>
      <c r="AB409" t="n">
        <v>1</v>
      </c>
      <c r="AC409" t="n">
        <v>0</v>
      </c>
      <c r="AD409" t="n">
        <v>0</v>
      </c>
      <c r="AE409" t="n">
        <v>6</v>
      </c>
      <c r="AF409" t="inlineStr">
        <is>
          <t>CLAUDIO FARIA FIALHO - ME:ME; ERNANDE DIAS DE ASSIS ME:ME; JC TEIXEIRA &amp; CIA LTDA:ME; MELLO COMERCIAL LTDA:ME; PROFI COMÉRCIO DE ALIMENTOS LTDA:ME; 66.681.494 AMAURI DA SILVA LOPES FERREIRA:ME</t>
        </is>
      </c>
      <c r="AH409" t="inlineStr">
        <is>
          <t>pontual</t>
        </is>
      </c>
      <c r="AJ409" t="n">
        <v>0</v>
      </c>
      <c r="AK409" t="n">
        <v>0</v>
      </c>
      <c r="AL409" t="n">
        <v>0</v>
      </c>
      <c r="AM409" t="n">
        <v>0</v>
      </c>
      <c r="AN409" t="n">
        <v>0</v>
      </c>
      <c r="AQ409" t="n">
        <v>1</v>
      </c>
      <c r="AR409" t="inlineStr">
        <is>
          <t>fora_do_nucleo</t>
        </is>
      </c>
      <c r="AS409" t="inlineStr">
        <is>
          <t>145 itens, 100% generos alimenticios (abacate, abacaxi, abobora, achocolatado etc.) -- aquisicao de alimentos, sem relacao com equipamentos ou servicos de refrigeracao; falso positivo da regex de area.</t>
        </is>
      </c>
      <c r="AT409" t="n">
        <v>0</v>
      </c>
      <c r="AU409" t="n">
        <v>0</v>
      </c>
    </row>
    <row r="410">
      <c r="A410" t="inlineStr">
        <is>
          <t>18132464000117_2026_65</t>
        </is>
      </c>
      <c r="B410" s="2" t="inlineStr">
        <is>
          <t>https://pncp.gov.br/app/editais/18132464000117/2026/65</t>
        </is>
      </c>
      <c r="C410" t="inlineStr">
        <is>
          <t>2026-09-27T05:43:10.242041+00:00</t>
        </is>
      </c>
      <c r="D410" t="inlineStr">
        <is>
          <t>MG</t>
        </is>
      </c>
      <c r="E410" t="inlineStr">
        <is>
          <t>vizinhos</t>
        </is>
      </c>
      <c r="F410" t="inlineStr">
        <is>
          <t>Coimbra</t>
        </is>
      </c>
      <c r="G410" t="inlineStr">
        <is>
          <t>MUNICIPIO DE COIMBRA</t>
        </is>
      </c>
      <c r="H410" t="inlineStr">
        <is>
          <t>Municipal</t>
        </is>
      </c>
      <c r="I410" t="inlineStr">
        <is>
          <t>2026-08-20T08:43:40</t>
        </is>
      </c>
      <c r="J410" t="inlineStr">
        <is>
          <t>Pregão - Eletrônico</t>
        </is>
      </c>
      <c r="K410" t="inlineStr">
        <is>
          <t>[Portal de Compras Públicas] - Contratação de empresa especializada para prestação de serviços de manutenção preventiva e corretiva do sistema de iluminação pública do Município de Coimbra/MG para atender as demandas do setor de Obras municipal.</t>
        </is>
      </c>
      <c r="L410" t="b">
        <v>0</v>
      </c>
      <c r="M410" t="inlineStr">
        <is>
          <t>iluminacao_publica</t>
        </is>
      </c>
      <c r="N410" t="inlineStr">
        <is>
          <t>iluminacao_publica</t>
        </is>
      </c>
      <c r="O410" t="n">
        <v>71647.8</v>
      </c>
      <c r="P410" t="n">
        <v>70800</v>
      </c>
      <c r="Q410" t="n">
        <v>71647.8</v>
      </c>
      <c r="R410" t="n">
        <v>0.01183288251697878</v>
      </c>
      <c r="S410" t="n">
        <v>0</v>
      </c>
      <c r="T410" t="n">
        <v>1</v>
      </c>
      <c r="U410" t="n">
        <v>1</v>
      </c>
      <c r="V410" t="n">
        <v>1</v>
      </c>
      <c r="W410" t="n">
        <v>0</v>
      </c>
      <c r="X410" t="n">
        <v>0</v>
      </c>
      <c r="Y410" t="n">
        <v>0</v>
      </c>
      <c r="Z410" t="n">
        <v>0</v>
      </c>
      <c r="AA410" t="n">
        <v>1</v>
      </c>
      <c r="AB410" t="n">
        <v>0</v>
      </c>
      <c r="AC410" t="n">
        <v>0</v>
      </c>
      <c r="AD410" t="n">
        <v>0</v>
      </c>
      <c r="AE410" t="n">
        <v>1</v>
      </c>
      <c r="AF410" t="inlineStr">
        <is>
          <t>ILUMINAR SERVICOS ELETRICOS LTDA:EPP</t>
        </is>
      </c>
      <c r="AH410" t="inlineStr">
        <is>
          <t>indefinido</t>
        </is>
      </c>
      <c r="AJ410" t="n">
        <v>0</v>
      </c>
      <c r="AK410" t="n">
        <v>0</v>
      </c>
      <c r="AL410" t="n">
        <v>0</v>
      </c>
      <c r="AM410" t="n">
        <v>0</v>
      </c>
      <c r="AN410" t="n">
        <v>0</v>
      </c>
      <c r="AQ410" t="n">
        <v>1</v>
      </c>
      <c r="AS410" t="inlineStr">
        <is>
          <t>Coimbra/MG — objeto expresso de 'prestação de serviços de manutenção preventiva e corretiva do sistema de IP'; o único item do PNCP veio mal-codificado como material. Reclassificado por revisão manual.</t>
        </is>
      </c>
      <c r="AT410" t="n">
        <v>1</v>
      </c>
      <c r="AU410" t="n">
        <v>1</v>
      </c>
    </row>
    <row r="411">
      <c r="A411" t="inlineStr">
        <is>
          <t>18188219000121_2026_331</t>
        </is>
      </c>
      <c r="B411" s="2" t="inlineStr">
        <is>
          <t>https://pncp.gov.br/app/editais/18188219000121/2026/331</t>
        </is>
      </c>
      <c r="C411" t="inlineStr">
        <is>
          <t>2026-09-27T05:54:12.132700+00:00</t>
        </is>
      </c>
      <c r="D411" t="inlineStr">
        <is>
          <t>MG</t>
        </is>
      </c>
      <c r="E411" t="inlineStr">
        <is>
          <t>vizinhos</t>
        </is>
      </c>
      <c r="F411" t="inlineStr">
        <is>
          <t>São Lourenço</t>
        </is>
      </c>
      <c r="G411" t="inlineStr">
        <is>
          <t>MUNICIPIO DE SAO LOURENCO</t>
        </is>
      </c>
      <c r="H411" t="inlineStr">
        <is>
          <t>Municipal</t>
        </is>
      </c>
      <c r="I411" t="inlineStr">
        <is>
          <t>2026-08-28T16:52:29</t>
        </is>
      </c>
      <c r="J411" t="inlineStr">
        <is>
          <t>Pregão - Eletrônico</t>
        </is>
      </c>
      <c r="K411" t="inlineStr">
        <is>
          <t>Prestação de serviços especializados na locação de caminhão Munck, com capacidade mínima de 45 t/m (quarenta e cinco toneladas/metro), com 20 m (vinte metros) de lança, instalado em caminhão de três eixos, com PBT mínimo de 23 t (vinte e três toneladas), para atendimento às necessidades da Administração Municipal de São Lourenço/MG, conforme sua programação e demanda, para futura e eventual contratação, com inscrição em Ata de Registro de Preços</t>
        </is>
      </c>
      <c r="L411" t="b">
        <v>1</v>
      </c>
      <c r="M411" t="inlineStr">
        <is>
          <t>munck</t>
        </is>
      </c>
      <c r="N411" t="inlineStr">
        <is>
          <t>munck</t>
        </is>
      </c>
      <c r="O411" t="n">
        <v>237792</v>
      </c>
      <c r="P411" t="n">
        <v>234000</v>
      </c>
      <c r="Q411" t="n">
        <v>237792</v>
      </c>
      <c r="R411" t="n">
        <v>0.01594670972951151</v>
      </c>
      <c r="S411" t="n">
        <v>0</v>
      </c>
      <c r="T411" t="n">
        <v>2</v>
      </c>
      <c r="U411" t="n">
        <v>2</v>
      </c>
      <c r="V411" t="n">
        <v>2</v>
      </c>
      <c r="W411" t="n">
        <v>0</v>
      </c>
      <c r="X411" t="n">
        <v>0</v>
      </c>
      <c r="Y411" t="n">
        <v>0</v>
      </c>
      <c r="Z411" t="n">
        <v>0</v>
      </c>
      <c r="AA411" t="n">
        <v>0</v>
      </c>
      <c r="AB411" t="n">
        <v>1</v>
      </c>
      <c r="AC411" t="n">
        <v>0</v>
      </c>
      <c r="AD411" t="n">
        <v>0</v>
      </c>
      <c r="AE411" t="n">
        <v>1</v>
      </c>
      <c r="AF411" t="inlineStr">
        <is>
          <t>AUTO SOCORRO EDUARDO LTDA:ME</t>
        </is>
      </c>
      <c r="AH411" t="inlineStr">
        <is>
          <t>pontual</t>
        </is>
      </c>
      <c r="AJ411" t="n">
        <v>0</v>
      </c>
      <c r="AK411" t="n">
        <v>0</v>
      </c>
      <c r="AL411" t="n">
        <v>0</v>
      </c>
      <c r="AM411" t="n">
        <v>0</v>
      </c>
      <c r="AN411" t="n">
        <v>0</v>
      </c>
      <c r="AQ411" t="n">
        <v>0</v>
      </c>
      <c r="AS411" t="inlineStr">
        <is>
          <t>Locação de caminhão munck de GRANDE porte (45 t/m, lança 20m, caminhão 3 eixos, PBT 23t), por hora (2 itens: ampla concorrência 450h + cota ME/EPP 150h); núcleo do escopo -- maior capacidade da amostra.</t>
        </is>
      </c>
      <c r="AT411" t="n">
        <v>0</v>
      </c>
      <c r="AU411" t="n">
        <v>1</v>
      </c>
    </row>
    <row r="412">
      <c r="A412" t="inlineStr">
        <is>
          <t>18242792000176_2026_147</t>
        </is>
      </c>
      <c r="B412" s="2" t="inlineStr">
        <is>
          <t>https://pncp.gov.br/app/editais/18242792000176/2026/147</t>
        </is>
      </c>
      <c r="C412" t="inlineStr">
        <is>
          <t>2026-09-27T05:44:04.236725+00:00</t>
        </is>
      </c>
      <c r="D412" t="inlineStr">
        <is>
          <t>MG</t>
        </is>
      </c>
      <c r="E412" t="inlineStr">
        <is>
          <t>vizinhos</t>
        </is>
      </c>
      <c r="F412" t="inlineStr">
        <is>
          <t>Poço Fundo</t>
        </is>
      </c>
      <c r="G412" t="inlineStr">
        <is>
          <t>MUNICIPIO DE POCO FUNDO</t>
        </is>
      </c>
      <c r="H412" t="inlineStr">
        <is>
          <t>Municipal</t>
        </is>
      </c>
      <c r="I412" t="inlineStr">
        <is>
          <t>2026-08-21T14:55:25</t>
        </is>
      </c>
      <c r="J412" t="inlineStr">
        <is>
          <t>Pregão - Eletrônico</t>
        </is>
      </c>
      <c r="K412" t="inlineStr">
        <is>
          <t>REGISTRO DE PRECOS PARA FUTURAS E EVENTUAIS CONTRATACOES DE EMPRESA ESPECIALIZADA NA PRESTACAO DE SERVICOS DE MANUTENCAO DE APARELHOS DE AR CONDICIONADO INSTALADOS NOS PREDIOS PUBLICOS MUNICIPAIS, CONFORME DESCRITO NO EDITAL.</t>
        </is>
      </c>
      <c r="L412" t="b">
        <v>1</v>
      </c>
      <c r="M412" t="inlineStr">
        <is>
          <t>climatizacao</t>
        </is>
      </c>
      <c r="N412" t="inlineStr">
        <is>
          <t>climatizacao</t>
        </is>
      </c>
      <c r="O412" t="n">
        <v>42252.33</v>
      </c>
      <c r="P412" t="n">
        <v>29272</v>
      </c>
      <c r="Q412" t="n">
        <v>42252.33</v>
      </c>
      <c r="R412" t="n">
        <v>0.3072098035776961</v>
      </c>
      <c r="S412" t="n">
        <v>0</v>
      </c>
      <c r="T412" t="n">
        <v>6</v>
      </c>
      <c r="U412" t="n">
        <v>6</v>
      </c>
      <c r="V412" t="n">
        <v>6</v>
      </c>
      <c r="W412" t="n">
        <v>0</v>
      </c>
      <c r="X412" t="n">
        <v>0</v>
      </c>
      <c r="Y412" t="n">
        <v>0</v>
      </c>
      <c r="Z412" t="n">
        <v>0</v>
      </c>
      <c r="AA412" t="n">
        <v>1</v>
      </c>
      <c r="AB412" t="n">
        <v>0</v>
      </c>
      <c r="AC412" t="n">
        <v>0</v>
      </c>
      <c r="AD412" t="n">
        <v>1</v>
      </c>
      <c r="AE412" t="n">
        <v>1</v>
      </c>
      <c r="AF412" t="inlineStr">
        <is>
          <t>53.767.074 BRENO ALCANTARA REIS:ME</t>
        </is>
      </c>
      <c r="AH412" t="inlineStr">
        <is>
          <t>indefinido</t>
        </is>
      </c>
      <c r="AJ412" t="n">
        <v>0</v>
      </c>
      <c r="AK412" t="n">
        <v>0</v>
      </c>
      <c r="AL412" t="n">
        <v>0</v>
      </c>
      <c r="AM412" t="n">
        <v>0</v>
      </c>
      <c r="AN412" t="n">
        <v>0</v>
      </c>
      <c r="AQ412" t="n">
        <v>0</v>
      </c>
      <c r="AS412" t="inlineStr">
        <is>
          <t>Servico de manutencao de aparelhos de ar condicionado em predios publicos municipais.</t>
        </is>
      </c>
      <c r="AT412" t="n">
        <v>0</v>
      </c>
      <c r="AU412" t="n">
        <v>1</v>
      </c>
    </row>
    <row r="413">
      <c r="A413" t="inlineStr">
        <is>
          <t>18244376000107_2026_137</t>
        </is>
      </c>
      <c r="B413" s="2" t="inlineStr">
        <is>
          <t>https://pncp.gov.br/app/editais/18244376000107/2026/137</t>
        </is>
      </c>
      <c r="C413" t="inlineStr">
        <is>
          <t>2026-09-27T05:53:03.219075+00:00</t>
        </is>
      </c>
      <c r="D413" t="inlineStr">
        <is>
          <t>MG</t>
        </is>
      </c>
      <c r="E413" t="inlineStr">
        <is>
          <t>vizinhos</t>
        </is>
      </c>
      <c r="F413" t="inlineStr">
        <is>
          <t>Lavras</t>
        </is>
      </c>
      <c r="G413" t="inlineStr">
        <is>
          <t>MUNICIPIO DE LAVRAS</t>
        </is>
      </c>
      <c r="H413" t="inlineStr">
        <is>
          <t>Municipal</t>
        </is>
      </c>
      <c r="I413" t="inlineStr">
        <is>
          <t>2026-07-02T13:39:00</t>
        </is>
      </c>
      <c r="J413" t="inlineStr">
        <is>
          <t>Pregão - Eletrônico</t>
        </is>
      </c>
      <c r="K413" t="inlineStr">
        <is>
          <t>[Portal de Compras Públicas] - Registro de preço para futura e eventual aquisição de materiais e insumos destinados 
à manutenção de vias urbanas e rurais, pontes, mata-burros, sinalização viária, bem 
como à manutenção predial e à execução de obras públicas de pequeno porte. Inclui o 
fornecimento de materiais de construção civil, elétricos, hidráulicos, de pintura, 
esquadrias, serralheria, cobertura, calhas, rufos, pingadeiras, pisos, revestimentos, 
ferramentas, mourões de concreto, materiais de combate a incêndio, equipamentos de 
proteção individual (EPIs), instalações lógicas, câmeras de monitoramento e sistemas de 
ar-condicionado.</t>
        </is>
      </c>
      <c r="L413" t="b">
        <v>1</v>
      </c>
      <c r="M413" t="inlineStr">
        <is>
          <t>climatizacao</t>
        </is>
      </c>
      <c r="N413" t="inlineStr">
        <is>
          <t>climatizacao</t>
        </is>
      </c>
      <c r="O413" t="n">
        <v>80.84999999999999</v>
      </c>
      <c r="P413" t="n">
        <v>83.10000000000001</v>
      </c>
      <c r="Q413" t="n">
        <v>80.85000000000001</v>
      </c>
      <c r="R413" t="n">
        <v>-0.02782931354359925</v>
      </c>
      <c r="S413" t="n">
        <v>1</v>
      </c>
      <c r="T413" t="n">
        <v>17</v>
      </c>
      <c r="U413" t="n">
        <v>17</v>
      </c>
      <c r="V413" t="n">
        <v>17</v>
      </c>
      <c r="W413" t="n">
        <v>0</v>
      </c>
      <c r="X413" t="n">
        <v>0</v>
      </c>
      <c r="Y413" t="n">
        <v>0</v>
      </c>
      <c r="Z413" t="n">
        <v>0</v>
      </c>
      <c r="AA413" t="n">
        <v>0</v>
      </c>
      <c r="AB413" t="n">
        <v>0</v>
      </c>
      <c r="AC413" t="n">
        <v>0</v>
      </c>
      <c r="AD413" t="n">
        <v>0</v>
      </c>
      <c r="AE413" t="n">
        <v>3</v>
      </c>
      <c r="AF413" t="inlineStr">
        <is>
          <t>ROSANA DE CARVALHO VILAS BOAS COMERCIO LTDA:ME; CASTRO ARANTES QUIMICA INDUSTRIAL LTDA:EPP; HERICON FELIPE TRISTAO NASCIMENTO:ME</t>
        </is>
      </c>
      <c r="AH413" t="inlineStr">
        <is>
          <t>pontual</t>
        </is>
      </c>
      <c r="AJ413" t="n">
        <v>0</v>
      </c>
      <c r="AK413" t="n">
        <v>0</v>
      </c>
      <c r="AL413" t="n">
        <v>0</v>
      </c>
      <c r="AM413" t="n">
        <v>0</v>
      </c>
      <c r="AN413" t="n">
        <v>0</v>
      </c>
      <c r="AQ413" t="n">
        <v>1</v>
      </c>
      <c r="AR413" t="inlineStr">
        <is>
          <t>fornecimento_puro</t>
        </is>
      </c>
      <c r="AS413" t="inlineStr">
        <is>
          <t>Aquisicao de materiais para manutencao de vias, pontes, sinalizacao, obras de pequeno porte e manutencao predial em geral; ar-condicionado e mencao secundaria entre dezenas de categorias de materiais de construcao -- compra pura, fora do escopo real de climatizacao.</t>
        </is>
      </c>
      <c r="AT413" t="n">
        <v>1</v>
      </c>
      <c r="AU413" t="n">
        <v>0</v>
      </c>
    </row>
    <row r="414">
      <c r="A414" t="inlineStr">
        <is>
          <t>18245167000188_2026_106</t>
        </is>
      </c>
      <c r="B414" s="2" t="inlineStr">
        <is>
          <t>https://pncp.gov.br/app/editais/18245167000188/2026/106</t>
        </is>
      </c>
      <c r="C414" t="inlineStr">
        <is>
          <t>2026-09-27T05:55:12.637589+00:00</t>
        </is>
      </c>
      <c r="D414" t="inlineStr">
        <is>
          <t>MG</t>
        </is>
      </c>
      <c r="E414" t="inlineStr">
        <is>
          <t>vizinhos</t>
        </is>
      </c>
      <c r="F414" t="inlineStr">
        <is>
          <t>Três Pontas</t>
        </is>
      </c>
      <c r="G414" t="inlineStr">
        <is>
          <t>MUNICIPIO DE TRES PONTAS</t>
        </is>
      </c>
      <c r="H414" t="inlineStr">
        <is>
          <t>Municipal</t>
        </is>
      </c>
      <c r="I414" t="inlineStr">
        <is>
          <t>2026-07-15T09:01:49</t>
        </is>
      </c>
      <c r="J414" t="inlineStr">
        <is>
          <t>Pregão - Eletrônico</t>
        </is>
      </c>
      <c r="K414" t="inlineStr">
        <is>
          <t>AQUISIÇÃO DE MATERIAIS PARA MOVIMENTAÇÃO, IÇAMENTO, AMARRAÇÃO E FIXAÇÃO DE CARGAS, COMPREENDENDO CINTAS DE AMARRAÇÃO COM CATRACA, MANILHAS E CINTAS DE ELEVAÇÃO DE CARGA COM DIFERENTES CAPACIDADES E COMPRIMENTOS, DESTINADOS À EXECUÇÃO DE SERVIÇOS OPERACIONAIS DA SECRETARIA MUNICIPAL DE TRANSPORTES E OBRAS, VISANDO GARANTIR SEGURANÇA, EFICIÊNCIA E ADEQUADAS CONDIÇÕES DE TRABALHO NAS ATIVIDADES DE TRANSPORTE, CARGA, DESCARGA, REMOÇÃO, MANUTENÇÃO E MOVIMENTAÇÃO DE MÁQUINAS, EQUIPAMENTOS, ESTRUTURAS E DEMAIS MATERIAIS UTILIZADOS NAS AÇÕES DESENVOLVIDAS PELO MUNICÍPIO.</t>
        </is>
      </c>
      <c r="L414" t="b">
        <v>0</v>
      </c>
      <c r="M414" t="inlineStr">
        <is>
          <t>munck</t>
        </is>
      </c>
      <c r="N414" t="inlineStr">
        <is>
          <t>munck</t>
        </is>
      </c>
      <c r="O414" t="n">
        <v>11004.54</v>
      </c>
      <c r="P414" t="n">
        <v>7110.199999999999</v>
      </c>
      <c r="Q414" t="n">
        <v>11004.54</v>
      </c>
      <c r="R414" t="n">
        <v>0.3538848511614297</v>
      </c>
      <c r="S414" t="n">
        <v>0</v>
      </c>
      <c r="T414" t="n">
        <v>5</v>
      </c>
      <c r="U414" t="n">
        <v>5</v>
      </c>
      <c r="V414" t="n">
        <v>5</v>
      </c>
      <c r="W414" t="n">
        <v>0</v>
      </c>
      <c r="X414" t="n">
        <v>0</v>
      </c>
      <c r="Y414" t="n">
        <v>0</v>
      </c>
      <c r="Z414" t="n">
        <v>0</v>
      </c>
      <c r="AA414" t="n">
        <v>1</v>
      </c>
      <c r="AB414" t="n">
        <v>0</v>
      </c>
      <c r="AC414" t="n">
        <v>0</v>
      </c>
      <c r="AD414" t="n">
        <v>0</v>
      </c>
      <c r="AE414" t="n">
        <v>1</v>
      </c>
      <c r="AF414" t="inlineStr">
        <is>
          <t>47.563.357 LEONARDO BATISTA:ME</t>
        </is>
      </c>
      <c r="AH414" t="inlineStr">
        <is>
          <t>pontual</t>
        </is>
      </c>
      <c r="AJ414" t="n">
        <v>0</v>
      </c>
      <c r="AK414" t="n">
        <v>0</v>
      </c>
      <c r="AL414" t="n">
        <v>0</v>
      </c>
      <c r="AM414" t="n">
        <v>0</v>
      </c>
      <c r="AN414" t="n">
        <v>0</v>
      </c>
      <c r="AQ414" t="n">
        <v>1</v>
      </c>
      <c r="AR414" t="inlineStr">
        <is>
          <t>fornecimento_puro</t>
        </is>
      </c>
      <c r="AS414" t="inlineStr">
        <is>
          <t>Aquisição de materiais/acessórios de içamento (cintas de amarração, manilhas, cintas de elevação) -- insumos de apoio, não locação de caminhão munck.</t>
        </is>
      </c>
      <c r="AT414" t="n">
        <v>1</v>
      </c>
      <c r="AU414" t="n">
        <v>0</v>
      </c>
    </row>
    <row r="415">
      <c r="A415" t="inlineStr">
        <is>
          <t>18245183000170_2026_136</t>
        </is>
      </c>
      <c r="B415" s="2" t="inlineStr">
        <is>
          <t>https://pncp.gov.br/app/editais/18245183000170/2026/136</t>
        </is>
      </c>
      <c r="C415" t="inlineStr">
        <is>
          <t>2026-09-27T05:42:16.221841+00:00</t>
        </is>
      </c>
      <c r="D415" t="inlineStr">
        <is>
          <t>MG</t>
        </is>
      </c>
      <c r="E415" t="inlineStr">
        <is>
          <t>vizinhos</t>
        </is>
      </c>
      <c r="F415" t="inlineStr">
        <is>
          <t>Santana da Vargem</t>
        </is>
      </c>
      <c r="G415" t="inlineStr">
        <is>
          <t>MUNICIPIO DE SANTANA DA VARGEM</t>
        </is>
      </c>
      <c r="H415" t="inlineStr">
        <is>
          <t>Municipal</t>
        </is>
      </c>
      <c r="I415" t="inlineStr">
        <is>
          <t>2026-09-16T05:05:36</t>
        </is>
      </c>
      <c r="J415" t="inlineStr">
        <is>
          <t>Pregão - Eletrônico</t>
        </is>
      </c>
      <c r="K415" t="inlineStr">
        <is>
          <t>[Portal de Compras Públicas] - Pregão eletrônico visando o registro de preços para futura e eventual contratação de empresas especializadas para locação e prestação de serviços de montagem, desmontagem, instalação, desinstalação e transporte de estrutura para eventos (palco, iluminação, sonorização, locação de tendas, painel de LED, locação de banheiros tipo contêiner, produção de eventos, locução profissional, camarins, grids e outras estruturas complementares) para o Município de Santana da Vargem/MG.</t>
        </is>
      </c>
      <c r="L415" t="b">
        <v>1</v>
      </c>
      <c r="M415" t="inlineStr">
        <is>
          <t>iluminacao_publica</t>
        </is>
      </c>
      <c r="N415" t="inlineStr">
        <is>
          <t>iluminacao_publica</t>
        </is>
      </c>
      <c r="O415" t="n">
        <v>0</v>
      </c>
      <c r="S415" t="n">
        <v>0</v>
      </c>
      <c r="T415" t="n">
        <v>22</v>
      </c>
      <c r="U415" t="n">
        <v>0</v>
      </c>
      <c r="V415" t="n">
        <v>0</v>
      </c>
      <c r="W415" t="n">
        <v>0</v>
      </c>
      <c r="X415" t="n">
        <v>0</v>
      </c>
      <c r="Y415" t="n">
        <v>22</v>
      </c>
      <c r="Z415" t="n">
        <v>0</v>
      </c>
      <c r="AA415" t="n">
        <v>0</v>
      </c>
      <c r="AB415" t="n">
        <v>1</v>
      </c>
      <c r="AC415" t="n">
        <v>0</v>
      </c>
      <c r="AD415" t="n">
        <v>0</v>
      </c>
      <c r="AE415" t="n">
        <v>0</v>
      </c>
      <c r="AF415" t="inlineStr"/>
      <c r="AH415" t="inlineStr">
        <is>
          <t>pontual</t>
        </is>
      </c>
      <c r="AJ415" t="n">
        <v>0</v>
      </c>
      <c r="AK415" t="n">
        <v>0</v>
      </c>
      <c r="AL415" t="n">
        <v>0</v>
      </c>
      <c r="AM415" t="n">
        <v>0</v>
      </c>
      <c r="AN415" t="n">
        <v>0</v>
      </c>
      <c r="AQ415" t="n">
        <v>0</v>
      </c>
      <c r="AR415" t="inlineStr">
        <is>
          <t>mencao_passagem</t>
        </is>
      </c>
      <c r="AS415" t="inlineStr">
        <is>
          <t>Locação de estruturas para eventos (palco, iluminação, sonorização, tendas, LED, banheiros); todos os 22 itens foram anulados/cancelados — não é manutenção de IP.</t>
        </is>
      </c>
      <c r="AT415" t="n">
        <v>0</v>
      </c>
      <c r="AU415" t="n">
        <v>0</v>
      </c>
    </row>
    <row r="416">
      <c r="A416" t="inlineStr">
        <is>
          <t>18295329000192_2024_244</t>
        </is>
      </c>
      <c r="B416" s="2" t="inlineStr">
        <is>
          <t>https://pncp.gov.br/app/editais/18295329000192/2024/244</t>
        </is>
      </c>
      <c r="C416" t="inlineStr">
        <is>
          <t>2026-09-27T05:51:54.402966+00:00</t>
        </is>
      </c>
      <c r="D416" t="inlineStr">
        <is>
          <t>MG</t>
        </is>
      </c>
      <c r="E416" t="inlineStr">
        <is>
          <t>vizinhos</t>
        </is>
      </c>
      <c r="F416" t="inlineStr">
        <is>
          <t>Ouro Branco</t>
        </is>
      </c>
      <c r="G416" t="inlineStr">
        <is>
          <t>MUNICIPIO DE OURO BRANCO</t>
        </is>
      </c>
      <c r="H416" t="inlineStr">
        <is>
          <t>Municipal</t>
        </is>
      </c>
      <c r="I416" t="inlineStr">
        <is>
          <t>2026-08-17T08:59:00</t>
        </is>
      </c>
      <c r="J416" t="inlineStr">
        <is>
          <t>Concorrência - Eletrônica</t>
        </is>
      </c>
      <c r="K416" t="inlineStr">
        <is>
          <t>CONTRATAÇÃO DE EMPRESA PARA EXECUÇÃO DA COBERTURA DA QUADRA LOCALIZADA NA COMUNIDADE JOÃO GOTE COM EXECUÇÃO DE ELÉTRICA, REFORMA DO PISO E FECHAMENTO LATERAL DA QUADRA.</t>
        </is>
      </c>
      <c r="L416" t="b">
        <v>0</v>
      </c>
      <c r="M416" t="inlineStr">
        <is>
          <t>eletrica_predial</t>
        </is>
      </c>
      <c r="N416" t="inlineStr">
        <is>
          <t>eletrica_predial</t>
        </is>
      </c>
      <c r="O416" t="n">
        <v>1217056.02</v>
      </c>
      <c r="P416" t="n">
        <v>530522.0600000001</v>
      </c>
      <c r="Q416" t="n">
        <v>917603.1200000001</v>
      </c>
      <c r="R416" t="n">
        <v>0.4218392837906414</v>
      </c>
      <c r="S416" t="n">
        <v>0</v>
      </c>
      <c r="T416" t="n">
        <v>87</v>
      </c>
      <c r="U416" t="n">
        <v>40</v>
      </c>
      <c r="V416" t="n">
        <v>87</v>
      </c>
      <c r="W416" t="n">
        <v>0</v>
      </c>
      <c r="X416" t="n">
        <v>0</v>
      </c>
      <c r="Y416" t="n">
        <v>0</v>
      </c>
      <c r="Z416" t="n">
        <v>0</v>
      </c>
      <c r="AA416" t="n">
        <v>0</v>
      </c>
      <c r="AB416" t="n">
        <v>0</v>
      </c>
      <c r="AC416" t="n">
        <v>0</v>
      </c>
      <c r="AD416" t="n">
        <v>0</v>
      </c>
      <c r="AE416" t="n">
        <v>1</v>
      </c>
      <c r="AF416" t="inlineStr">
        <is>
          <t>FRANTEC CONSTRUCOES LTDA:Demais</t>
        </is>
      </c>
      <c r="AH416" t="inlineStr">
        <is>
          <t>continuado</t>
        </is>
      </c>
      <c r="AJ416" t="n">
        <v>0</v>
      </c>
      <c r="AK416" t="n">
        <v>0</v>
      </c>
      <c r="AL416" t="n">
        <v>0</v>
      </c>
      <c r="AM416" t="n">
        <v>0</v>
      </c>
      <c r="AN416" t="n">
        <v>0</v>
      </c>
      <c r="AQ416" t="n">
        <v>0.08327176262601289</v>
      </c>
      <c r="AR416" t="inlineStr">
        <is>
          <t>fora_de_escopo</t>
        </is>
      </c>
      <c r="AS416" t="inlineStr">
        <is>
          <t>Execucao de cobertura de quadra esportiva com execucao de eletrica e reforma de piso -- obra civil geral (cobertura/quadra), eletrica e apenas 1 dos 3 servicos do objeto.</t>
        </is>
      </c>
      <c r="AT416" t="n">
        <v>0</v>
      </c>
      <c r="AU416" t="n">
        <v>0</v>
      </c>
    </row>
    <row r="417">
      <c r="A417" t="inlineStr">
        <is>
          <t>18296681000142_2026_184</t>
        </is>
      </c>
      <c r="B417" s="2" t="inlineStr">
        <is>
          <t>https://pncp.gov.br/app/editais/18296681000142/2026/184</t>
        </is>
      </c>
      <c r="C417" t="inlineStr">
        <is>
          <t>2026-09-27T05:51:57.706042+00:00</t>
        </is>
      </c>
      <c r="D417" t="inlineStr">
        <is>
          <t>MG</t>
        </is>
      </c>
      <c r="E417" t="inlineStr">
        <is>
          <t>vizinhos</t>
        </is>
      </c>
      <c r="F417" t="inlineStr">
        <is>
          <t>Pompéu</t>
        </is>
      </c>
      <c r="G417" t="inlineStr">
        <is>
          <t>MUNICIPIO DE POMPEU</t>
        </is>
      </c>
      <c r="H417" t="inlineStr">
        <is>
          <t>Municipal</t>
        </is>
      </c>
      <c r="I417" t="inlineStr">
        <is>
          <t>2026-08-14T14:47:47</t>
        </is>
      </c>
      <c r="J417" t="inlineStr">
        <is>
          <t>Pregão - Eletrônico</t>
        </is>
      </c>
      <c r="K417" t="inlineStr">
        <is>
          <t>Registro de preços visando à contratação de empresa especializada para prestação de serviços comuns de engenharia destinados à manutenção predial preventiva, corretiva, pequenas adaptações e reformas</t>
        </is>
      </c>
      <c r="L417" t="b">
        <v>1</v>
      </c>
      <c r="M417" t="inlineStr">
        <is>
          <t>manutencao_predial</t>
        </is>
      </c>
      <c r="N417" t="inlineStr">
        <is>
          <t>manutencao_predial</t>
        </is>
      </c>
      <c r="O417" t="n">
        <v>4630579.4</v>
      </c>
      <c r="P417" t="n">
        <v>3357170.06</v>
      </c>
      <c r="Q417" t="n">
        <v>4630579.4</v>
      </c>
      <c r="R417" t="n">
        <v>0.2750000010797785</v>
      </c>
      <c r="S417" t="n">
        <v>0</v>
      </c>
      <c r="T417" t="n">
        <v>1</v>
      </c>
      <c r="U417" t="n">
        <v>1</v>
      </c>
      <c r="V417" t="n">
        <v>1</v>
      </c>
      <c r="W417" t="n">
        <v>0</v>
      </c>
      <c r="X417" t="n">
        <v>0</v>
      </c>
      <c r="Y417" t="n">
        <v>0</v>
      </c>
      <c r="Z417" t="n">
        <v>0</v>
      </c>
      <c r="AA417" t="n">
        <v>0</v>
      </c>
      <c r="AB417" t="n">
        <v>0</v>
      </c>
      <c r="AC417" t="n">
        <v>0</v>
      </c>
      <c r="AD417" t="n">
        <v>1</v>
      </c>
      <c r="AE417" t="n">
        <v>1</v>
      </c>
      <c r="AF417" t="inlineStr">
        <is>
          <t>GIDERE CONSTRUTORA LTDA:ME</t>
        </is>
      </c>
      <c r="AH417" t="inlineStr">
        <is>
          <t>indefinido</t>
        </is>
      </c>
      <c r="AJ417" t="n">
        <v>0</v>
      </c>
      <c r="AK417" t="n">
        <v>0</v>
      </c>
      <c r="AL417" t="n">
        <v>0</v>
      </c>
      <c r="AM417" t="n">
        <v>0</v>
      </c>
      <c r="AN417" t="n">
        <v>0</v>
      </c>
      <c r="AQ417" t="n">
        <v>0</v>
      </c>
      <c r="AT417" t="n">
        <v>0</v>
      </c>
      <c r="AU417" t="n">
        <v>1</v>
      </c>
    </row>
    <row r="418">
      <c r="A418" t="inlineStr">
        <is>
          <t>18303697000135_2025_3</t>
        </is>
      </c>
      <c r="B418" s="2" t="inlineStr">
        <is>
          <t>https://pncp.gov.br/app/editais/18303697000135/2025/3</t>
        </is>
      </c>
      <c r="C418" t="inlineStr">
        <is>
          <t>2026-09-27T05:42:48.223724+00:00</t>
        </is>
      </c>
      <c r="D418" t="inlineStr">
        <is>
          <t>MG</t>
        </is>
      </c>
      <c r="E418" t="inlineStr">
        <is>
          <t>vizinhos</t>
        </is>
      </c>
      <c r="F418" t="inlineStr">
        <is>
          <t>Bonito de Minas</t>
        </is>
      </c>
      <c r="G418" t="inlineStr">
        <is>
          <t>CONSORCIO INTERMUNICIPAL NORTE MINEIRO DE DESENVOLVIMENTO REGIONAL DOS VALES DO CARINHANHA, COCHA, PERUACU, JAPORE E SAO FRANCISCO - CIMVALES</t>
        </is>
      </c>
      <c r="H418" t="inlineStr">
        <is>
          <t>Não se aplica</t>
        </is>
      </c>
      <c r="I418" t="inlineStr">
        <is>
          <t>2026-08-21T10:11:48</t>
        </is>
      </c>
      <c r="J418" t="inlineStr">
        <is>
          <t>Concorrência - Eletrônica</t>
        </is>
      </c>
      <c r="K418" t="inlineStr">
        <is>
          <t xml:space="preserve">Registro de Preços para “prestação de serviços de fornecimento de mão de obra acrescida dos respectivos encargos sociais e trabalhistas, bem como fornecimento de materiais e equipamentos elétricos, pautando em melhorias no parque de iluminação publica, dos Municípios Consorciados do CIMVALES”, </t>
        </is>
      </c>
      <c r="L418" t="b">
        <v>1</v>
      </c>
      <c r="M418" t="inlineStr">
        <is>
          <t>iluminacao_publica</t>
        </is>
      </c>
      <c r="N418" t="inlineStr">
        <is>
          <t>iluminacao_publica</t>
        </is>
      </c>
      <c r="O418" t="n">
        <v>102765206.66</v>
      </c>
      <c r="P418" t="n">
        <v>46244342.997</v>
      </c>
      <c r="Q418" t="n">
        <v>102765206.66</v>
      </c>
      <c r="R418" t="n">
        <v>0.55</v>
      </c>
      <c r="S418" t="n">
        <v>0</v>
      </c>
      <c r="T418" t="n">
        <v>1</v>
      </c>
      <c r="U418" t="n">
        <v>1</v>
      </c>
      <c r="V418" t="n">
        <v>1</v>
      </c>
      <c r="W418" t="n">
        <v>0</v>
      </c>
      <c r="X418" t="n">
        <v>0</v>
      </c>
      <c r="Y418" t="n">
        <v>0</v>
      </c>
      <c r="Z418" t="n">
        <v>0</v>
      </c>
      <c r="AA418" t="n">
        <v>0</v>
      </c>
      <c r="AB418" t="n">
        <v>0</v>
      </c>
      <c r="AC418" t="n">
        <v>0</v>
      </c>
      <c r="AD418" t="n">
        <v>0</v>
      </c>
      <c r="AE418" t="n">
        <v>1</v>
      </c>
      <c r="AF418" t="inlineStr">
        <is>
          <t>SAO BENTO LIGHTING SOLUTIONS LTDA:Demais</t>
        </is>
      </c>
      <c r="AH418" t="inlineStr">
        <is>
          <t>pontual</t>
        </is>
      </c>
      <c r="AJ418" t="n">
        <v>0</v>
      </c>
      <c r="AK418" t="n">
        <v>0</v>
      </c>
      <c r="AL418" t="n">
        <v>0</v>
      </c>
      <c r="AM418" t="n">
        <v>0</v>
      </c>
      <c r="AN418" t="n">
        <v>0</v>
      </c>
      <c r="AQ418" t="n">
        <v>0</v>
      </c>
      <c r="AR418" t="inlineStr">
        <is>
          <t>equipamento_alto</t>
        </is>
      </c>
      <c r="AS418" t="inlineStr">
        <is>
          <t>Registro de preços de consórcio (CIMVALES) para 'melhorias no parque de IP' com fornecimento de mão de obra e materiais em escala multimunicipal, valor estimado de R$102,7 milhões — modernização/melhoria de grande porte, muito acima do modelo de manutenção corretiva da empresa.</t>
        </is>
      </c>
      <c r="AT418" t="n">
        <v>0</v>
      </c>
      <c r="AU418" t="n">
        <v>0</v>
      </c>
    </row>
    <row r="419">
      <c r="A419" t="inlineStr">
        <is>
          <t>18338848000190_2026_57</t>
        </is>
      </c>
      <c r="B419" s="2" t="inlineStr">
        <is>
          <t>https://pncp.gov.br/app/editais/18338848000190/2026/57</t>
        </is>
      </c>
      <c r="C419" t="inlineStr">
        <is>
          <t>2026-09-27T05:43:48.227703+00:00</t>
        </is>
      </c>
      <c r="D419" t="inlineStr">
        <is>
          <t>MG</t>
        </is>
      </c>
      <c r="E419" t="inlineStr">
        <is>
          <t>vizinhos</t>
        </is>
      </c>
      <c r="F419" t="inlineStr">
        <is>
          <t>São João do Oriente</t>
        </is>
      </c>
      <c r="G419" t="inlineStr">
        <is>
          <t>MUNICIPIO DE SAO JOAO DO ORIENTE</t>
        </is>
      </c>
      <c r="H419" t="inlineStr">
        <is>
          <t>Municipal</t>
        </is>
      </c>
      <c r="I419" t="inlineStr">
        <is>
          <t>2026-08-24T17:16:54</t>
        </is>
      </c>
      <c r="J419" t="inlineStr">
        <is>
          <t>Pregão - Eletrônico</t>
        </is>
      </c>
      <c r="K419" t="inlineStr">
        <is>
          <t>REGISTRO DE PREÇOS PARA A CONTRATAÇÃO DE EMPRESA ESPECIALIZADA PARA PRESTAÇÃO DE SERVIÇOS MANUTENÇÃO CORRETIVA E PREVENTIVA EM APARELHOS DE AR – CONDICIONADO E EQUIPAMENTOS DE REFRIGERAÇÃO, PARA ATENDER AS NECESSIDADES DAS SECRETARIAS MUNICIPAIS.</t>
        </is>
      </c>
      <c r="L419" t="b">
        <v>1</v>
      </c>
      <c r="M419" t="inlineStr">
        <is>
          <t>climatizacao</t>
        </is>
      </c>
      <c r="N419" t="inlineStr">
        <is>
          <t>climatizacao</t>
        </is>
      </c>
      <c r="O419" t="n">
        <v>153474.31</v>
      </c>
      <c r="P419" t="n">
        <v>52999.82999999999</v>
      </c>
      <c r="Q419" t="n">
        <v>153474.31</v>
      </c>
      <c r="R419" t="n">
        <v>0.654666438962977</v>
      </c>
      <c r="S419" t="n">
        <v>0</v>
      </c>
      <c r="T419" t="n">
        <v>21</v>
      </c>
      <c r="U419" t="n">
        <v>21</v>
      </c>
      <c r="V419" t="n">
        <v>21</v>
      </c>
      <c r="W419" t="n">
        <v>0</v>
      </c>
      <c r="X419" t="n">
        <v>0</v>
      </c>
      <c r="Y419" t="n">
        <v>0</v>
      </c>
      <c r="Z419" t="n">
        <v>0</v>
      </c>
      <c r="AA419" t="n">
        <v>1</v>
      </c>
      <c r="AB419" t="n">
        <v>0</v>
      </c>
      <c r="AC419" t="n">
        <v>0</v>
      </c>
      <c r="AD419" t="n">
        <v>1</v>
      </c>
      <c r="AE419" t="n">
        <v>1</v>
      </c>
      <c r="AF419" t="inlineStr">
        <is>
          <t>META ELETROTÉCNICA LTDA:ME</t>
        </is>
      </c>
      <c r="AH419" t="inlineStr">
        <is>
          <t>indefinido</t>
        </is>
      </c>
      <c r="AJ419" t="n">
        <v>0</v>
      </c>
      <c r="AK419" t="n">
        <v>0</v>
      </c>
      <c r="AL419" t="n">
        <v>0</v>
      </c>
      <c r="AM419" t="n">
        <v>0</v>
      </c>
      <c r="AN419" t="n">
        <v>0</v>
      </c>
      <c r="AQ419" t="n">
        <v>1</v>
      </c>
      <c r="AS419" t="inlineStr">
        <is>
          <t>Servico de manutencao corretiva/preventiva em AC e equipamentos de refrigeracao; itens mal cadastrados como Material pelo orgao (heuristica automatica reagiu a isso).</t>
        </is>
      </c>
      <c r="AT419" t="n">
        <v>1</v>
      </c>
      <c r="AU419" t="n">
        <v>1</v>
      </c>
    </row>
    <row r="420">
      <c r="A420" t="inlineStr">
        <is>
          <t>18347419000180_2026_20</t>
        </is>
      </c>
      <c r="B420" s="2" t="inlineStr">
        <is>
          <t>https://pncp.gov.br/app/editais/18347419000180/2026/20</t>
        </is>
      </c>
      <c r="C420" t="inlineStr">
        <is>
          <t>2026-09-27T05:50:13.490248+00:00</t>
        </is>
      </c>
      <c r="D420" t="inlineStr">
        <is>
          <t>MG</t>
        </is>
      </c>
      <c r="E420" t="inlineStr">
        <is>
          <t>vizinhos</t>
        </is>
      </c>
      <c r="F420" t="inlineStr">
        <is>
          <t>Santa Maria do Salto</t>
        </is>
      </c>
      <c r="G420" t="inlineStr">
        <is>
          <t>MUNICIPIO DE SANTA MARIA DO SALTO</t>
        </is>
      </c>
      <c r="H420" t="inlineStr">
        <is>
          <t>Municipal</t>
        </is>
      </c>
      <c r="I420" t="inlineStr">
        <is>
          <t>2026-08-25T09:23:41</t>
        </is>
      </c>
      <c r="J420" t="inlineStr">
        <is>
          <t>Pregão - Eletrônico</t>
        </is>
      </c>
      <c r="K420" t="inlineStr">
        <is>
          <t>Aquisição parcelada, sob demanda, de materiais de construção, ferramentas, equipamentos de proteção individual (EPI's), tintas, materiais elétricos, hidráulicos, madeira e pré-moldados, visando a manutenção e adequação de estruturas físicas públicas.</t>
        </is>
      </c>
      <c r="L420" t="b">
        <v>0</v>
      </c>
      <c r="M420" t="inlineStr">
        <is>
          <t>eletrica_predial</t>
        </is>
      </c>
      <c r="N420" t="inlineStr">
        <is>
          <t>eletrica_predial</t>
        </is>
      </c>
      <c r="O420" t="n">
        <v>13445559.9</v>
      </c>
      <c r="P420" t="n">
        <v>1795539.76</v>
      </c>
      <c r="Q420" t="n">
        <v>1837233</v>
      </c>
      <c r="R420" t="n">
        <v>0.02269349614338522</v>
      </c>
      <c r="S420" t="n">
        <v>0</v>
      </c>
      <c r="T420" t="n">
        <v>406</v>
      </c>
      <c r="U420" t="n">
        <v>40</v>
      </c>
      <c r="V420" t="n">
        <v>404</v>
      </c>
      <c r="W420" t="n">
        <v>0</v>
      </c>
      <c r="X420" t="n">
        <v>0</v>
      </c>
      <c r="Y420" t="n">
        <v>2</v>
      </c>
      <c r="Z420" t="n">
        <v>0</v>
      </c>
      <c r="AA420" t="n">
        <v>0</v>
      </c>
      <c r="AB420" t="n">
        <v>0</v>
      </c>
      <c r="AC420" t="n">
        <v>0</v>
      </c>
      <c r="AD420" t="n">
        <v>0</v>
      </c>
      <c r="AE420" t="n">
        <v>1</v>
      </c>
      <c r="AF420" t="inlineStr">
        <is>
          <t>JURACA BANDEIRA DA ROCHA:ME</t>
        </is>
      </c>
      <c r="AH420" t="inlineStr">
        <is>
          <t>pontual</t>
        </is>
      </c>
      <c r="AJ420" t="n">
        <v>0</v>
      </c>
      <c r="AK420" t="n">
        <v>0</v>
      </c>
      <c r="AL420" t="n">
        <v>0</v>
      </c>
      <c r="AM420" t="n">
        <v>0</v>
      </c>
      <c r="AN420" t="n">
        <v>0</v>
      </c>
      <c r="AQ420" t="n">
        <v>1</v>
      </c>
      <c r="AR420" t="inlineStr">
        <is>
          <t>fornecimento_puro</t>
        </is>
      </c>
      <c r="AS420" t="inlineStr">
        <is>
          <t>Confirmada exclusao automatica (fornecimento_puro): 406 item(ns), todos classificados como material (sem servico).</t>
        </is>
      </c>
      <c r="AT420" t="n">
        <v>1</v>
      </c>
      <c r="AU420" t="n">
        <v>0</v>
      </c>
    </row>
    <row r="421">
      <c r="A421" t="inlineStr">
        <is>
          <t>18362730000106_2025_13</t>
        </is>
      </c>
      <c r="B421" s="2" t="inlineStr">
        <is>
          <t>https://pncp.gov.br/app/editais/18362730000106/2025/13</t>
        </is>
      </c>
      <c r="C421" t="inlineStr">
        <is>
          <t>2026-09-27T04:41:08.093185+00:00</t>
        </is>
      </c>
      <c r="D421" t="inlineStr">
        <is>
          <t>GO</t>
        </is>
      </c>
      <c r="E421" t="inlineStr">
        <is>
          <t>GO</t>
        </is>
      </c>
      <c r="F421" t="inlineStr">
        <is>
          <t>Buritinópolis</t>
        </is>
      </c>
      <c r="G421" t="inlineStr">
        <is>
          <t>CONSORCIO INTERMUNICIPAL DE SANEAMENTO BASICO E AMBIENTAL NORDESTE GOIANO - CISBAN - GO</t>
        </is>
      </c>
      <c r="H421" t="inlineStr">
        <is>
          <t>Não se aplica</t>
        </is>
      </c>
      <c r="I421" t="inlineStr">
        <is>
          <t>2026-01-12T10:27:37</t>
        </is>
      </c>
      <c r="J421" t="inlineStr">
        <is>
          <t>Pregão - Eletrônico</t>
        </is>
      </c>
      <c r="K421" t="inlineStr">
        <is>
          <t>[Portal de Compras Públicas] - o registro de preços para contratação de empresa para a aquisição de torre inteligente de 
iluminação pública e prestação de serviços por empresa certificada e homologada para instalação e 
montagem do equipamento para necessidades dos municípios que fazem parte do (CISBANGO), 
conforme quantidade e especificações constantes neste Edital e seus anexos.</t>
        </is>
      </c>
      <c r="L421" t="b">
        <v>0</v>
      </c>
      <c r="M421" t="inlineStr">
        <is>
          <t>iluminacao_publica</t>
        </is>
      </c>
      <c r="N421" t="inlineStr">
        <is>
          <t>iluminacao_publica</t>
        </is>
      </c>
      <c r="O421" t="n">
        <v>51350000</v>
      </c>
      <c r="P421" t="n">
        <v>46385000</v>
      </c>
      <c r="Q421" t="n">
        <v>51350000</v>
      </c>
      <c r="R421" t="n">
        <v>0.09668938656280425</v>
      </c>
      <c r="S421" t="n">
        <v>0</v>
      </c>
      <c r="T421" t="n">
        <v>2</v>
      </c>
      <c r="U421" t="n">
        <v>2</v>
      </c>
      <c r="V421" t="n">
        <v>2</v>
      </c>
      <c r="W421" t="n">
        <v>0</v>
      </c>
      <c r="X421" t="n">
        <v>0</v>
      </c>
      <c r="Y421" t="n">
        <v>0</v>
      </c>
      <c r="Z421" t="n">
        <v>0</v>
      </c>
      <c r="AA421" t="n">
        <v>0</v>
      </c>
      <c r="AB421" t="n">
        <v>0</v>
      </c>
      <c r="AC421" t="n">
        <v>0</v>
      </c>
      <c r="AD421" t="n">
        <v>0</v>
      </c>
      <c r="AE421" t="n">
        <v>1</v>
      </c>
      <c r="AF421" t="inlineStr">
        <is>
          <t>F D RABELO NASCIMENTO &amp; CIA LTDA:EPP</t>
        </is>
      </c>
      <c r="AH421" t="inlineStr">
        <is>
          <t>pontual</t>
        </is>
      </c>
      <c r="AJ421" t="n">
        <v>0</v>
      </c>
      <c r="AK421" t="n">
        <v>0</v>
      </c>
      <c r="AL421" t="n">
        <v>0</v>
      </c>
      <c r="AM421" t="n">
        <v>0</v>
      </c>
      <c r="AN421" t="n">
        <v>0</v>
      </c>
      <c r="AQ421" t="n">
        <v>0.7208698539435249</v>
      </c>
      <c r="AR421" t="inlineStr">
        <is>
          <t>equipamento_alto</t>
        </is>
      </c>
      <c r="AS421" t="inlineStr">
        <is>
          <t>Objeto envolve gerador/estrutura de evento ou fração de material &gt; 40% associada a equipamentos de grande porte.</t>
        </is>
      </c>
      <c r="AT421" t="n">
        <v>0</v>
      </c>
      <c r="AU421" t="n">
        <v>0</v>
      </c>
    </row>
    <row r="422">
      <c r="A422" t="inlineStr">
        <is>
          <t>18409227000150_2026_81</t>
        </is>
      </c>
      <c r="B422" s="2" t="inlineStr">
        <is>
          <t>https://pncp.gov.br/app/editais/18409227000150/2026/81</t>
        </is>
      </c>
      <c r="C422" t="inlineStr">
        <is>
          <t>2026-09-27T05:54:06.965179+00:00</t>
        </is>
      </c>
      <c r="D422" t="inlineStr">
        <is>
          <t>MG</t>
        </is>
      </c>
      <c r="E422" t="inlineStr">
        <is>
          <t>vizinhos</t>
        </is>
      </c>
      <c r="F422" t="inlineStr">
        <is>
          <t>Peçanha</t>
        </is>
      </c>
      <c r="G422" t="inlineStr">
        <is>
          <t>MUNICIPIO DE PECANHA</t>
        </is>
      </c>
      <c r="H422" t="inlineStr">
        <is>
          <t>Municipal</t>
        </is>
      </c>
      <c r="I422" t="inlineStr">
        <is>
          <t>2026-09-01T09:09:04</t>
        </is>
      </c>
      <c r="J422" t="inlineStr">
        <is>
          <t>Pregão - Eletrônico</t>
        </is>
      </c>
      <c r="K422" t="inlineStr">
        <is>
          <t>Aquisição de 01 caminhão tipo chassi, novo, com prancha para transporte de máquinas, guincho redutor de arrasto e guindaste hidráulico tipo Munck, destinado à Secretaria Municipal de Obras, Transportes e Serviços Urbanos</t>
        </is>
      </c>
      <c r="L422" t="b">
        <v>0</v>
      </c>
      <c r="M422" t="inlineStr">
        <is>
          <t>munck</t>
        </is>
      </c>
      <c r="N422" t="inlineStr">
        <is>
          <t>munck</t>
        </is>
      </c>
      <c r="O422" t="n">
        <v>1108000</v>
      </c>
      <c r="P422" t="n">
        <v>932000</v>
      </c>
      <c r="Q422" t="n">
        <v>1108000</v>
      </c>
      <c r="R422" t="n">
        <v>0.1588447653429603</v>
      </c>
      <c r="S422" t="n">
        <v>0</v>
      </c>
      <c r="T422" t="n">
        <v>1</v>
      </c>
      <c r="U422" t="n">
        <v>1</v>
      </c>
      <c r="V422" t="n">
        <v>1</v>
      </c>
      <c r="W422" t="n">
        <v>0</v>
      </c>
      <c r="X422" t="n">
        <v>0</v>
      </c>
      <c r="Y422" t="n">
        <v>0</v>
      </c>
      <c r="Z422" t="n">
        <v>0</v>
      </c>
      <c r="AA422" t="n">
        <v>0</v>
      </c>
      <c r="AB422" t="n">
        <v>0</v>
      </c>
      <c r="AC422" t="n">
        <v>0</v>
      </c>
      <c r="AD422" t="n">
        <v>0</v>
      </c>
      <c r="AE422" t="n">
        <v>1</v>
      </c>
      <c r="AF422" t="inlineStr">
        <is>
          <t>VCS IMPLEMENTOS E VEICULOS LTDA - 38.428.119/0001-32:Demais</t>
        </is>
      </c>
      <c r="AH422" t="inlineStr">
        <is>
          <t>pontual</t>
        </is>
      </c>
      <c r="AJ422" t="n">
        <v>0</v>
      </c>
      <c r="AK422" t="n">
        <v>0</v>
      </c>
      <c r="AL422" t="n">
        <v>0</v>
      </c>
      <c r="AM422" t="n">
        <v>0</v>
      </c>
      <c r="AN422" t="n">
        <v>0</v>
      </c>
      <c r="AQ422" t="n">
        <v>1</v>
      </c>
      <c r="AR422" t="inlineStr">
        <is>
          <t>fornecimento_puro</t>
        </is>
      </c>
      <c r="AS422" t="inlineStr">
        <is>
          <t>Aquisição de caminhão novo (chassi 8x4/6x4) equipado com prancha, guincho e guindaste hidráulico tipo Munck; compra de bem, não locação de serviço.</t>
        </is>
      </c>
      <c r="AT422" t="n">
        <v>1</v>
      </c>
      <c r="AU422" t="n">
        <v>0</v>
      </c>
    </row>
    <row r="423">
      <c r="A423" t="inlineStr">
        <is>
          <t>18423582000184_2026_119</t>
        </is>
      </c>
      <c r="B423" s="2" t="inlineStr">
        <is>
          <t>https://pncp.gov.br/app/editais/18423582000184/2026/119</t>
        </is>
      </c>
      <c r="C423" t="inlineStr">
        <is>
          <t>2026-09-27T05:43:24.266091+00:00</t>
        </is>
      </c>
      <c r="D423" t="inlineStr">
        <is>
          <t>MG</t>
        </is>
      </c>
      <c r="E423" t="inlineStr">
        <is>
          <t>vizinhos</t>
        </is>
      </c>
      <c r="F423" t="inlineStr">
        <is>
          <t>Lagoa da Prata</t>
        </is>
      </c>
      <c r="G423" t="inlineStr">
        <is>
          <t>SERVICO AUTONOMO DE AGUA E ESGOTO</t>
        </is>
      </c>
      <c r="H423" t="inlineStr">
        <is>
          <t>Municipal</t>
        </is>
      </c>
      <c r="I423" t="inlineStr">
        <is>
          <t>2026-09-02T14:20:55</t>
        </is>
      </c>
      <c r="J423" t="inlineStr">
        <is>
          <t>Pregão - Eletrônico</t>
        </is>
      </c>
      <c r="K423" t="inlineStr">
        <is>
          <t>AQUISIÇÃO DE APARELHOS DE AR CONDICIONADO PARA E.T.A RIO GRANDE DO SUL</t>
        </is>
      </c>
      <c r="L423" t="b">
        <v>0</v>
      </c>
      <c r="M423" t="inlineStr">
        <is>
          <t>climatizacao</t>
        </is>
      </c>
      <c r="N423" t="inlineStr">
        <is>
          <t>climatizacao</t>
        </is>
      </c>
      <c r="O423" t="n">
        <v>8863</v>
      </c>
      <c r="P423" t="n">
        <v>6549.99</v>
      </c>
      <c r="Q423" t="n">
        <v>8863</v>
      </c>
      <c r="R423" t="n">
        <v>0.2609737109330926</v>
      </c>
      <c r="S423" t="n">
        <v>0</v>
      </c>
      <c r="T423" t="n">
        <v>2</v>
      </c>
      <c r="U423" t="n">
        <v>2</v>
      </c>
      <c r="V423" t="n">
        <v>2</v>
      </c>
      <c r="W423" t="n">
        <v>0</v>
      </c>
      <c r="X423" t="n">
        <v>0</v>
      </c>
      <c r="Y423" t="n">
        <v>0</v>
      </c>
      <c r="Z423" t="n">
        <v>0</v>
      </c>
      <c r="AA423" t="n">
        <v>0</v>
      </c>
      <c r="AB423" t="n">
        <v>0</v>
      </c>
      <c r="AC423" t="n">
        <v>0</v>
      </c>
      <c r="AD423" t="n">
        <v>0</v>
      </c>
      <c r="AE423" t="n">
        <v>6</v>
      </c>
      <c r="AF423" t="inlineStr">
        <is>
          <t>CASTRO EQUIPAMENTOS LTDA:EPP; VALE COMERCIO DE MATERIAIS LTDA:Demais; DM SERVICOS DE CLIMATIZACAO E AQUECIMENTO LTDA:Demais; GLOBAL TECH LTDA:ME; LIONS ELETRICA LTDA:Demais; OTIMIZAR MANUTENCAO TECNICA EM REFRIGERACAO LTDA:ME</t>
        </is>
      </c>
      <c r="AH423" t="inlineStr">
        <is>
          <t>pontual</t>
        </is>
      </c>
      <c r="AJ423" t="n">
        <v>0</v>
      </c>
      <c r="AK423" t="n">
        <v>0</v>
      </c>
      <c r="AL423" t="n">
        <v>0</v>
      </c>
      <c r="AM423" t="n">
        <v>0</v>
      </c>
      <c r="AN423" t="n">
        <v>0</v>
      </c>
      <c r="AQ423" t="n">
        <v>0.7747568543382601</v>
      </c>
      <c r="AR423" t="inlineStr">
        <is>
          <t>equipamento_alto</t>
        </is>
      </c>
      <c r="AS423" t="inlineStr">
        <is>
          <t>Aquisicao pura de aparelhos de ar condicionado (fracao em material = 77%), sem servico de manutencao associado.</t>
        </is>
      </c>
      <c r="AT423" t="n">
        <v>0</v>
      </c>
      <c r="AU423" t="n">
        <v>0</v>
      </c>
    </row>
    <row r="424">
      <c r="A424" t="inlineStr">
        <is>
          <t>18428847000137_2026_101</t>
        </is>
      </c>
      <c r="B424" s="2" t="inlineStr">
        <is>
          <t>https://pncp.gov.br/app/editais/18428847000137/2026/101</t>
        </is>
      </c>
      <c r="C424" t="inlineStr">
        <is>
          <t>2026-09-27T05:55:04.612997+00:00</t>
        </is>
      </c>
      <c r="D424" t="inlineStr">
        <is>
          <t>MG</t>
        </is>
      </c>
      <c r="E424" t="inlineStr">
        <is>
          <t>vizinhos</t>
        </is>
      </c>
      <c r="F424" t="inlineStr">
        <is>
          <t>Pirajuba</t>
        </is>
      </c>
      <c r="G424" t="inlineStr">
        <is>
          <t>MUNICIPIO DE PIRAJUBA</t>
        </is>
      </c>
      <c r="H424" t="inlineStr">
        <is>
          <t>Municipal</t>
        </is>
      </c>
      <c r="I424" t="inlineStr">
        <is>
          <t>2026-07-20T08:37:06</t>
        </is>
      </c>
      <c r="J424" t="inlineStr">
        <is>
          <t>Concorrência - Eletrônica</t>
        </is>
      </c>
      <c r="K424" t="inlineStr">
        <is>
          <t>[LICITANET] - CONTRATAÇÃO DE EMPRESA ESPECIALIZADA PARA PRESTAÇÃO DE SERVIÇOS DE ENGENHARIA PARA EXECUÇÃO DE SERVIÇOS COMPLEMENTARES E INFRAESTRUTURA DA UNIDADE BÁSICA DE SAÚDE (UBS) TIPO I - PIRAJUBA/MG, INCLUINDO: REGULARIZAÇÃO DE TERRENO E MOVIMENTAÇÃO DE TERRA; EXECUÇÃO DE MURO DE ARRIMO EM CONCRETO ARMADO E CERCAMENTO (ALAMBRADO COM PORTÃO DE CORRER MOTORIZADO); PAVIMENTAÇÃO EXTERNA (PISO INTERTRAVADO TIPO PAVER E CALÇADAS COM ACESSIBILIDADE); IMPLANTAÇÃO DE SISTEMA HÍDRICO (POÇO ARTESIANO, RESERVATÓRIO METÁLICO TIPO TAÇA E REDES DE DISTRIBUIÇÃO); ILUMINAÇÃO EXTERNA COM POSTES GALVANIZADOS E PROJETORES LED; SISTEMA DE AUTOMAÇÃO E VÍDEO MONITORAMENTO (CFTV COM CÂMERAS IP E SENSORES); INSTALAÇÃO DE GRUPO GERADOR DE 25/30 KVA DIESEL SILENCIADO COM QTA; E SERVIÇOS FINAIS DE PINTURA EXTERNA COMPLEMENTAR E COMISSIONAMENTO, CONFORME MEMORIAL DESCRITIVO E PRANCHAS DO PROJETO BÁSICO. LOCALIZAÇÃO: RUA SILVIO LUIZ SILVERIO, Nº 455, DOURADOS V, PIRAJUBA/MG</t>
        </is>
      </c>
      <c r="L424" t="b">
        <v>0</v>
      </c>
      <c r="M424" t="inlineStr">
        <is>
          <t>munck</t>
        </is>
      </c>
      <c r="N424" t="inlineStr">
        <is>
          <t>munck</t>
        </is>
      </c>
      <c r="O424" t="n">
        <v>486635.08</v>
      </c>
      <c r="P424" t="n">
        <v>469600.55</v>
      </c>
      <c r="Q424" t="n">
        <v>486635.08</v>
      </c>
      <c r="R424" t="n">
        <v>0.03500473085499722</v>
      </c>
      <c r="S424" t="n">
        <v>0</v>
      </c>
      <c r="T424" t="n">
        <v>1</v>
      </c>
      <c r="U424" t="n">
        <v>1</v>
      </c>
      <c r="V424" t="n">
        <v>1</v>
      </c>
      <c r="W424" t="n">
        <v>0</v>
      </c>
      <c r="X424" t="n">
        <v>0</v>
      </c>
      <c r="Y424" t="n">
        <v>0</v>
      </c>
      <c r="Z424" t="n">
        <v>0</v>
      </c>
      <c r="AA424" t="n">
        <v>0</v>
      </c>
      <c r="AB424" t="n">
        <v>0</v>
      </c>
      <c r="AC424" t="n">
        <v>0</v>
      </c>
      <c r="AD424" t="n">
        <v>0</v>
      </c>
      <c r="AE424" t="n">
        <v>1</v>
      </c>
      <c r="AF424" t="inlineStr">
        <is>
          <t>GRS SERVICOS ESPECIALIZADOS LTDA:EPP</t>
        </is>
      </c>
      <c r="AH424" t="inlineStr">
        <is>
          <t>indefinido</t>
        </is>
      </c>
      <c r="AJ424" t="n">
        <v>0</v>
      </c>
      <c r="AK424" t="n">
        <v>0</v>
      </c>
      <c r="AL424" t="n">
        <v>0</v>
      </c>
      <c r="AM424" t="n">
        <v>0</v>
      </c>
      <c r="AN424" t="n">
        <v>0</v>
      </c>
      <c r="AQ424" t="n">
        <v>0</v>
      </c>
      <c r="AR424" t="inlineStr">
        <is>
          <t>equipamento_alto</t>
        </is>
      </c>
      <c r="AS424" t="inlineStr">
        <is>
          <t>Obra de construção/complementação de UBS (movimentação de terra, muro de arrimo, pavimentação, poço artesiano, CFTV, gerador a diesel); postes de iluminação externa são item incidental dentro de uma obra predial geral, não serviço de munck.</t>
        </is>
      </c>
      <c r="AT424" t="n">
        <v>0</v>
      </c>
      <c r="AU424" t="n">
        <v>0</v>
      </c>
    </row>
    <row r="425">
      <c r="A425" t="inlineStr">
        <is>
          <t>18457259000121_2026_25</t>
        </is>
      </c>
      <c r="B425" s="2" t="inlineStr">
        <is>
          <t>https://pncp.gov.br/app/editais/18457259000121/2026/25</t>
        </is>
      </c>
      <c r="C425" t="inlineStr">
        <is>
          <t>2026-09-27T05:43:06.231223+00:00</t>
        </is>
      </c>
      <c r="D425" t="inlineStr">
        <is>
          <t>MG</t>
        </is>
      </c>
      <c r="E425" t="inlineStr">
        <is>
          <t>vizinhos</t>
        </is>
      </c>
      <c r="F425" t="inlineStr">
        <is>
          <t>Ipiaçu</t>
        </is>
      </c>
      <c r="G425" t="inlineStr">
        <is>
          <t>MUNICIPIO DE IPIACU</t>
        </is>
      </c>
      <c r="H425" t="inlineStr">
        <is>
          <t>Municipal</t>
        </is>
      </c>
      <c r="I425" t="inlineStr">
        <is>
          <t>2026-08-21T09:30:44</t>
        </is>
      </c>
      <c r="J425" t="inlineStr">
        <is>
          <t>Pregão - Eletrônico</t>
        </is>
      </c>
      <c r="K425" t="inlineStr">
        <is>
          <t>[LICITANET] - AQUISIÇÃO DE JANELAS DESTINADAS À MANUTENÇÃO, ADEQUAÇÃO E MELHORIA DA ESTRUTURA FÍSICA DAS ESCOLAS DA REDE MUNICIPAL DE ENSINO E DOS DEMAIS DEPARTAMENTOS E ÓRGÃOS DA ADMINISTRAÇÃO PÚBLICA MUNICIPAL, VISANDO GARANTIR MELHORES CONDIÇÕES DE SEGURANÇA, VENTILAÇÃO, ILUMINAÇÃO, FUNCIONALIDADE E CONSERVAÇÃO DOS PRÉDIOS PÚBLICOS, PROPORCIONANDO AMBIENTES MAIS ADEQUADOS PARA O DESENVOLVIMENTO DAS ATIVIDADES E PARA O ATENDIMENTO À POPULAÇÃO</t>
        </is>
      </c>
      <c r="L425" t="b">
        <v>1</v>
      </c>
      <c r="M425" t="inlineStr">
        <is>
          <t>iluminacao_publica</t>
        </is>
      </c>
      <c r="N425" t="inlineStr">
        <is>
          <t>iluminacao_publica</t>
        </is>
      </c>
      <c r="O425" t="n">
        <v>271016.34</v>
      </c>
      <c r="P425" t="n">
        <v>251331</v>
      </c>
      <c r="Q425" t="n">
        <v>271016.34</v>
      </c>
      <c r="R425" t="n">
        <v>0.07263525143908296</v>
      </c>
      <c r="S425" t="n">
        <v>0</v>
      </c>
      <c r="T425" t="n">
        <v>15</v>
      </c>
      <c r="U425" t="n">
        <v>15</v>
      </c>
      <c r="V425" t="n">
        <v>15</v>
      </c>
      <c r="W425" t="n">
        <v>0</v>
      </c>
      <c r="X425" t="n">
        <v>0</v>
      </c>
      <c r="Y425" t="n">
        <v>0</v>
      </c>
      <c r="Z425" t="n">
        <v>0</v>
      </c>
      <c r="AA425" t="n">
        <v>1</v>
      </c>
      <c r="AB425" t="n">
        <v>0</v>
      </c>
      <c r="AC425" t="n">
        <v>0</v>
      </c>
      <c r="AD425" t="n">
        <v>0</v>
      </c>
      <c r="AE425" t="n">
        <v>1</v>
      </c>
      <c r="AF425" t="inlineStr">
        <is>
          <t>G I VIDRACARIA E ESQUADRIA DE ALUMINIO LTDA:ME</t>
        </is>
      </c>
      <c r="AH425" t="inlineStr">
        <is>
          <t>pontual</t>
        </is>
      </c>
      <c r="AJ425" t="n">
        <v>0</v>
      </c>
      <c r="AK425" t="n">
        <v>0</v>
      </c>
      <c r="AL425" t="n">
        <v>0</v>
      </c>
      <c r="AM425" t="n">
        <v>0</v>
      </c>
      <c r="AN425" t="n">
        <v>0</v>
      </c>
      <c r="AQ425" t="n">
        <v>1</v>
      </c>
      <c r="AR425" t="inlineStr">
        <is>
          <t>fornecimento_puro</t>
        </is>
      </c>
      <c r="AS425" t="inlineStr">
        <is>
          <t>Registro de preços/contratação de fornecimento de materiais, sem mão de obra de manutenção contratada.</t>
        </is>
      </c>
      <c r="AT425" t="n">
        <v>1</v>
      </c>
      <c r="AU425" t="n">
        <v>0</v>
      </c>
    </row>
    <row r="426">
      <c r="A426" t="inlineStr">
        <is>
          <t>18477315000190_2026_31</t>
        </is>
      </c>
      <c r="B426" s="2" t="inlineStr">
        <is>
          <t>https://pncp.gov.br/app/editais/18477315000190/2026/31</t>
        </is>
      </c>
      <c r="C426" t="inlineStr">
        <is>
          <t>2026-09-27T05:46:43.490158+00:00</t>
        </is>
      </c>
      <c r="D426" t="inlineStr">
        <is>
          <t>MG</t>
        </is>
      </c>
      <c r="E426" t="inlineStr">
        <is>
          <t>vizinhos</t>
        </is>
      </c>
      <c r="F426" t="inlineStr">
        <is>
          <t>Carlos Chagas</t>
        </is>
      </c>
      <c r="G426" t="inlineStr">
        <is>
          <t>MUNICIPIO DE CARLOS CHAGAS</t>
        </is>
      </c>
      <c r="H426" t="inlineStr">
        <is>
          <t>Municipal</t>
        </is>
      </c>
      <c r="I426" t="inlineStr">
        <is>
          <t>2026-07-03T07:01:34</t>
        </is>
      </c>
      <c r="J426" t="inlineStr">
        <is>
          <t>Pregão - Eletrônico</t>
        </is>
      </c>
      <c r="K426" t="inlineStr">
        <is>
          <t>Registro de Preço para futura e eventual e futura contratação de serviços de instalação e manutenção de condicionadores de ar, bem como serviços de manutenção de geladeiras, freezers e bebedouros</t>
        </is>
      </c>
      <c r="L426" t="b">
        <v>1</v>
      </c>
      <c r="M426" t="inlineStr">
        <is>
          <t>refrigeracao</t>
        </is>
      </c>
      <c r="N426" t="inlineStr">
        <is>
          <t>refrigeracao</t>
        </is>
      </c>
      <c r="O426" t="n">
        <v>717418.3</v>
      </c>
      <c r="P426" t="n">
        <v>350164.3</v>
      </c>
      <c r="Q426" t="n">
        <v>717418.2999999999</v>
      </c>
      <c r="R426" t="n">
        <v>0.5119105548325155</v>
      </c>
      <c r="S426" t="n">
        <v>0</v>
      </c>
      <c r="T426" t="n">
        <v>19</v>
      </c>
      <c r="U426" t="n">
        <v>19</v>
      </c>
      <c r="V426" t="n">
        <v>19</v>
      </c>
      <c r="W426" t="n">
        <v>0</v>
      </c>
      <c r="X426" t="n">
        <v>0</v>
      </c>
      <c r="Y426" t="n">
        <v>0</v>
      </c>
      <c r="Z426" t="n">
        <v>0</v>
      </c>
      <c r="AA426" t="n">
        <v>0</v>
      </c>
      <c r="AB426" t="n">
        <v>1</v>
      </c>
      <c r="AC426" t="n">
        <v>0</v>
      </c>
      <c r="AD426" t="n">
        <v>0</v>
      </c>
      <c r="AE426" t="n">
        <v>2</v>
      </c>
      <c r="AF426" t="inlineStr">
        <is>
          <t>REFRILAGOS ENGENHARIA &amp; SOLUCOES LTDA:ME; WP ENGENHARIA &amp; CLIMA SOLUTIONS LTDA:ME</t>
        </is>
      </c>
      <c r="AH426" t="inlineStr">
        <is>
          <t>pontual</t>
        </is>
      </c>
      <c r="AJ426" t="n">
        <v>0</v>
      </c>
      <c r="AK426" t="n">
        <v>0</v>
      </c>
      <c r="AL426" t="n">
        <v>0</v>
      </c>
      <c r="AM426" t="n">
        <v>0</v>
      </c>
      <c r="AN426" t="n">
        <v>0</v>
      </c>
      <c r="AQ426" t="n">
        <v>0</v>
      </c>
      <c r="AR426" t="inlineStr">
        <is>
          <t>fora_do_nucleo</t>
        </is>
      </c>
      <c r="AS426" t="inlineStr">
        <is>
          <t>~83% do valor em manutencao de ar-condicionado; apenas ~6% em itens de refrigeracao -- nucleo e climatizacao. Revertida a inclusao original do pipeline automatico.</t>
        </is>
      </c>
      <c r="AT426" t="n">
        <v>0</v>
      </c>
      <c r="AU426" t="n">
        <v>0</v>
      </c>
    </row>
    <row r="427">
      <c r="A427" t="inlineStr">
        <is>
          <t>18663401000197_2026_219</t>
        </is>
      </c>
      <c r="B427" s="2" t="inlineStr">
        <is>
          <t>https://pncp.gov.br/app/editais/18663401000197/2026/219</t>
        </is>
      </c>
      <c r="C427" t="inlineStr">
        <is>
          <t>2026-09-27T05:48:46.958766+00:00</t>
        </is>
      </c>
      <c r="D427" t="inlineStr">
        <is>
          <t>MG</t>
        </is>
      </c>
      <c r="E427" t="inlineStr">
        <is>
          <t>vizinhos</t>
        </is>
      </c>
      <c r="F427" t="inlineStr">
        <is>
          <t>Guaxupé</t>
        </is>
      </c>
      <c r="G427" t="inlineStr">
        <is>
          <t>MUNICIPIO DE GUAXUPE</t>
        </is>
      </c>
      <c r="H427" t="inlineStr">
        <is>
          <t>Municipal</t>
        </is>
      </c>
      <c r="I427" t="inlineStr">
        <is>
          <t>2026-09-02T08:25:02</t>
        </is>
      </c>
      <c r="J427" t="inlineStr">
        <is>
          <t>Pregão - Eletrônico</t>
        </is>
      </c>
      <c r="K427" t="inlineStr">
        <is>
          <t>Futura e eventual aquisição de materiais elétricos destinados à instalação, manutenção e funcionamento da decoração natalina do evento “Natal de Luz”, para atender as demandas da Secretaria Municipal de Cultura, Esporte e Turismo de Guaxupé/MG.</t>
        </is>
      </c>
      <c r="L427" t="b">
        <v>1</v>
      </c>
      <c r="M427" t="inlineStr">
        <is>
          <t>eletrica_predial</t>
        </is>
      </c>
      <c r="N427" t="inlineStr">
        <is>
          <t>eletrica_predial</t>
        </is>
      </c>
      <c r="O427" t="n">
        <v>731003.38</v>
      </c>
      <c r="P427" t="n">
        <v>331545.6</v>
      </c>
      <c r="Q427" t="n">
        <v>731003.38</v>
      </c>
      <c r="R427" t="n">
        <v>0.5464513447256564</v>
      </c>
      <c r="S427" t="n">
        <v>0</v>
      </c>
      <c r="T427" t="n">
        <v>24</v>
      </c>
      <c r="U427" t="n">
        <v>24</v>
      </c>
      <c r="V427" t="n">
        <v>24</v>
      </c>
      <c r="W427" t="n">
        <v>0</v>
      </c>
      <c r="X427" t="n">
        <v>0</v>
      </c>
      <c r="Y427" t="n">
        <v>0</v>
      </c>
      <c r="Z427" t="n">
        <v>0</v>
      </c>
      <c r="AA427" t="n">
        <v>0</v>
      </c>
      <c r="AB427" t="n">
        <v>0</v>
      </c>
      <c r="AC427" t="n">
        <v>0</v>
      </c>
      <c r="AD427" t="n">
        <v>0</v>
      </c>
      <c r="AE427" t="n">
        <v>8</v>
      </c>
      <c r="AF427" t="inlineStr">
        <is>
          <t>JSOLAR INSTALAÇÕES ELETRICAS LTDA:ME; Multi Negócios LTDA:ME; ALFA CONSTRUTORA LTDA:Demais; 60.701.271 BEATRIZ BORGES DA COSTA OLIVEIRA:ME; papelaria luana ltda epp:EPP; W LED ELETRICA LTDA:ME; MIRIAM SUZANA MORETTI:EPP; COMERCIAL VIEIRA E RESENDE:ME</t>
        </is>
      </c>
      <c r="AH427" t="inlineStr">
        <is>
          <t>pontual</t>
        </is>
      </c>
      <c r="AJ427" t="n">
        <v>0</v>
      </c>
      <c r="AK427" t="n">
        <v>0</v>
      </c>
      <c r="AL427" t="n">
        <v>0</v>
      </c>
      <c r="AM427" t="n">
        <v>0</v>
      </c>
      <c r="AN427" t="n">
        <v>0</v>
      </c>
      <c r="AQ427" t="n">
        <v>1</v>
      </c>
      <c r="AR427" t="inlineStr">
        <is>
          <t>fornecimento_puro</t>
        </is>
      </c>
      <c r="AS427" t="inlineStr">
        <is>
          <t>Confirmada exclusao automatica (fornecimento_puro): 24 item(ns), todos classificados como material (sem servico).</t>
        </is>
      </c>
      <c r="AT427" t="n">
        <v>1</v>
      </c>
      <c r="AU427" t="n">
        <v>0</v>
      </c>
    </row>
    <row r="428">
      <c r="A428" t="inlineStr">
        <is>
          <t>18675975000185_2026_94</t>
        </is>
      </c>
      <c r="B428" s="2" t="inlineStr">
        <is>
          <t>https://pncp.gov.br/app/editais/18675975000185/2026/94</t>
        </is>
      </c>
      <c r="C428" t="inlineStr">
        <is>
          <t>2026-09-27T05:54:02.967062+00:00</t>
        </is>
      </c>
      <c r="D428" t="inlineStr">
        <is>
          <t>MG</t>
        </is>
      </c>
      <c r="E428" t="inlineStr">
        <is>
          <t>vizinhos</t>
        </is>
      </c>
      <c r="F428" t="inlineStr">
        <is>
          <t>Cambuí</t>
        </is>
      </c>
      <c r="G428" t="inlineStr">
        <is>
          <t>MUNICIPIO DE CAMBUI</t>
        </is>
      </c>
      <c r="H428" t="inlineStr">
        <is>
          <t>Municipal</t>
        </is>
      </c>
      <c r="I428" t="inlineStr">
        <is>
          <t>2026-06-25T12:07:01</t>
        </is>
      </c>
      <c r="J428" t="inlineStr">
        <is>
          <t>Pregão - Eletrônico</t>
        </is>
      </c>
      <c r="K428" t="inlineStr">
        <is>
          <t>EDITAL DE PREGÃO ELETRÔNICO, PELO SISTEMA DE REGISTRO DE PREÇOS, OBJETIVANDO registrar o menor preço para CONTRATAÇÃO DE EMPRESA ESPECIALIZADA PARA A PRESTAÇÃO DE SERVIÇOS DE MANUTENÇÃO PREDIAL PREVENTIVA E CORRETIVA, CONSERVAÇÃO, REPARAÇÃO E PINTURA EM PRÉDIOS, PRAÇAS, PRÓPRIOS PÚBLICOS MUNICIPAIS E IMÓVEIS LOCADOS, COM FORNECIMENTO DE MÃO DE OBRA, EQUIPAMENTOS E FERRAMENTAL NECESSÁRIOS, de forma parcelada, para atender as necessidades das Secretarias Requisitantes, deste município, nas condições descritas no ANEXO 01 – Termo de Referência do Edital.</t>
        </is>
      </c>
      <c r="L428" t="b">
        <v>1</v>
      </c>
      <c r="M428" t="inlineStr">
        <is>
          <t>manutencao_predial</t>
        </is>
      </c>
      <c r="N428" t="inlineStr">
        <is>
          <t>manutencao_predial</t>
        </is>
      </c>
      <c r="O428" t="n">
        <v>3244534.13</v>
      </c>
      <c r="P428" t="n">
        <v>2691765.280000001</v>
      </c>
      <c r="Q428" t="n">
        <v>3036930.514399999</v>
      </c>
      <c r="R428" t="n">
        <v>0.1136559371257771</v>
      </c>
      <c r="S428" t="n">
        <v>0</v>
      </c>
      <c r="T428" t="n">
        <v>17</v>
      </c>
      <c r="U428" t="n">
        <v>14</v>
      </c>
      <c r="V428" t="n">
        <v>14</v>
      </c>
      <c r="W428" t="n">
        <v>0</v>
      </c>
      <c r="X428" t="n">
        <v>0</v>
      </c>
      <c r="Y428" t="n">
        <v>0</v>
      </c>
      <c r="Z428" t="n">
        <v>0</v>
      </c>
      <c r="AA428" t="n">
        <v>0</v>
      </c>
      <c r="AB428" t="n">
        <v>1</v>
      </c>
      <c r="AC428" t="n">
        <v>0</v>
      </c>
      <c r="AD428" t="n">
        <v>0</v>
      </c>
      <c r="AE428" t="n">
        <v>1</v>
      </c>
      <c r="AF428" t="inlineStr">
        <is>
          <t>LOPES STAUDT ENGENHARIA LTDA:Não Informado</t>
        </is>
      </c>
      <c r="AH428" t="inlineStr">
        <is>
          <t>pontual</t>
        </is>
      </c>
      <c r="AJ428" t="n">
        <v>0</v>
      </c>
      <c r="AK428" t="n">
        <v>0</v>
      </c>
      <c r="AL428" t="n">
        <v>0</v>
      </c>
      <c r="AM428" t="n">
        <v>0</v>
      </c>
      <c r="AN428" t="n">
        <v>0</v>
      </c>
      <c r="AQ428" t="n">
        <v>1</v>
      </c>
      <c r="AR428" t="inlineStr">
        <is>
          <t>fornecimento_puro</t>
        </is>
      </c>
      <c r="AS428" t="inlineStr">
        <is>
          <t>17 item(ns), todos classificados como material (sem servico).</t>
        </is>
      </c>
      <c r="AT428" t="n">
        <v>1</v>
      </c>
      <c r="AU428" t="n">
        <v>0</v>
      </c>
    </row>
    <row r="429">
      <c r="A429" t="inlineStr">
        <is>
          <t>18677609000165_2025_80</t>
        </is>
      </c>
      <c r="B429" s="2" t="inlineStr">
        <is>
          <t>https://pncp.gov.br/app/editais/18677609000165/2025/80</t>
        </is>
      </c>
      <c r="C429" t="inlineStr">
        <is>
          <t>2026-09-27T05:42:44.535817+00:00</t>
        </is>
      </c>
      <c r="D429" t="inlineStr">
        <is>
          <t>MG</t>
        </is>
      </c>
      <c r="E429" t="inlineStr">
        <is>
          <t>vizinhos</t>
        </is>
      </c>
      <c r="F429" t="inlineStr">
        <is>
          <t>Conceição dos Ouros</t>
        </is>
      </c>
      <c r="G429" t="inlineStr">
        <is>
          <t>MUNICIPIO DE CONCEICAO DOS OUROS</t>
        </is>
      </c>
      <c r="H429" t="inlineStr">
        <is>
          <t>Municipal</t>
        </is>
      </c>
      <c r="I429" t="inlineStr">
        <is>
          <t>2026-08-31T14:52:33</t>
        </is>
      </c>
      <c r="J429" t="inlineStr">
        <is>
          <t>Pregão - Eletrônico</t>
        </is>
      </c>
      <c r="K429" t="inlineStr">
        <is>
          <t>Contratação de Empresa para Locação de Tendas, Banheiros Quimicos, Palcos, Gradil, Camarim, Som/Iluminação, Gerador, Trio Elétrico, Pórtico, Fechamentos, Mesas e Cadeiras, Porticos entre outros para os Eventos que irão ocorrer no Município de Conceição dos Ouros - MG.</t>
        </is>
      </c>
      <c r="L429" t="b">
        <v>1</v>
      </c>
      <c r="M429" t="inlineStr">
        <is>
          <t>iluminacao_publica</t>
        </is>
      </c>
      <c r="N429" t="inlineStr">
        <is>
          <t>iluminacao_publica</t>
        </is>
      </c>
      <c r="O429" t="n">
        <v>2831385.31</v>
      </c>
      <c r="P429" t="n">
        <v>1601199.3</v>
      </c>
      <c r="Q429" t="n">
        <v>2831385.3104</v>
      </c>
      <c r="R429" t="n">
        <v>0.434482020472942</v>
      </c>
      <c r="S429" t="n">
        <v>0</v>
      </c>
      <c r="T429" t="n">
        <v>25</v>
      </c>
      <c r="U429" t="n">
        <v>25</v>
      </c>
      <c r="V429" t="n">
        <v>25</v>
      </c>
      <c r="W429" t="n">
        <v>0</v>
      </c>
      <c r="X429" t="n">
        <v>0</v>
      </c>
      <c r="Y429" t="n">
        <v>0</v>
      </c>
      <c r="Z429" t="n">
        <v>0</v>
      </c>
      <c r="AA429" t="n">
        <v>0</v>
      </c>
      <c r="AB429" t="n">
        <v>0</v>
      </c>
      <c r="AC429" t="n">
        <v>0</v>
      </c>
      <c r="AD429" t="n">
        <v>0</v>
      </c>
      <c r="AE429" t="n">
        <v>8</v>
      </c>
      <c r="AF429" t="inlineStr">
        <is>
          <t>MARCOS DE SOUZA ROCHA:ME; PMA-PRODUCOES E MONTAGENS ARTISTICAS LTDA:ME; ANDERSON GOMIDE DA CRUZ LTDA:ME; CLEBER JUSTINIANO DA SILVA:ME; EMPORIO EVENTUALL LTDA:ME; MAIS SERVIÇOS E EVENTOS LTDA:ME; CARGA FORTE OPERACOES INTEGRADAS LTDA:ME; IGOR FONSECA PINA:ME</t>
        </is>
      </c>
      <c r="AH429" t="inlineStr">
        <is>
          <t>indefinido</t>
        </is>
      </c>
      <c r="AJ429" t="n">
        <v>0</v>
      </c>
      <c r="AK429" t="n">
        <v>0</v>
      </c>
      <c r="AL429" t="n">
        <v>0</v>
      </c>
      <c r="AM429" t="n">
        <v>0</v>
      </c>
      <c r="AN429" t="n">
        <v>0</v>
      </c>
      <c r="AQ429" t="n">
        <v>0</v>
      </c>
      <c r="AR429" t="inlineStr">
        <is>
          <t>equipamento_alto</t>
        </is>
      </c>
      <c r="AS429" t="inlineStr">
        <is>
          <t>Objeto envolve gerador/estrutura de evento ou fração de material &gt; 40% associada a equipamentos de grande porte.</t>
        </is>
      </c>
      <c r="AT429" t="n">
        <v>0</v>
      </c>
      <c r="AU429" t="n">
        <v>0</v>
      </c>
    </row>
    <row r="430">
      <c r="A430" t="inlineStr">
        <is>
          <t>19607632000146_2026_9</t>
        </is>
      </c>
      <c r="B430" s="2" t="inlineStr">
        <is>
          <t>https://pncp.gov.br/app/editais/19607632000146/2026/9</t>
        </is>
      </c>
      <c r="C430" t="inlineStr">
        <is>
          <t>2026-09-27T05:41:09.201296+00:00</t>
        </is>
      </c>
      <c r="D430" t="inlineStr">
        <is>
          <t>TO</t>
        </is>
      </c>
      <c r="E430" t="inlineStr">
        <is>
          <t>vizinhos</t>
        </is>
      </c>
      <c r="F430" t="inlineStr">
        <is>
          <t>Lagoa da Confusão</t>
        </is>
      </c>
      <c r="G430" t="inlineStr">
        <is>
          <t>SECRETARIA MUNICIPAL DE EDUCACAO E CULTURA</t>
        </is>
      </c>
      <c r="H430" t="inlineStr">
        <is>
          <t>Municipal</t>
        </is>
      </c>
      <c r="I430" t="inlineStr">
        <is>
          <t>2026-05-04T15:03:39</t>
        </is>
      </c>
      <c r="J430" t="inlineStr">
        <is>
          <t>Pregão - Eletrônico</t>
        </is>
      </c>
      <c r="K430" t="inlineStr">
        <is>
          <t>AQUISIÇÃO DE MATERIAIS DE CONSTRUÇÃO CIVIL, ELÉTRICOS E HIDRÁULICOS PARA MANUTENÇÃO, RECUPERAÇÃO E REPAROS PREVENTIVOS DAS UNIDADES ESCOLARES VINCULADAS AO FUNDO MUNICIPAL DE EDUCAÇÃO.</t>
        </is>
      </c>
      <c r="L430" t="b">
        <v>1</v>
      </c>
      <c r="M430" t="inlineStr">
        <is>
          <t>eletrica_predial</t>
        </is>
      </c>
      <c r="N430" t="inlineStr">
        <is>
          <t>eletrica_predial</t>
        </is>
      </c>
      <c r="O430" t="n">
        <v>339201.81</v>
      </c>
      <c r="P430" t="n">
        <v>193507.7</v>
      </c>
      <c r="Q430" t="n">
        <v>193507.7</v>
      </c>
      <c r="R430" t="n">
        <v>0</v>
      </c>
      <c r="S430" t="n">
        <v>0</v>
      </c>
      <c r="T430" t="n">
        <v>101</v>
      </c>
      <c r="U430" t="n">
        <v>40</v>
      </c>
      <c r="V430" t="n">
        <v>101</v>
      </c>
      <c r="W430" t="n">
        <v>0</v>
      </c>
      <c r="X430" t="n">
        <v>0</v>
      </c>
      <c r="Y430" t="n">
        <v>0</v>
      </c>
      <c r="Z430" t="n">
        <v>0</v>
      </c>
      <c r="AA430" t="n">
        <v>0</v>
      </c>
      <c r="AB430" t="n">
        <v>0</v>
      </c>
      <c r="AC430" t="n">
        <v>0</v>
      </c>
      <c r="AD430" t="n">
        <v>0</v>
      </c>
      <c r="AE430" t="n">
        <v>1</v>
      </c>
      <c r="AF430" t="inlineStr">
        <is>
          <t>MP EMPREENDIMENTOS LTDA:ME</t>
        </is>
      </c>
      <c r="AH430" t="inlineStr">
        <is>
          <t>pontual</t>
        </is>
      </c>
      <c r="AJ430" t="n">
        <v>0</v>
      </c>
      <c r="AK430" t="n">
        <v>0</v>
      </c>
      <c r="AL430" t="n">
        <v>0</v>
      </c>
      <c r="AM430" t="n">
        <v>0</v>
      </c>
      <c r="AN430" t="n">
        <v>0</v>
      </c>
      <c r="AQ430" t="n">
        <v>1</v>
      </c>
      <c r="AR430" t="inlineStr">
        <is>
          <t>fornecimento_puro</t>
        </is>
      </c>
      <c r="AS430" t="inlineStr">
        <is>
          <t>Confirmada exclusao automatica (fornecimento_puro): 101 item(ns), todos classificados como material (sem servico).</t>
        </is>
      </c>
      <c r="AT430" t="n">
        <v>1</v>
      </c>
      <c r="AU430" t="n">
        <v>0</v>
      </c>
    </row>
    <row r="431">
      <c r="A431" t="inlineStr">
        <is>
          <t>19645908000180_2026_4</t>
        </is>
      </c>
      <c r="B431" s="2" t="inlineStr">
        <is>
          <t>https://pncp.gov.br/app/editais/19645908000180/2026/4</t>
        </is>
      </c>
      <c r="C431" t="inlineStr">
        <is>
          <t>2026-09-27T02:31:51.161110+00:00</t>
        </is>
      </c>
      <c r="D431" t="inlineStr">
        <is>
          <t>GO</t>
        </is>
      </c>
      <c r="E431" t="inlineStr">
        <is>
          <t>GO</t>
        </is>
      </c>
      <c r="F431" t="inlineStr">
        <is>
          <t>Cidade Ocidental</t>
        </is>
      </c>
      <c r="G431" t="inlineStr">
        <is>
          <t>FUNDO MUNICIPAL DE EDUCACAO - FME</t>
        </is>
      </c>
      <c r="H431" t="inlineStr">
        <is>
          <t>Municipal</t>
        </is>
      </c>
      <c r="I431" t="inlineStr">
        <is>
          <t>2026-07-07T08:28:45</t>
        </is>
      </c>
      <c r="J431" t="inlineStr">
        <is>
          <t>Pregão - Eletrônico</t>
        </is>
      </c>
      <c r="K431" t="inlineStr">
        <is>
          <t>CONTRATAÇÃO DE EMPRESA ESPECIALIZADA PARA AQUISIÇÃO DE MATERIAIS E INSUMOS DESTINADOS À INSTALAÇÃO DOS SISTEMAS DE CLIMATIZAÇÃO (AR-CONDICIONADO), VISANDO ATENDER ÀSNECESSIDADES DA SECRETARIA MUNICIPAL DE EDUCAÇÃO E CULTURA DE CIDADE OCIDENTAL/GO.</t>
        </is>
      </c>
      <c r="L431" t="b">
        <v>0</v>
      </c>
      <c r="M431" t="inlineStr">
        <is>
          <t>climatizacao</t>
        </is>
      </c>
      <c r="N431" t="inlineStr">
        <is>
          <t>climatizacao</t>
        </is>
      </c>
      <c r="O431" t="n">
        <v>133184.12</v>
      </c>
      <c r="P431" t="n">
        <v>76680</v>
      </c>
      <c r="Q431" t="n">
        <v>133184.12</v>
      </c>
      <c r="R431" t="n">
        <v>0.4242556845365649</v>
      </c>
      <c r="S431" t="n">
        <v>0</v>
      </c>
      <c r="T431" t="n">
        <v>17</v>
      </c>
      <c r="U431" t="n">
        <v>17</v>
      </c>
      <c r="V431" t="n">
        <v>17</v>
      </c>
      <c r="W431" t="n">
        <v>0</v>
      </c>
      <c r="X431" t="n">
        <v>0</v>
      </c>
      <c r="Y431" t="n">
        <v>0</v>
      </c>
      <c r="Z431" t="n">
        <v>0</v>
      </c>
      <c r="AA431" t="n">
        <v>0</v>
      </c>
      <c r="AB431" t="n">
        <v>1</v>
      </c>
      <c r="AC431" t="n">
        <v>0</v>
      </c>
      <c r="AD431" t="n">
        <v>0</v>
      </c>
      <c r="AE431" t="n">
        <v>1</v>
      </c>
      <c r="AF431" t="inlineStr">
        <is>
          <t>POLO PEÇAS PARA REFRIGERAÇÃO E AR CONDICIONADO LTDA:ME</t>
        </is>
      </c>
      <c r="AH431" t="inlineStr">
        <is>
          <t>pontual</t>
        </is>
      </c>
      <c r="AI431" t="n">
        <v>12</v>
      </c>
      <c r="AJ431" t="n">
        <v>0</v>
      </c>
      <c r="AK431" t="n">
        <v>0</v>
      </c>
      <c r="AL431" t="n">
        <v>0</v>
      </c>
      <c r="AM431" t="n">
        <v>1</v>
      </c>
      <c r="AN431" t="n">
        <v>0</v>
      </c>
      <c r="AQ431" t="n">
        <v>1</v>
      </c>
      <c r="AR431" t="inlineStr">
        <is>
          <t>fornecimento_puro</t>
        </is>
      </c>
      <c r="AS431" t="inlineStr">
        <is>
          <t>heuristica automatica confirmada (fornecimento_puro): 17 item(ns), todos classificados como material (sem servico).</t>
        </is>
      </c>
      <c r="AT431" t="n">
        <v>0</v>
      </c>
      <c r="AU431" t="n">
        <v>0</v>
      </c>
    </row>
    <row r="432">
      <c r="A432" t="inlineStr">
        <is>
          <t>20267427000168_2025_85</t>
        </is>
      </c>
      <c r="B432" s="2" t="inlineStr">
        <is>
          <t>https://pncp.gov.br/app/editais/20267427000168/2025/85</t>
        </is>
      </c>
      <c r="C432" t="inlineStr">
        <is>
          <t>2026-09-27T05:27:08.469168+00:00</t>
        </is>
      </c>
      <c r="D432" t="inlineStr">
        <is>
          <t>MS</t>
        </is>
      </c>
      <c r="E432" t="inlineStr">
        <is>
          <t>vizinhos</t>
        </is>
      </c>
      <c r="F432" t="inlineStr">
        <is>
          <t>Dourados</t>
        </is>
      </c>
      <c r="G432" t="inlineStr">
        <is>
          <t>FUNDACAO DE SERVICOS DE SAUDE DE DOURADOS</t>
        </is>
      </c>
      <c r="H432" t="inlineStr">
        <is>
          <t>Municipal</t>
        </is>
      </c>
      <c r="I432" t="inlineStr">
        <is>
          <t>2026-01-22T07:05:30</t>
        </is>
      </c>
      <c r="J432" t="inlineStr">
        <is>
          <t>Pregão - Eletrônico</t>
        </is>
      </c>
      <c r="K432" t="inlineStr">
        <is>
          <t>REGISTRO DE PREÇOS para futura e eventual aquisição de materiais para infraestrutura e manutenção predial destinados a suprir as necessidades das Unidades do Hospital da Vida e Unidade de Pronto Atendimento (UPA), geridas pela Fundação de Serviços de Saúde de Dourados – FUNSAUD</t>
        </is>
      </c>
      <c r="L432" t="b">
        <v>1</v>
      </c>
      <c r="M432" t="inlineStr">
        <is>
          <t>manutencao_predial</t>
        </is>
      </c>
      <c r="N432" t="inlineStr">
        <is>
          <t>manutencao_predial</t>
        </is>
      </c>
      <c r="O432" t="n">
        <v>196085.23</v>
      </c>
      <c r="P432" t="n">
        <v>72794.22000000002</v>
      </c>
      <c r="Q432" t="n">
        <v>124122.76</v>
      </c>
      <c r="R432" t="n">
        <v>0.4135304435705424</v>
      </c>
      <c r="S432" t="n">
        <v>0</v>
      </c>
      <c r="T432" t="n">
        <v>151</v>
      </c>
      <c r="U432" t="n">
        <v>40</v>
      </c>
      <c r="V432" t="n">
        <v>151</v>
      </c>
      <c r="W432" t="n">
        <v>0</v>
      </c>
      <c r="X432" t="n">
        <v>0</v>
      </c>
      <c r="Y432" t="n">
        <v>0</v>
      </c>
      <c r="Z432" t="n">
        <v>0</v>
      </c>
      <c r="AA432" t="n">
        <v>1</v>
      </c>
      <c r="AB432" t="n">
        <v>0</v>
      </c>
      <c r="AC432" t="n">
        <v>0</v>
      </c>
      <c r="AD432" t="n">
        <v>0</v>
      </c>
      <c r="AE432" t="n">
        <v>12</v>
      </c>
      <c r="AF432" t="inlineStr">
        <is>
          <t>BRAVE DISTRIBUIDORA LTDA:ME; SOUZA ALVES &amp; CIA LTDA:ME; A A COSTA CONSTRUCOES LTDA:ME; ENEIAS SILVA DO NASCIMENTO LTDA:ME; FACILITA LICITA COMERCIO E SERVICO LTDA:ME; RM COMERCIO DE MERCADORIAS E MATERIAIS LTDA:ME; SOUL DISTRIBUIDORA DE PRODUTOS E EQUIPAMENTOS INDUSTRIAIS LTDA:ME; COMERCIAL VANGUARDEIRA LTDA:ME; EBENEZER PRESTADORA DE SERVICOS LTDA:ME; TRIUNFAL MAQUINAS E FERRAMENTAS LTDA:ME; 58.437.004 JONADABE TEIXEIRA SANTOS:ME; ROBEVAL BISPO SOARES - MATERIAIS DE CONSTRUCAO:ME</t>
        </is>
      </c>
      <c r="AH432" t="inlineStr">
        <is>
          <t>pontual</t>
        </is>
      </c>
      <c r="AJ432" t="n">
        <v>0</v>
      </c>
      <c r="AK432" t="n">
        <v>0</v>
      </c>
      <c r="AL432" t="n">
        <v>0</v>
      </c>
      <c r="AM432" t="n">
        <v>0</v>
      </c>
      <c r="AN432" t="n">
        <v>0</v>
      </c>
      <c r="AQ432" t="n">
        <v>1</v>
      </c>
      <c r="AR432" t="inlineStr">
        <is>
          <t>fornecimento_puro</t>
        </is>
      </c>
      <c r="AS432" t="inlineStr">
        <is>
          <t>151 item(ns), todos classificados como material (sem servico).</t>
        </is>
      </c>
      <c r="AT432" t="n">
        <v>1</v>
      </c>
      <c r="AU432" t="n">
        <v>0</v>
      </c>
    </row>
    <row r="433">
      <c r="A433" t="inlineStr">
        <is>
          <t>20669834000100_2026_36</t>
        </is>
      </c>
      <c r="B433" s="2" t="inlineStr">
        <is>
          <t>https://pncp.gov.br/app/editais/20669834000100/2026/36</t>
        </is>
      </c>
      <c r="C433" t="inlineStr">
        <is>
          <t>2026-09-27T05:50:27.489332+00:00</t>
        </is>
      </c>
      <c r="D433" t="inlineStr">
        <is>
          <t>MG</t>
        </is>
      </c>
      <c r="E433" t="inlineStr">
        <is>
          <t>vizinhos</t>
        </is>
      </c>
      <c r="F433" t="inlineStr">
        <is>
          <t>Ituiutaba</t>
        </is>
      </c>
      <c r="G433" t="inlineStr">
        <is>
          <t>ITUIUTABA - CAMARA MUNICIPAL</t>
        </is>
      </c>
      <c r="H433" t="inlineStr">
        <is>
          <t>Municipal</t>
        </is>
      </c>
      <c r="I433" t="inlineStr">
        <is>
          <t>2026-08-23T23:41:02</t>
        </is>
      </c>
      <c r="J433" t="inlineStr">
        <is>
          <t>Pregão - Eletrônico</t>
        </is>
      </c>
      <c r="K433" t="inlineStr">
        <is>
          <t>[LICITANET] - REGISTRO DE PREÇOS PARA FUTURA E PROVÁVEL CONTRATAÇÃO DE EMPRESA ESPECIALIZADA PARA PRESTAÇÃO DE SERVIÇOS DE PEQUENOS REPAROS E MANUTENÇÃO PREDIAL PREVENTIVA E CORRETIVA NAS DEPENDÊNCIAS DA CÂMARA MUNICIPAL DE ITUIUTABA/MG, COMPREENDENDO SERVIÇOS ELÉTRICOS, HIDRÁULICOS, REPAROS EM ALVENARIA, MANUTENÇÃO DE PORTAS, JANELAS, FECHADURAS, COBERTURAS, INSTALAÇÕES, FIXAÇÕES DIVERSAS E DEMAIS SERVIÇOS CORRELATOS DE BAIXA COMPLEXIDADE, MEDIANTE FORNECIMENTO DE MÃO DE OBRA ESPECIALIZADA, FERRAMENTAS, EQUIPAMENTOS E DEMAIS INSUMOS NECESSÁRIOS À PERFEITA EXECUÇÃO DOS SERVIÇOS, PARA A MANUTENÇÃO DA CÂMARA MUNICIPAL DE ITUIUTABA</t>
        </is>
      </c>
      <c r="L433" t="b">
        <v>0</v>
      </c>
      <c r="M433" t="inlineStr">
        <is>
          <t>eletrica_predial</t>
        </is>
      </c>
      <c r="N433" t="inlineStr">
        <is>
          <t>eletrica_predial</t>
        </is>
      </c>
      <c r="O433" t="n">
        <v>413040</v>
      </c>
      <c r="P433" t="n">
        <v>305000</v>
      </c>
      <c r="Q433" t="n">
        <v>413040</v>
      </c>
      <c r="R433" t="n">
        <v>0.2615727290335076</v>
      </c>
      <c r="S433" t="n">
        <v>0</v>
      </c>
      <c r="T433" t="n">
        <v>11</v>
      </c>
      <c r="U433" t="n">
        <v>11</v>
      </c>
      <c r="V433" t="n">
        <v>11</v>
      </c>
      <c r="W433" t="n">
        <v>0</v>
      </c>
      <c r="X433" t="n">
        <v>0</v>
      </c>
      <c r="Y433" t="n">
        <v>0</v>
      </c>
      <c r="Z433" t="n">
        <v>0</v>
      </c>
      <c r="AA433" t="n">
        <v>0</v>
      </c>
      <c r="AB433" t="n">
        <v>0</v>
      </c>
      <c r="AC433" t="n">
        <v>0</v>
      </c>
      <c r="AD433" t="n">
        <v>0</v>
      </c>
      <c r="AE433" t="n">
        <v>1</v>
      </c>
      <c r="AF433" t="inlineStr">
        <is>
          <t>SF ENGENHARIA E CONSTRUCAO LTDA:ME</t>
        </is>
      </c>
      <c r="AH433" t="inlineStr">
        <is>
          <t>pontual</t>
        </is>
      </c>
      <c r="AJ433" t="n">
        <v>0</v>
      </c>
      <c r="AK433" t="n">
        <v>0</v>
      </c>
      <c r="AL433" t="n">
        <v>0</v>
      </c>
      <c r="AM433" t="n">
        <v>0</v>
      </c>
      <c r="AN433" t="n">
        <v>0</v>
      </c>
      <c r="AQ433" t="n">
        <v>0</v>
      </c>
      <c r="AS433" t="inlineStr">
        <is>
          <t>Pequenos reparos e manutencao predial de baixa complexidade (eletrica, hidraulica, alvenaria, portas/janelas/fechaduras, coberturas) para camara municipal em MG, contrato pontual, R$413 mil, 11 itens -- adequacao pontual multi-oficio de baixa complexidade, compativel com o perfil da empresa.</t>
        </is>
      </c>
      <c r="AT433" t="n">
        <v>0</v>
      </c>
      <c r="AU433" t="n">
        <v>1</v>
      </c>
    </row>
    <row r="434">
      <c r="A434" t="inlineStr">
        <is>
          <t>20905865000104_2026_81</t>
        </is>
      </c>
      <c r="B434" s="2" t="inlineStr">
        <is>
          <t>https://pncp.gov.br/app/editais/20905865000104/2026/81</t>
        </is>
      </c>
      <c r="C434" t="inlineStr">
        <is>
          <t>2026-09-27T05:47:01.476736+00:00</t>
        </is>
      </c>
      <c r="D434" t="inlineStr">
        <is>
          <t>MG</t>
        </is>
      </c>
      <c r="E434" t="inlineStr">
        <is>
          <t>vizinhos</t>
        </is>
      </c>
      <c r="F434" t="inlineStr">
        <is>
          <t>Inhapim</t>
        </is>
      </c>
      <c r="G434" t="inlineStr">
        <is>
          <t>MUNICIPIO DE INHAPIM</t>
        </is>
      </c>
      <c r="H434" t="inlineStr">
        <is>
          <t>Municipal</t>
        </is>
      </c>
      <c r="I434" t="inlineStr">
        <is>
          <t>2026-06-30T12:24:34</t>
        </is>
      </c>
      <c r="J434" t="inlineStr">
        <is>
          <t>Pregão - Eletrônico</t>
        </is>
      </c>
      <c r="K434" t="inlineStr">
        <is>
          <t>REGISTRO DE PREÇOS PARA AQUISIÇÃO DE PEÇAS E EQUIPAMENTOS PARA MANUTENÇÃO NA CÂMARA FRIA DESTE MUNICIPIO.</t>
        </is>
      </c>
      <c r="L434" t="b">
        <v>1</v>
      </c>
      <c r="M434" t="inlineStr">
        <is>
          <t>refrigeracao</t>
        </is>
      </c>
      <c r="N434" t="inlineStr">
        <is>
          <t>refrigeracao</t>
        </is>
      </c>
      <c r="O434" t="n">
        <v>25910.68</v>
      </c>
      <c r="P434" t="n">
        <v>25900</v>
      </c>
      <c r="Q434" t="n">
        <v>25910.68</v>
      </c>
      <c r="R434" t="n">
        <v>0.0004121852456207272</v>
      </c>
      <c r="S434" t="n">
        <v>0</v>
      </c>
      <c r="T434" t="n">
        <v>15</v>
      </c>
      <c r="U434" t="n">
        <v>15</v>
      </c>
      <c r="V434" t="n">
        <v>15</v>
      </c>
      <c r="W434" t="n">
        <v>0</v>
      </c>
      <c r="X434" t="n">
        <v>0</v>
      </c>
      <c r="Y434" t="n">
        <v>0</v>
      </c>
      <c r="Z434" t="n">
        <v>0</v>
      </c>
      <c r="AA434" t="n">
        <v>1</v>
      </c>
      <c r="AB434" t="n">
        <v>0</v>
      </c>
      <c r="AC434" t="n">
        <v>0</v>
      </c>
      <c r="AD434" t="n">
        <v>0</v>
      </c>
      <c r="AE434" t="n">
        <v>1</v>
      </c>
      <c r="AF434" t="inlineStr">
        <is>
          <t>Jose jeronimo de melo 48210668668:ME</t>
        </is>
      </c>
      <c r="AH434" t="inlineStr">
        <is>
          <t>pontual</t>
        </is>
      </c>
      <c r="AJ434" t="n">
        <v>0</v>
      </c>
      <c r="AK434" t="n">
        <v>0</v>
      </c>
      <c r="AL434" t="n">
        <v>0</v>
      </c>
      <c r="AM434" t="n">
        <v>0</v>
      </c>
      <c r="AN434" t="n">
        <v>0</v>
      </c>
      <c r="AQ434" t="n">
        <v>1</v>
      </c>
      <c r="AR434" t="inlineStr">
        <is>
          <t>fornecimento_puro</t>
        </is>
      </c>
      <c r="AS434" t="inlineStr">
        <is>
          <t>Objeto explicito 'aquisicao de pecas e equipamentos para manutencao na camara fria' -- mas todos os 15 itens sao materiais (isopor, impermeabilizante, unidade condensadora, forcador de ventiladores), sem servico prestado pela empresa contratada.</t>
        </is>
      </c>
      <c r="AT434" t="n">
        <v>1</v>
      </c>
      <c r="AU434" t="n">
        <v>0</v>
      </c>
    </row>
    <row r="435">
      <c r="A435" t="inlineStr">
        <is>
          <t>21744847000150_2025_1074</t>
        </is>
      </c>
      <c r="B435" s="2" t="inlineStr">
        <is>
          <t>https://pncp.gov.br/app/editais/21744847000150/2025/1074</t>
        </is>
      </c>
      <c r="C435" t="inlineStr">
        <is>
          <t>2026-09-27T04:11:50.219896+00:00</t>
        </is>
      </c>
      <c r="D435" t="inlineStr">
        <is>
          <t>GO</t>
        </is>
      </c>
      <c r="E435" t="inlineStr">
        <is>
          <t>GO</t>
        </is>
      </c>
      <c r="F435" t="inlineStr">
        <is>
          <t>Goiânia</t>
        </is>
      </c>
      <c r="G435" t="inlineStr">
        <is>
          <t>BASE ADMINISTRATIVA DO QUARTEL-GENERAL DO EXERCITO</t>
        </is>
      </c>
      <c r="H435" t="inlineStr">
        <is>
          <t>Federal</t>
        </is>
      </c>
      <c r="I435" t="inlineStr">
        <is>
          <t>2025-08-06T07:28:23</t>
        </is>
      </c>
      <c r="J435" t="inlineStr">
        <is>
          <t>Pregão - Eletrônico</t>
        </is>
      </c>
      <c r="K435" t="inlineStr">
        <is>
          <t>Registro de Preços para futura e eventual Contratação de empresa especializada na prestação de serviço de limpeza, manutenção, adequações sanitárias de poços artesianos, perfuração de poços, limpeza e desinfecção de caixa d água, serviço de rebobinamento e embuchamento de motores elétricos, serviços para reparo em bombas submersas, homologação de poços artesianos, serviço de desentupimento, desinfecção e limpeza dos ramais, tubulações e conexões.</t>
        </is>
      </c>
      <c r="L435" t="b">
        <v>1</v>
      </c>
      <c r="M435" t="inlineStr">
        <is>
          <t>eletrica_predial</t>
        </is>
      </c>
      <c r="N435" t="inlineStr">
        <is>
          <t>eletrica_predial</t>
        </is>
      </c>
      <c r="O435" t="n">
        <v>14244343.37</v>
      </c>
      <c r="P435" t="n">
        <v>7444130</v>
      </c>
      <c r="Q435" t="n">
        <v>14244343.37</v>
      </c>
      <c r="R435" t="n">
        <v>0.4773974624176905</v>
      </c>
      <c r="S435" t="n">
        <v>0</v>
      </c>
      <c r="T435" t="n">
        <v>12</v>
      </c>
      <c r="U435" t="n">
        <v>12</v>
      </c>
      <c r="V435" t="n">
        <v>12</v>
      </c>
      <c r="W435" t="n">
        <v>0</v>
      </c>
      <c r="X435" t="n">
        <v>0</v>
      </c>
      <c r="Y435" t="n">
        <v>0</v>
      </c>
      <c r="Z435" t="n">
        <v>0</v>
      </c>
      <c r="AA435" t="n">
        <v>0</v>
      </c>
      <c r="AB435" t="n">
        <v>1</v>
      </c>
      <c r="AC435" t="n">
        <v>0</v>
      </c>
      <c r="AD435" t="n">
        <v>0</v>
      </c>
      <c r="AE435" t="n">
        <v>2</v>
      </c>
      <c r="AF435" t="inlineStr">
        <is>
          <t>RENNOVA COMERCIAL LTDA:ME; T &amp; A TRANSPORTES E SERVICOS LTDA:ME</t>
        </is>
      </c>
      <c r="AH435" t="inlineStr">
        <is>
          <t>pontual</t>
        </is>
      </c>
      <c r="AJ435" t="n">
        <v>0</v>
      </c>
      <c r="AK435" t="n">
        <v>0</v>
      </c>
      <c r="AL435" t="n">
        <v>0</v>
      </c>
      <c r="AM435" t="n">
        <v>0</v>
      </c>
      <c r="AN435" t="n">
        <v>0</v>
      </c>
      <c r="AQ435" t="n">
        <v>0</v>
      </c>
      <c r="AR435" t="inlineStr">
        <is>
          <t>fora_de_escopo</t>
        </is>
      </c>
      <c r="AS435" t="inlineStr">
        <is>
          <t>Servicos de pocos artesianos, limpeza/desinfeccao de caixas d'agua e bombas submersas; eletrica aparece so como rebobinamento/embuchamento de motores -- nao e manutencao eletrica predial.</t>
        </is>
      </c>
      <c r="AT435" t="n">
        <v>0</v>
      </c>
      <c r="AU435" t="n">
        <v>0</v>
      </c>
    </row>
    <row r="436">
      <c r="A436" t="inlineStr">
        <is>
          <t>21744847000150_2025_1952</t>
        </is>
      </c>
      <c r="B436" s="2" t="inlineStr">
        <is>
          <t>https://pncp.gov.br/app/editais/21744847000150/2025/1952</t>
        </is>
      </c>
      <c r="C436" t="inlineStr">
        <is>
          <t>2026-09-27T04:09:20.255118+00:00</t>
        </is>
      </c>
      <c r="D436" t="inlineStr">
        <is>
          <t>GO</t>
        </is>
      </c>
      <c r="E436" t="inlineStr">
        <is>
          <t>GO</t>
        </is>
      </c>
      <c r="F436" t="inlineStr">
        <is>
          <t>Jataí</t>
        </is>
      </c>
      <c r="G436" t="inlineStr">
        <is>
          <t>BASE ADMINISTRATIVA DO QUARTEL-GENERAL DO EXERCITO</t>
        </is>
      </c>
      <c r="H436" t="inlineStr">
        <is>
          <t>Federal</t>
        </is>
      </c>
      <c r="I436" t="inlineStr">
        <is>
          <t>2025-08-15T07:06:49</t>
        </is>
      </c>
      <c r="J436" t="inlineStr">
        <is>
          <t>Pregão - Eletrônico</t>
        </is>
      </c>
      <c r="K436" t="inlineStr">
        <is>
          <t>Contratação de serviços de manutenção de roçadeiras, sopradores de ar, geradores de energia elétrica e de ares-condicionados, para atender as necessidades do 41º Batalhão de Infantaria Mecanizado.</t>
        </is>
      </c>
      <c r="L436" t="b">
        <v>1</v>
      </c>
      <c r="M436" t="inlineStr">
        <is>
          <t>eletrica_predial</t>
        </is>
      </c>
      <c r="N436" t="inlineStr">
        <is>
          <t>eletrica_predial</t>
        </is>
      </c>
      <c r="O436" t="n">
        <v>101246.72</v>
      </c>
      <c r="P436" t="n">
        <v>60018.7</v>
      </c>
      <c r="Q436" t="n">
        <v>101246.72</v>
      </c>
      <c r="R436" t="n">
        <v>0.4072035123705735</v>
      </c>
      <c r="S436" t="n">
        <v>0</v>
      </c>
      <c r="T436" t="n">
        <v>32</v>
      </c>
      <c r="U436" t="n">
        <v>32</v>
      </c>
      <c r="V436" t="n">
        <v>32</v>
      </c>
      <c r="W436" t="n">
        <v>0</v>
      </c>
      <c r="X436" t="n">
        <v>0</v>
      </c>
      <c r="Y436" t="n">
        <v>0</v>
      </c>
      <c r="Z436" t="n">
        <v>0</v>
      </c>
      <c r="AA436" t="n">
        <v>1</v>
      </c>
      <c r="AB436" t="n">
        <v>0</v>
      </c>
      <c r="AC436" t="n">
        <v>0</v>
      </c>
      <c r="AD436" t="n">
        <v>0</v>
      </c>
      <c r="AE436" t="n">
        <v>5</v>
      </c>
      <c r="AF436" t="inlineStr">
        <is>
          <t>SV RESPLANDE  ENGENHARIA E CONSULTORIA E SERVICOS LTDA:ME; MAKLAVE COMERCIO E SERVICOS LTDA:ME; S. NOLLI COMERCIO E SERVICOS LTDA:ME; AGROVERDE BRASIL LTDA:ME; FERNANDO COMEL &amp; CIA LTDA:ME</t>
        </is>
      </c>
      <c r="AH436" t="inlineStr">
        <is>
          <t>indefinido</t>
        </is>
      </c>
      <c r="AJ436" t="n">
        <v>0</v>
      </c>
      <c r="AK436" t="n">
        <v>0</v>
      </c>
      <c r="AL436" t="n">
        <v>0</v>
      </c>
      <c r="AM436" t="n">
        <v>0</v>
      </c>
      <c r="AN436" t="n">
        <v>0</v>
      </c>
      <c r="AQ436" t="n">
        <v>0</v>
      </c>
      <c r="AR436" t="inlineStr">
        <is>
          <t>equipamento_alto</t>
        </is>
      </c>
      <c r="AS436" t="inlineStr">
        <is>
          <t>Confirmada exclusao automatica (equipamento_alto): contratacao de servicos de manutencao de rocadeiras, sopradores de ar, geradores de energia eletrica e de ares-condicionados, para atender as necessidades do 41o batalhao de infant</t>
        </is>
      </c>
      <c r="AT436" t="n">
        <v>0</v>
      </c>
      <c r="AU436" t="n">
        <v>0</v>
      </c>
    </row>
    <row r="437">
      <c r="A437" t="inlineStr">
        <is>
          <t>22100219000103_2025_6</t>
        </is>
      </c>
      <c r="B437" s="2" t="inlineStr">
        <is>
          <t>https://pncp.gov.br/app/editais/22100219000103/2025/6</t>
        </is>
      </c>
      <c r="C437" t="inlineStr">
        <is>
          <t>2026-09-27T02:41:22.948851+00:00</t>
        </is>
      </c>
      <c r="D437" t="inlineStr">
        <is>
          <t>GO</t>
        </is>
      </c>
      <c r="E437" t="inlineStr">
        <is>
          <t>GO</t>
        </is>
      </c>
      <c r="F437" t="inlineStr">
        <is>
          <t>Aparecida de Goiânia</t>
        </is>
      </c>
      <c r="G437" t="inlineStr">
        <is>
          <t>FUNDO ESPECIAL MUNICIPAL PARA O CORPO DE BOMBEIROS MILITAR DO ESTADO DE GOIAS - FEMBOM</t>
        </is>
      </c>
      <c r="H437" t="inlineStr">
        <is>
          <t>Municipal</t>
        </is>
      </c>
      <c r="I437" t="inlineStr">
        <is>
          <t>2025-12-16T10:40:41</t>
        </is>
      </c>
      <c r="J437" t="inlineStr">
        <is>
          <t>Pregão - Eletrônico</t>
        </is>
      </c>
      <c r="K437" t="inlineStr">
        <is>
          <t>CONTRATAÇÃO DE EMPRESA ESPECIALIZADA PARA PRESTAÇÃO DE SERVIÇOS, SOB DEMANDA, RELACIONADOS À MANUTENÇÃO PREVENTIVA, CORRETIVA, INSTALAÇÃO E REMOÇÃO DE APARELHOS DE AR CONDICIONADO, COM FORNECIMENTO DE PEÇAS</t>
        </is>
      </c>
      <c r="L437" t="b">
        <v>0</v>
      </c>
      <c r="M437" t="inlineStr">
        <is>
          <t>climatizacao</t>
        </is>
      </c>
      <c r="N437" t="inlineStr">
        <is>
          <t>climatizacao</t>
        </is>
      </c>
      <c r="O437" t="n">
        <v>86592.55</v>
      </c>
      <c r="P437" t="n">
        <v>58000</v>
      </c>
      <c r="Q437" t="n">
        <v>86592.55</v>
      </c>
      <c r="R437" t="n">
        <v>0.3301964198998644</v>
      </c>
      <c r="S437" t="n">
        <v>0</v>
      </c>
      <c r="T437" t="n">
        <v>1</v>
      </c>
      <c r="U437" t="n">
        <v>1</v>
      </c>
      <c r="V437" t="n">
        <v>1</v>
      </c>
      <c r="W437" t="n">
        <v>0</v>
      </c>
      <c r="X437" t="n">
        <v>0</v>
      </c>
      <c r="Y437" t="n">
        <v>0</v>
      </c>
      <c r="Z437" t="n">
        <v>0</v>
      </c>
      <c r="AA437" t="n">
        <v>0</v>
      </c>
      <c r="AB437" t="n">
        <v>0</v>
      </c>
      <c r="AC437" t="n">
        <v>0</v>
      </c>
      <c r="AD437" t="n">
        <v>0</v>
      </c>
      <c r="AE437" t="n">
        <v>1</v>
      </c>
      <c r="AF437" t="inlineStr">
        <is>
          <t>ALTURA E CLIMA AR CONDICIONADO LTDA:Demais</t>
        </is>
      </c>
      <c r="AH437" t="inlineStr">
        <is>
          <t>pontual</t>
        </is>
      </c>
      <c r="AJ437" t="n">
        <v>0</v>
      </c>
      <c r="AK437" t="n">
        <v>0</v>
      </c>
      <c r="AL437" t="n">
        <v>0</v>
      </c>
      <c r="AM437" t="n">
        <v>0</v>
      </c>
      <c r="AN437" t="n">
        <v>0</v>
      </c>
      <c r="AQ437" t="n">
        <v>0</v>
      </c>
      <c r="AS437" t="inlineStr">
        <is>
          <t>heuristica automatica confirmada: servico real de climatizacao, sem sinais de exclusao.</t>
        </is>
      </c>
      <c r="AT437" t="n">
        <v>0</v>
      </c>
      <c r="AU437" t="n">
        <v>1</v>
      </c>
    </row>
    <row r="438">
      <c r="A438" t="inlineStr">
        <is>
          <t>22794608000178_2026_9</t>
        </is>
      </c>
      <c r="B438" s="2" t="inlineStr">
        <is>
          <t>https://pncp.gov.br/app/editais/22794608000178/2026/9</t>
        </is>
      </c>
      <c r="C438" t="inlineStr">
        <is>
          <t>2026-09-27T05:05:42.987726+00:00</t>
        </is>
      </c>
      <c r="D438" t="inlineStr">
        <is>
          <t>MT</t>
        </is>
      </c>
      <c r="E438" t="inlineStr">
        <is>
          <t>vizinhos</t>
        </is>
      </c>
      <c r="F438" t="inlineStr">
        <is>
          <t>Cáceres</t>
        </is>
      </c>
      <c r="G438" t="inlineStr">
        <is>
          <t>SERVICO DE SANEAMENTO AMBIENTAL AGUAS DO PANTANAL</t>
        </is>
      </c>
      <c r="H438" t="inlineStr">
        <is>
          <t>Municipal</t>
        </is>
      </c>
      <c r="I438" t="inlineStr">
        <is>
          <t>2026-07-13T10:20:30</t>
        </is>
      </c>
      <c r="J438" t="inlineStr">
        <is>
          <t>Pregão - Eletrônico</t>
        </is>
      </c>
      <c r="K438" t="inlineStr">
        <is>
          <t>FUTURA E EVENTUAL AQUISIÇÃO DE MATERIAIS ELÉTRICOS E EQUIPAMENTOS DE PROTEÇÃO INDIVIDUAL E COLETIVA</t>
        </is>
      </c>
      <c r="L438" t="b">
        <v>1</v>
      </c>
      <c r="M438" t="inlineStr">
        <is>
          <t>eletrica_predial</t>
        </is>
      </c>
      <c r="N438" t="inlineStr">
        <is>
          <t>eletrica_predial</t>
        </is>
      </c>
      <c r="O438" t="n">
        <v>1034662.14</v>
      </c>
      <c r="P438" t="n">
        <v>179229.0000000001</v>
      </c>
      <c r="Q438" t="n">
        <v>179252.25</v>
      </c>
      <c r="R438" t="n">
        <v>0.0001297054848684193</v>
      </c>
      <c r="S438" t="n">
        <v>0</v>
      </c>
      <c r="T438" t="n">
        <v>187</v>
      </c>
      <c r="U438" t="n">
        <v>40</v>
      </c>
      <c r="V438" t="n">
        <v>187</v>
      </c>
      <c r="W438" t="n">
        <v>0</v>
      </c>
      <c r="X438" t="n">
        <v>0</v>
      </c>
      <c r="Y438" t="n">
        <v>0</v>
      </c>
      <c r="Z438" t="n">
        <v>0</v>
      </c>
      <c r="AA438" t="n">
        <v>0</v>
      </c>
      <c r="AB438" t="n">
        <v>1</v>
      </c>
      <c r="AC438" t="n">
        <v>0</v>
      </c>
      <c r="AD438" t="n">
        <v>0</v>
      </c>
      <c r="AE438" t="n">
        <v>1</v>
      </c>
      <c r="AF438" t="inlineStr">
        <is>
          <t>NACIONAL MAT P CONSTRUCAO LTDA:ME</t>
        </is>
      </c>
      <c r="AH438" t="inlineStr">
        <is>
          <t>pontual</t>
        </is>
      </c>
      <c r="AJ438" t="n">
        <v>0</v>
      </c>
      <c r="AK438" t="n">
        <v>0</v>
      </c>
      <c r="AL438" t="n">
        <v>0</v>
      </c>
      <c r="AM438" t="n">
        <v>0</v>
      </c>
      <c r="AN438" t="n">
        <v>0</v>
      </c>
      <c r="AQ438" t="n">
        <v>1</v>
      </c>
      <c r="AR438" t="inlineStr">
        <is>
          <t>fornecimento_puro</t>
        </is>
      </c>
      <c r="AS438" t="inlineStr">
        <is>
          <t>Confirmada exclusao automatica (fornecimento_puro): 187 item(ns), todos classificados como material (sem servico).</t>
        </is>
      </c>
      <c r="AT438" t="n">
        <v>0</v>
      </c>
      <c r="AU438" t="n">
        <v>0</v>
      </c>
    </row>
    <row r="439">
      <c r="A439" t="inlineStr">
        <is>
          <t>24121284000132_2026_10</t>
        </is>
      </c>
      <c r="B439" s="2" t="inlineStr">
        <is>
          <t>https://pncp.gov.br/app/editais/24121284000132/2026/10</t>
        </is>
      </c>
      <c r="C439" t="inlineStr">
        <is>
          <t>2026-09-27T04:35:33.442833+00:00</t>
        </is>
      </c>
      <c r="D439" t="inlineStr">
        <is>
          <t>GO</t>
        </is>
      </c>
      <c r="E439" t="inlineStr">
        <is>
          <t>GO</t>
        </is>
      </c>
      <c r="F439" t="inlineStr">
        <is>
          <t>Nerópolis</t>
        </is>
      </c>
      <c r="G439" t="inlineStr">
        <is>
          <t>FUNDO MUNICIPAL DE EDUCACAO DE NEROPOLIS - FME</t>
        </is>
      </c>
      <c r="H439" t="inlineStr">
        <is>
          <t>Municipal</t>
        </is>
      </c>
      <c r="I439" t="inlineStr">
        <is>
          <t>2026-04-01T14:32:32</t>
        </is>
      </c>
      <c r="J439" t="inlineStr">
        <is>
          <t>Pregão - Eletrônico</t>
        </is>
      </c>
      <c r="K439" t="inlineStr">
        <is>
          <t>Futura e eventual contratação de empresa especializada para locação, montagem, manutenção e desmontagem de estruturas destinadas à realização de eventos, compreendendo palco, sonorização, iluminação, stands, camarins, treliças e demais estruturas necessárias e serviços necessários. Tais estruturas serão utilizadas na realização de eventos promovidos pela Prefeitura, bem como no atendimento de demandas da população, quando necessário</t>
        </is>
      </c>
      <c r="L439" t="b">
        <v>1</v>
      </c>
      <c r="M439" t="inlineStr">
        <is>
          <t>iluminacao_publica</t>
        </is>
      </c>
      <c r="N439" t="inlineStr">
        <is>
          <t>iluminacao_publica</t>
        </is>
      </c>
      <c r="O439" t="n">
        <v>4852813.85</v>
      </c>
      <c r="P439" t="n">
        <v>2191290</v>
      </c>
      <c r="Q439" t="n">
        <v>4852813.850000001</v>
      </c>
      <c r="R439" t="n">
        <v>0.5484496072314827</v>
      </c>
      <c r="S439" t="n">
        <v>0</v>
      </c>
      <c r="T439" t="n">
        <v>21</v>
      </c>
      <c r="U439" t="n">
        <v>21</v>
      </c>
      <c r="V439" t="n">
        <v>21</v>
      </c>
      <c r="W439" t="n">
        <v>0</v>
      </c>
      <c r="X439" t="n">
        <v>0</v>
      </c>
      <c r="Y439" t="n">
        <v>0</v>
      </c>
      <c r="Z439" t="n">
        <v>0</v>
      </c>
      <c r="AA439" t="n">
        <v>0</v>
      </c>
      <c r="AB439" t="n">
        <v>0</v>
      </c>
      <c r="AC439" t="n">
        <v>0</v>
      </c>
      <c r="AD439" t="n">
        <v>0</v>
      </c>
      <c r="AE439" t="n">
        <v>6</v>
      </c>
      <c r="AF439" t="inlineStr">
        <is>
          <t>DS SERVICOS E VENDAS LTDA:Demais; IN HOUSE ARQUITETURA E ENGENHARIA LTDA:Demais; MOREIRA PRESTADORA DE SERVICOS LTDA:Demais; RASMUSSEN E SOUZA LTDA - ME:Demais; NILSON PROMOCOES ARTISTICAS LTDA:Demais; JORDANNA CARRIJO MONTEIRO UNIPESSOAL LTDA:Demais</t>
        </is>
      </c>
      <c r="AH439" t="inlineStr">
        <is>
          <t>pontual</t>
        </is>
      </c>
      <c r="AJ439" t="n">
        <v>0</v>
      </c>
      <c r="AK439" t="n">
        <v>0</v>
      </c>
      <c r="AL439" t="n">
        <v>0</v>
      </c>
      <c r="AM439" t="n">
        <v>0</v>
      </c>
      <c r="AN439" t="n">
        <v>0</v>
      </c>
      <c r="AQ439" t="n">
        <v>1</v>
      </c>
      <c r="AR439" t="inlineStr">
        <is>
          <t>mencao_passagem</t>
        </is>
      </c>
      <c r="AS439" t="inlineStr">
        <is>
          <t>Locação de estruturas para eventos (palco, sonorização, iluminação, stands, camarins); não é manutenção de IP.</t>
        </is>
      </c>
      <c r="AT439" t="n">
        <v>1</v>
      </c>
      <c r="AU439" t="n">
        <v>0</v>
      </c>
    </row>
    <row r="440">
      <c r="A440" t="inlineStr">
        <is>
          <t>24644502000113_2026_12</t>
        </is>
      </c>
      <c r="B440" s="2" t="inlineStr">
        <is>
          <t>https://pncp.gov.br/app/editais/24644502000113/2026/12</t>
        </is>
      </c>
      <c r="C440" t="inlineStr">
        <is>
          <t>2026-09-27T05:19:04.514435+00:00</t>
        </is>
      </c>
      <c r="D440" t="inlineStr">
        <is>
          <t>MS</t>
        </is>
      </c>
      <c r="E440" t="inlineStr">
        <is>
          <t>vizinhos</t>
        </is>
      </c>
      <c r="F440" t="inlineStr">
        <is>
          <t>Vicentina</t>
        </is>
      </c>
      <c r="G440" t="inlineStr">
        <is>
          <t>MUNICIPIO DE VICENTINA</t>
        </is>
      </c>
      <c r="H440" t="inlineStr">
        <is>
          <t>Municipal</t>
        </is>
      </c>
      <c r="I440" t="inlineStr">
        <is>
          <t>2026-06-22T09:08:06</t>
        </is>
      </c>
      <c r="J440" t="inlineStr">
        <is>
          <t>Pregão - Presencial</t>
        </is>
      </c>
      <c r="K440" t="inlineStr">
        <is>
          <t>Contratação de empresa especializada na organização e produção de evento cultural, com fornecimento de toda a estrutura necessária, com montagem e desmontagem, incluindo arena, bretes, sistema de som e iluminação, profissionais especializados (narrador, salva-vidas, juízes e equipe de manejo), seguranças e demais itens necessários à realização do evento, de acordo com os padrões técnicos e de segurança vigentes.</t>
        </is>
      </c>
      <c r="L440" t="b">
        <v>0</v>
      </c>
      <c r="M440" t="inlineStr">
        <is>
          <t>iluminacao_publica</t>
        </is>
      </c>
      <c r="N440" t="inlineStr">
        <is>
          <t>iluminacao_publica</t>
        </is>
      </c>
      <c r="O440" t="n">
        <v>264385.01</v>
      </c>
      <c r="P440" t="n">
        <v>264300</v>
      </c>
      <c r="Q440" t="n">
        <v>264385.01</v>
      </c>
      <c r="R440" t="n">
        <v>0.000321538653042408</v>
      </c>
      <c r="S440" t="n">
        <v>0</v>
      </c>
      <c r="T440" t="n">
        <v>1</v>
      </c>
      <c r="U440" t="n">
        <v>1</v>
      </c>
      <c r="V440" t="n">
        <v>1</v>
      </c>
      <c r="W440" t="n">
        <v>0</v>
      </c>
      <c r="X440" t="n">
        <v>0</v>
      </c>
      <c r="Y440" t="n">
        <v>0</v>
      </c>
      <c r="Z440" t="n">
        <v>0</v>
      </c>
      <c r="AA440" t="n">
        <v>0</v>
      </c>
      <c r="AB440" t="n">
        <v>0</v>
      </c>
      <c r="AC440" t="n">
        <v>0</v>
      </c>
      <c r="AD440" t="n">
        <v>0</v>
      </c>
      <c r="AE440" t="n">
        <v>1</v>
      </c>
      <c r="AF440" t="inlineStr">
        <is>
          <t>MARCA 90 LTDA:Demais</t>
        </is>
      </c>
      <c r="AH440" t="inlineStr">
        <is>
          <t>pontual</t>
        </is>
      </c>
      <c r="AJ440" t="n">
        <v>0</v>
      </c>
      <c r="AK440" t="n">
        <v>0</v>
      </c>
      <c r="AL440" t="n">
        <v>0</v>
      </c>
      <c r="AM440" t="n">
        <v>0</v>
      </c>
      <c r="AN440" t="n">
        <v>0</v>
      </c>
      <c r="AQ440" t="n">
        <v>0</v>
      </c>
      <c r="AR440" t="inlineStr">
        <is>
          <t>mencao_passagem</t>
        </is>
      </c>
      <c r="AS440" t="inlineStr">
        <is>
          <t>Evento cultural (arena, rodeio, som e iluminação); não é manutenção de IP.</t>
        </is>
      </c>
      <c r="AT440" t="n">
        <v>0</v>
      </c>
      <c r="AU440" t="n">
        <v>0</v>
      </c>
    </row>
    <row r="441">
      <c r="A441" t="inlineStr">
        <is>
          <t>24651200000172_2026_102</t>
        </is>
      </c>
      <c r="B441" s="2" t="inlineStr">
        <is>
          <t>https://pncp.gov.br/app/editais/24651200000172/2026/102</t>
        </is>
      </c>
      <c r="C441" t="inlineStr">
        <is>
          <t>2026-09-27T05:18:53.453075+00:00</t>
        </is>
      </c>
      <c r="D441" t="inlineStr">
        <is>
          <t>MS</t>
        </is>
      </c>
      <c r="E441" t="inlineStr">
        <is>
          <t>vizinhos</t>
        </is>
      </c>
      <c r="F441" t="inlineStr">
        <is>
          <t>Chapadão do Sul</t>
        </is>
      </c>
      <c r="G441" t="inlineStr">
        <is>
          <t>MUNICIPIO DE CHAPADAO DO SUL</t>
        </is>
      </c>
      <c r="H441" t="inlineStr">
        <is>
          <t>Municipal</t>
        </is>
      </c>
      <c r="I441" t="inlineStr">
        <is>
          <t>2026-07-07T10:11:29</t>
        </is>
      </c>
      <c r="J441" t="inlineStr">
        <is>
          <t>Concorrência - Eletrônica</t>
        </is>
      </c>
      <c r="K441" t="inlineStr">
        <is>
          <t xml:space="preserve"> contratação de empresa especializada em serviços de engenharia para execução da obra de construção de arquibancadas em concreto armado e implantação de sistema de iluminação pública na Praça de Eventos, localizada no município de Chapadão do Sul/MS. A contratação contempla a execução completa da obra, incluindo infraestrutura civil e elétrica, conforme projetos técnicos, memorial descritivo e demais documentos que integram o presente processo. - Emenda Parlamentar nº 202539640016.</t>
        </is>
      </c>
      <c r="L441" t="b">
        <v>0</v>
      </c>
      <c r="M441" t="inlineStr">
        <is>
          <t>iluminacao_publica</t>
        </is>
      </c>
      <c r="N441" t="inlineStr">
        <is>
          <t>iluminacao_publica</t>
        </is>
      </c>
      <c r="O441" t="n">
        <v>480331.32</v>
      </c>
      <c r="P441" t="n">
        <v>433200</v>
      </c>
      <c r="Q441" t="n">
        <v>480331.32</v>
      </c>
      <c r="R441" t="n">
        <v>0.09812252092992813</v>
      </c>
      <c r="S441" t="n">
        <v>0</v>
      </c>
      <c r="T441" t="n">
        <v>1</v>
      </c>
      <c r="U441" t="n">
        <v>1</v>
      </c>
      <c r="V441" t="n">
        <v>1</v>
      </c>
      <c r="W441" t="n">
        <v>0</v>
      </c>
      <c r="X441" t="n">
        <v>0</v>
      </c>
      <c r="Y441" t="n">
        <v>0</v>
      </c>
      <c r="Z441" t="n">
        <v>0</v>
      </c>
      <c r="AA441" t="n">
        <v>0</v>
      </c>
      <c r="AB441" t="n">
        <v>0</v>
      </c>
      <c r="AC441" t="n">
        <v>0</v>
      </c>
      <c r="AD441" t="n">
        <v>0</v>
      </c>
      <c r="AE441" t="n">
        <v>1</v>
      </c>
      <c r="AF441" t="inlineStr">
        <is>
          <t>SETTA CONSULTORIA E CONSTRUÇÃO LTDA:EPP</t>
        </is>
      </c>
      <c r="AH441" t="inlineStr">
        <is>
          <t>indefinido</t>
        </is>
      </c>
      <c r="AJ441" t="n">
        <v>0</v>
      </c>
      <c r="AK441" t="n">
        <v>0</v>
      </c>
      <c r="AL441" t="n">
        <v>0</v>
      </c>
      <c r="AM441" t="n">
        <v>0</v>
      </c>
      <c r="AN441" t="n">
        <v>0</v>
      </c>
      <c r="AQ441" t="n">
        <v>0</v>
      </c>
      <c r="AR441" t="inlineStr">
        <is>
          <t>mencao_passagem</t>
        </is>
      </c>
      <c r="AS441" t="inlineStr">
        <is>
          <t>Obra de construção de arquibancadas com implantação de IP incidental; objeto principal é a arquibancada, não a iluminação.</t>
        </is>
      </c>
      <c r="AT441" t="n">
        <v>0</v>
      </c>
      <c r="AU441" t="n">
        <v>0</v>
      </c>
    </row>
    <row r="442">
      <c r="A442" t="inlineStr">
        <is>
          <t>24672727000183_2026_28</t>
        </is>
      </c>
      <c r="B442" s="2" t="inlineStr">
        <is>
          <t>https://pncp.gov.br/app/editais/24672727000183/2026/28</t>
        </is>
      </c>
      <c r="C442" t="inlineStr">
        <is>
          <t>2026-09-27T05:12:34.108490+00:00</t>
        </is>
      </c>
      <c r="D442" t="inlineStr">
        <is>
          <t>MT</t>
        </is>
      </c>
      <c r="E442" t="inlineStr">
        <is>
          <t>vizinhos</t>
        </is>
      </c>
      <c r="F442" t="inlineStr">
        <is>
          <t>Primavera do Leste</t>
        </is>
      </c>
      <c r="G442" t="inlineStr">
        <is>
          <t>PRIMAVERA DO LESTE CAMARA MUNICIPAL</t>
        </is>
      </c>
      <c r="H442" t="inlineStr">
        <is>
          <t>Municipal</t>
        </is>
      </c>
      <c r="I442" t="inlineStr">
        <is>
          <t>2026-08-24T14:11:27</t>
        </is>
      </c>
      <c r="J442" t="inlineStr">
        <is>
          <t>Pregão - Eletrônico</t>
        </is>
      </c>
      <c r="K442" t="inlineStr">
        <is>
          <t>[LICITANET] - bjeto: Registro de preços para futura e eventual contratação de empresa especializada na prestação de serviços comuns de engenharia, de natureza continuada, com execução sob demanda, destinados à manutenção predial preventiva e corretiva, adequações, revitalizações, reparos e pequenas intervenções nas dependências internas e externas da Câmara Municipal de Primavera do Leste MT, com fornecimento de mão de obra, materiais, insumos, equipamentos e demais recursos necessários à execução dos serviços, conforme termo de referência nº 022/2026.</t>
        </is>
      </c>
      <c r="L442" t="b">
        <v>1</v>
      </c>
      <c r="M442" t="inlineStr">
        <is>
          <t>manutencao_predial</t>
        </is>
      </c>
      <c r="N442" t="inlineStr">
        <is>
          <t>manutencao_predial</t>
        </is>
      </c>
      <c r="O442" t="n">
        <v>0</v>
      </c>
      <c r="P442" t="n">
        <v>6</v>
      </c>
      <c r="Q442" t="n">
        <v>0</v>
      </c>
      <c r="S442" t="n">
        <v>0</v>
      </c>
      <c r="T442" t="n">
        <v>1</v>
      </c>
      <c r="U442" t="n">
        <v>1</v>
      </c>
      <c r="V442" t="n">
        <v>1</v>
      </c>
      <c r="W442" t="n">
        <v>0</v>
      </c>
      <c r="X442" t="n">
        <v>0</v>
      </c>
      <c r="Y442" t="n">
        <v>0</v>
      </c>
      <c r="Z442" t="n">
        <v>0</v>
      </c>
      <c r="AA442" t="n">
        <v>0</v>
      </c>
      <c r="AB442" t="n">
        <v>0</v>
      </c>
      <c r="AC442" t="n">
        <v>0</v>
      </c>
      <c r="AD442" t="n">
        <v>0</v>
      </c>
      <c r="AE442" t="n">
        <v>1</v>
      </c>
      <c r="AF442" t="inlineStr">
        <is>
          <t>E. M. O. DE MOURA LTDA:EPP</t>
        </is>
      </c>
      <c r="AH442" t="inlineStr">
        <is>
          <t>continuado</t>
        </is>
      </c>
      <c r="AJ442" t="n">
        <v>0</v>
      </c>
      <c r="AK442" t="n">
        <v>0</v>
      </c>
      <c r="AL442" t="n">
        <v>0</v>
      </c>
      <c r="AM442" t="n">
        <v>0</v>
      </c>
      <c r="AN442" t="n">
        <v>0</v>
      </c>
      <c r="AT442" t="n">
        <v>1</v>
      </c>
      <c r="AU442" t="n">
        <v>1</v>
      </c>
    </row>
    <row r="443">
      <c r="A443" t="inlineStr">
        <is>
          <t>24772162000106_2026_147</t>
        </is>
      </c>
      <c r="B443" s="2" t="inlineStr">
        <is>
          <t>https://pncp.gov.br/app/editais/24772162000106/2026/147</t>
        </is>
      </c>
      <c r="C443" t="inlineStr">
        <is>
          <t>2026-09-27T05:12:30.096221+00:00</t>
        </is>
      </c>
      <c r="D443" t="inlineStr">
        <is>
          <t>MT</t>
        </is>
      </c>
      <c r="E443" t="inlineStr">
        <is>
          <t>vizinhos</t>
        </is>
      </c>
      <c r="F443" t="inlineStr">
        <is>
          <t>Nova Mutum</t>
        </is>
      </c>
      <c r="G443" t="inlineStr">
        <is>
          <t>MUNICIPIO DE NOVA MUTUM</t>
        </is>
      </c>
      <c r="H443" t="inlineStr">
        <is>
          <t>Municipal</t>
        </is>
      </c>
      <c r="I443" t="inlineStr">
        <is>
          <t>2026-07-29T09:55:40</t>
        </is>
      </c>
      <c r="J443" t="inlineStr">
        <is>
          <t>Concorrência - Eletrônica</t>
        </is>
      </c>
      <c r="K443" t="inlineStr">
        <is>
          <t>CONTRATAÇÃO DE EMPRESA ESPECIALIZADA PARA EXECUÇÃO DE SERVIÇOS DE INSTALAÇÃO ELÉTRICA PARA ILUMINAÇÃO DOS LAGOS PÚBLICOS, NAS ÁREAS DO LAGO 06, 07, 08 E 09, ÁREA URBANA DE NOVA MUTUM/MT CONFORME PLANILHA ORÇAMENTÁRIA, CRONOGRAMA FÍSICO FINANCEIRO E MEMORI</t>
        </is>
      </c>
      <c r="L443" t="b">
        <v>0</v>
      </c>
      <c r="M443" t="inlineStr">
        <is>
          <t>iluminacao_publica</t>
        </is>
      </c>
      <c r="N443" t="inlineStr">
        <is>
          <t>iluminacao_publica</t>
        </is>
      </c>
      <c r="O443" t="n">
        <v>695078.65</v>
      </c>
      <c r="P443" t="n">
        <v>695078.65</v>
      </c>
      <c r="Q443" t="n">
        <v>695078.65</v>
      </c>
      <c r="R443" t="n">
        <v>0</v>
      </c>
      <c r="S443" t="n">
        <v>0</v>
      </c>
      <c r="T443" t="n">
        <v>1</v>
      </c>
      <c r="U443" t="n">
        <v>1</v>
      </c>
      <c r="V443" t="n">
        <v>1</v>
      </c>
      <c r="W443" t="n">
        <v>0</v>
      </c>
      <c r="X443" t="n">
        <v>0</v>
      </c>
      <c r="Y443" t="n">
        <v>0</v>
      </c>
      <c r="Z443" t="n">
        <v>0</v>
      </c>
      <c r="AA443" t="n">
        <v>0</v>
      </c>
      <c r="AB443" t="n">
        <v>0</v>
      </c>
      <c r="AC443" t="n">
        <v>0</v>
      </c>
      <c r="AD443" t="n">
        <v>0</v>
      </c>
      <c r="AE443" t="n">
        <v>1</v>
      </c>
      <c r="AF443" t="inlineStr">
        <is>
          <t>ALM ENGENHARIA E CONSULTORIA LTDA:Demais</t>
        </is>
      </c>
      <c r="AH443" t="inlineStr">
        <is>
          <t>indefinido</t>
        </is>
      </c>
      <c r="AJ443" t="n">
        <v>0</v>
      </c>
      <c r="AK443" t="n">
        <v>0</v>
      </c>
      <c r="AL443" t="n">
        <v>0</v>
      </c>
      <c r="AM443" t="n">
        <v>0</v>
      </c>
      <c r="AN443" t="n">
        <v>0</v>
      </c>
      <c r="AQ443" t="n">
        <v>0</v>
      </c>
      <c r="AS443" t="inlineStr">
        <is>
          <t>Nenhum dos 4 critérios de exclusão se aplica; objeto compatível com manutenção/pequena extensão de IP.</t>
        </is>
      </c>
      <c r="AT443" t="n">
        <v>0</v>
      </c>
      <c r="AU443" t="n">
        <v>1</v>
      </c>
    </row>
    <row r="444">
      <c r="A444" t="inlineStr">
        <is>
          <t>24772162000106_2026_165</t>
        </is>
      </c>
      <c r="B444" s="2" t="inlineStr">
        <is>
          <t>https://pncp.gov.br/app/editais/24772162000106/2026/165</t>
        </is>
      </c>
      <c r="C444" t="inlineStr">
        <is>
          <t>2026-09-27T05:11:45.436298+00:00</t>
        </is>
      </c>
      <c r="D444" t="inlineStr">
        <is>
          <t>MT</t>
        </is>
      </c>
      <c r="E444" t="inlineStr">
        <is>
          <t>vizinhos</t>
        </is>
      </c>
      <c r="F444" t="inlineStr">
        <is>
          <t>Nova Mutum</t>
        </is>
      </c>
      <c r="G444" t="inlineStr">
        <is>
          <t>MUNICIPIO DE NOVA MUTUM</t>
        </is>
      </c>
      <c r="H444" t="inlineStr">
        <is>
          <t>Municipal</t>
        </is>
      </c>
      <c r="I444" t="inlineStr">
        <is>
          <t>2026-09-03T15:13:53</t>
        </is>
      </c>
      <c r="J444" t="inlineStr">
        <is>
          <t>Pregão - Eletrônico</t>
        </is>
      </c>
      <c r="K444" t="inlineStr">
        <is>
          <t>REGISTRO DE PREÇOS PARA FUTURA E EVENTUAL AQUISIÇÃO DE MATERIAIS ELÉTRICOS DE ILUMINAÇÃO PÚBLICA, PARA ATENDER ÀS NECESSIDADES DA SECRETARIA MUNICIPAL DE INFRAESTRUTURA E OBRAS</t>
        </is>
      </c>
      <c r="L444" t="b">
        <v>1</v>
      </c>
      <c r="M444" t="inlineStr">
        <is>
          <t>iluminacao_publica</t>
        </is>
      </c>
      <c r="N444" t="inlineStr">
        <is>
          <t>iluminacao_publica</t>
        </is>
      </c>
      <c r="O444" t="n">
        <v>2892501.44</v>
      </c>
      <c r="P444" t="n">
        <v>1874837.9</v>
      </c>
      <c r="Q444" t="n">
        <v>2890484.2</v>
      </c>
      <c r="R444" t="n">
        <v>0.3513758352320348</v>
      </c>
      <c r="S444" t="n">
        <v>0</v>
      </c>
      <c r="T444" t="n">
        <v>41</v>
      </c>
      <c r="U444" t="n">
        <v>36</v>
      </c>
      <c r="V444" t="n">
        <v>36</v>
      </c>
      <c r="W444" t="n">
        <v>5</v>
      </c>
      <c r="X444" t="n">
        <v>0</v>
      </c>
      <c r="Y444" t="n">
        <v>0</v>
      </c>
      <c r="Z444" t="n">
        <v>1</v>
      </c>
      <c r="AA444" t="n">
        <v>0</v>
      </c>
      <c r="AB444" t="n">
        <v>0</v>
      </c>
      <c r="AC444" t="n">
        <v>0</v>
      </c>
      <c r="AD444" t="n">
        <v>0</v>
      </c>
      <c r="AE444" t="n">
        <v>10</v>
      </c>
      <c r="AF444" t="inlineStr">
        <is>
          <t>LEGNO MADEIRAS E CONSTRUCAO LTDA:EPP; CBX COMERCIAL IMPORTADORA LTDA:ME; KP MATERIAIS ELETRICO E CONSTRUCAO LTDA:ME; LUMOS COMERCIO ILUMINAÇÃO LTDA:Demais; TRIUNFO ILUMINACAO LTDA:Demais; DGA COMERCIO DE MATERIAIS ELETRICOS LTDA:Demais; ART COMERCIO E SERVICOS LTDA:Demais; VEAR TECNOLOGIA LTDA:Demais; SALVI, LOPES &amp; CIA. LTDA:ME; VM COMERCIO LTDA:Demais</t>
        </is>
      </c>
      <c r="AH444" t="inlineStr">
        <is>
          <t>pontual</t>
        </is>
      </c>
      <c r="AJ444" t="n">
        <v>0</v>
      </c>
      <c r="AK444" t="n">
        <v>0</v>
      </c>
      <c r="AL444" t="n">
        <v>0</v>
      </c>
      <c r="AM444" t="n">
        <v>0</v>
      </c>
      <c r="AN444" t="n">
        <v>0</v>
      </c>
      <c r="AQ444" t="n">
        <v>1</v>
      </c>
      <c r="AR444" t="inlineStr">
        <is>
          <t>fornecimento_puro</t>
        </is>
      </c>
      <c r="AS444" t="inlineStr">
        <is>
          <t>Registro de preços/contratação de fornecimento de materiais, sem mão de obra de manutenção contratada.</t>
        </is>
      </c>
      <c r="AT444" t="n">
        <v>0</v>
      </c>
      <c r="AU444" t="n">
        <v>0</v>
      </c>
    </row>
    <row r="445">
      <c r="A445" t="inlineStr">
        <is>
          <t>24772162000106_2026_39</t>
        </is>
      </c>
      <c r="B445" s="2" t="inlineStr">
        <is>
          <t>https://pncp.gov.br/app/editais/24772162000106/2026/39</t>
        </is>
      </c>
      <c r="C445" t="inlineStr">
        <is>
          <t>2026-09-27T05:13:51.421081+00:00</t>
        </is>
      </c>
      <c r="D445" t="inlineStr">
        <is>
          <t>MT</t>
        </is>
      </c>
      <c r="E445" t="inlineStr">
        <is>
          <t>vizinhos</t>
        </is>
      </c>
      <c r="F445" t="inlineStr">
        <is>
          <t>Nova Mutum</t>
        </is>
      </c>
      <c r="G445" t="inlineStr">
        <is>
          <t>MUNICIPIO DE NOVA MUTUM</t>
        </is>
      </c>
      <c r="H445" t="inlineStr">
        <is>
          <t>Municipal</t>
        </is>
      </c>
      <c r="I445" t="inlineStr">
        <is>
          <t>2026-03-02T17:35:05</t>
        </is>
      </c>
      <c r="J445" t="inlineStr">
        <is>
          <t>Pregão - Eletrônico</t>
        </is>
      </c>
      <c r="K445" t="inlineStr">
        <is>
          <t>CONTRATAÇÃO DE EMPRESA ESPECIALIZADA NA PRESTAÇÃO DE SERVIÇOS CONTÍNUOS DE LIMPEZA E HIGIENE, MANUTENÇÃO E CONSERVAÇÃO PREDIAL, QUE POSSUA PESSOAL PARA PRESTAR SERVIÇO DE SERVENTE DE LIMPEZA, A FIM DE MANTER E PRESERVAR O PATRIMÔNIO PÚBLICO NOS PRÉDIOS DA</t>
        </is>
      </c>
      <c r="L445" t="b">
        <v>0</v>
      </c>
      <c r="M445" t="inlineStr">
        <is>
          <t>manutencao_predial</t>
        </is>
      </c>
      <c r="N445" t="inlineStr">
        <is>
          <t>manutencao_predial</t>
        </is>
      </c>
      <c r="O445" t="n">
        <v>869053.92</v>
      </c>
      <c r="P445" t="n">
        <v>757176.36</v>
      </c>
      <c r="Q445" t="n">
        <v>869053.9199999999</v>
      </c>
      <c r="R445" t="n">
        <v>0.1287348890849027</v>
      </c>
      <c r="S445" t="n">
        <v>0</v>
      </c>
      <c r="T445" t="n">
        <v>2</v>
      </c>
      <c r="U445" t="n">
        <v>2</v>
      </c>
      <c r="V445" t="n">
        <v>2</v>
      </c>
      <c r="W445" t="n">
        <v>0</v>
      </c>
      <c r="X445" t="n">
        <v>0</v>
      </c>
      <c r="Y445" t="n">
        <v>0</v>
      </c>
      <c r="Z445" t="n">
        <v>0</v>
      </c>
      <c r="AA445" t="n">
        <v>0</v>
      </c>
      <c r="AB445" t="n">
        <v>0</v>
      </c>
      <c r="AC445" t="n">
        <v>0</v>
      </c>
      <c r="AD445" t="n">
        <v>0</v>
      </c>
      <c r="AE445" t="n">
        <v>1</v>
      </c>
      <c r="AF445" t="inlineStr">
        <is>
          <t>EKOSTAR SERVICE LTDA:Demais</t>
        </is>
      </c>
      <c r="AH445" t="inlineStr">
        <is>
          <t>continuado</t>
        </is>
      </c>
      <c r="AJ445" t="n">
        <v>0</v>
      </c>
      <c r="AK445" t="n">
        <v>0</v>
      </c>
      <c r="AL445" t="n">
        <v>0</v>
      </c>
      <c r="AM445" t="n">
        <v>0</v>
      </c>
      <c r="AN445" t="n">
        <v>0</v>
      </c>
      <c r="AQ445" t="n">
        <v>0</v>
      </c>
      <c r="AT445" t="n">
        <v>0</v>
      </c>
      <c r="AU445" t="n">
        <v>1</v>
      </c>
    </row>
    <row r="446">
      <c r="A446" t="inlineStr">
        <is>
          <t>24772188000154_2026_67</t>
        </is>
      </c>
      <c r="B446" s="2" t="inlineStr">
        <is>
          <t>https://pncp.gov.br/app/editais/24772188000154/2026/67</t>
        </is>
      </c>
      <c r="C446" t="inlineStr">
        <is>
          <t>2026-09-27T05:15:39.108733+00:00</t>
        </is>
      </c>
      <c r="D446" t="inlineStr">
        <is>
          <t>MT</t>
        </is>
      </c>
      <c r="E446" t="inlineStr">
        <is>
          <t>vizinhos</t>
        </is>
      </c>
      <c r="F446" t="inlineStr">
        <is>
          <t>Matupá</t>
        </is>
      </c>
      <c r="G446" t="inlineStr">
        <is>
          <t>MUNICIPIO DE MATUPA</t>
        </is>
      </c>
      <c r="H446" t="inlineStr">
        <is>
          <t>Municipal</t>
        </is>
      </c>
      <c r="I446" t="inlineStr">
        <is>
          <t>2026-05-11T11:14:12</t>
        </is>
      </c>
      <c r="J446" t="inlineStr">
        <is>
          <t>Pregão - Eletrônico</t>
        </is>
      </c>
      <c r="K446" t="inlineStr">
        <is>
          <t>PREGÃO ELETRÔNICO SISTEMA REGISTRO DE PREÇOS PARA FUTURA E EVENTUAL AQUISIÇÃO DE MEDICAMENTOS, REAGENTES PARA LABORATÓRIO, MATERIAIS ODONTOLÓGICOS, INSTRUMENTAIS CIRÚRGICOS, INSUMOS E MATERIAIS MÉDICO-HOSPITALARES EM GERAL, DESTINADOS A SEC. SAÚDE.</t>
        </is>
      </c>
      <c r="L446" t="b">
        <v>1</v>
      </c>
      <c r="M446" t="inlineStr">
        <is>
          <t>munck</t>
        </is>
      </c>
      <c r="N446" t="inlineStr">
        <is>
          <t>munck</t>
        </is>
      </c>
      <c r="O446" t="n">
        <v>6053002.62</v>
      </c>
      <c r="P446" t="n">
        <v>158212.86</v>
      </c>
      <c r="Q446" t="n">
        <v>246525.12</v>
      </c>
      <c r="R446" t="n">
        <v>0.358228240594711</v>
      </c>
      <c r="S446" t="n">
        <v>0</v>
      </c>
      <c r="T446" t="n">
        <v>680</v>
      </c>
      <c r="U446" t="n">
        <v>40</v>
      </c>
      <c r="V446" t="n">
        <v>598</v>
      </c>
      <c r="W446" t="n">
        <v>82</v>
      </c>
      <c r="X446" t="n">
        <v>0</v>
      </c>
      <c r="Y446" t="n">
        <v>0</v>
      </c>
      <c r="Z446" t="n">
        <v>1</v>
      </c>
      <c r="AA446" t="n">
        <v>0</v>
      </c>
      <c r="AB446" t="n">
        <v>0</v>
      </c>
      <c r="AC446" t="n">
        <v>0</v>
      </c>
      <c r="AD446" t="n">
        <v>0</v>
      </c>
      <c r="AE446" t="n">
        <v>19</v>
      </c>
      <c r="AF446" t="inlineStr">
        <is>
          <t>MEDSANTA COMERCIO DE MEDICAMENTOS E MATERIAIS MEDICOS LTDA:Demais; MEGA DENTAL IMPORTACAO, EXPORTACAO E COMERCIO DE PRODUTOS ODONTOLOGICOS LTDA:Demais; C.A. HOSPITALAR LTDA:Demais; INOVAMED HOSPITALAR LTDA:Demais; CENTERMEDI-COMERCIO DE PRODUTOS HOSPITALARES LTDA:Demais; GOLDENPLUS - COMERCIO DE MEDICAMENTOS E PRODUTOS HOSPITALARES LTDA:Demais; SULMEDIC COMERCIO DE MEDICAMENTOS LTDA:Demais; FEMAP COMERCIO DE PRODUTOS HOSPITALARES LTDA:Demais; COMERCIAL CIRURGICA RIOCLARENSE LTDA:Demais; LICITE SAUDE COMERCIO DE PRODUTOS HOSPITALARES LTDA:Demais; BIOSUL PRODUTOS DIAGNOSTICOS LTDA:Demais; HABX COMERCIO E PRESTACAO DE SERVICOS EM EQUIPAMENTOS DE HOSPITAIS E LABORATORIO LTDA:ME; FPMED DISTRIBUIDORA DE PRODUTOS HOSPITALARES LTDA:Demais; PROMEFARMA REPRESENTAÇÕES COMERCIAIS LTDA:Demais; UNI HOSPITALAR CEARA LTDA:Demais; ROSAFARM DISTRIBUIDORA DE MEDICAMENTOS LTDA:Demais; NEXXA FARMACEUTICA LTDA:EPP; GENESIO A MENDES &amp; CIA LTDA:ME; F&amp;F DISTRIBUIDORA DE MEDICAMENTOS LTDA:EPP</t>
        </is>
      </c>
      <c r="AH446" t="inlineStr">
        <is>
          <t>continuado</t>
        </is>
      </c>
      <c r="AJ446" t="n">
        <v>0</v>
      </c>
      <c r="AK446" t="n">
        <v>0</v>
      </c>
      <c r="AL446" t="n">
        <v>0</v>
      </c>
      <c r="AM446" t="n">
        <v>0</v>
      </c>
      <c r="AN446" t="n">
        <v>0</v>
      </c>
      <c r="AQ446" t="n">
        <v>1</v>
      </c>
      <c r="AR446" t="inlineStr">
        <is>
          <t>fora_escopo</t>
        </is>
      </c>
      <c r="AS446" t="inlineStr">
        <is>
          <t>Registro de preços de medicamentos/materiais hospitalares; falso positivo de indexação.</t>
        </is>
      </c>
      <c r="AT446" t="n">
        <v>0</v>
      </c>
      <c r="AU446" t="n">
        <v>0</v>
      </c>
    </row>
    <row r="447">
      <c r="A447" t="inlineStr">
        <is>
          <t>24772220000100_2026_23</t>
        </is>
      </c>
      <c r="B447" s="2" t="inlineStr">
        <is>
          <t>https://pncp.gov.br/app/editais/24772220000100/2026/23</t>
        </is>
      </c>
      <c r="C447" t="inlineStr">
        <is>
          <t>2026-09-27T05:09:07.799132+00:00</t>
        </is>
      </c>
      <c r="D447" t="inlineStr">
        <is>
          <t>MT</t>
        </is>
      </c>
      <c r="E447" t="inlineStr">
        <is>
          <t>vizinhos</t>
        </is>
      </c>
      <c r="F447" t="inlineStr">
        <is>
          <t>Lucas do Rio Verde</t>
        </is>
      </c>
      <c r="G447" t="inlineStr">
        <is>
          <t>LUCAS DO RIO VERDE CAMARA MUNICIPAL</t>
        </is>
      </c>
      <c r="H447" t="inlineStr">
        <is>
          <t>Municipal</t>
        </is>
      </c>
      <c r="I447" t="inlineStr">
        <is>
          <t>2026-03-18T07:34:07</t>
        </is>
      </c>
      <c r="J447" t="inlineStr">
        <is>
          <t>Pregão - Eletrônico</t>
        </is>
      </c>
      <c r="K447" t="inlineStr">
        <is>
          <t>PREGÃO ELETRÔNICO COM REGISTRO DE PREÇOS PARA CONTRATAÇÃO DE EMPRESA ESPECIALIZADA PARA MANUTENÇÃO PREVENTIVA E CORRETIVA DOS EQUIPAMENTOS DE AR CONDICIONADO, FRIGOBARES E BEBEDOUROS DA CÂMARA MUNICIPAL DE LUCAS DO RIO VERDE-MT</t>
        </is>
      </c>
      <c r="L447" t="b">
        <v>1</v>
      </c>
      <c r="M447" t="inlineStr">
        <is>
          <t>refrigeracao</t>
        </is>
      </c>
      <c r="N447" t="inlineStr">
        <is>
          <t>refrigeracao</t>
        </is>
      </c>
      <c r="O447" t="n">
        <v>122426.91</v>
      </c>
      <c r="P447" t="n">
        <v>51717.19999999999</v>
      </c>
      <c r="Q447" t="n">
        <v>62646.59000000001</v>
      </c>
      <c r="R447" t="n">
        <v>0.1744610520700328</v>
      </c>
      <c r="S447" t="n">
        <v>0</v>
      </c>
      <c r="T447" t="n">
        <v>50</v>
      </c>
      <c r="U447" t="n">
        <v>40</v>
      </c>
      <c r="V447" t="n">
        <v>50</v>
      </c>
      <c r="W447" t="n">
        <v>0</v>
      </c>
      <c r="X447" t="n">
        <v>0</v>
      </c>
      <c r="Y447" t="n">
        <v>0</v>
      </c>
      <c r="Z447" t="n">
        <v>0</v>
      </c>
      <c r="AA447" t="n">
        <v>0</v>
      </c>
      <c r="AB447" t="n">
        <v>1</v>
      </c>
      <c r="AC447" t="n">
        <v>0</v>
      </c>
      <c r="AD447" t="n">
        <v>0</v>
      </c>
      <c r="AE447" t="n">
        <v>1</v>
      </c>
      <c r="AF447" t="inlineStr">
        <is>
          <t>MARCIANO SAMPAIO REFRIGERACAO E SERVICOS LTDA:Não Informado</t>
        </is>
      </c>
      <c r="AH447" t="inlineStr">
        <is>
          <t>continuado</t>
        </is>
      </c>
      <c r="AJ447" t="n">
        <v>0</v>
      </c>
      <c r="AK447" t="n">
        <v>0</v>
      </c>
      <c r="AL447" t="n">
        <v>0</v>
      </c>
      <c r="AM447" t="n">
        <v>0</v>
      </c>
      <c r="AN447" t="n">
        <v>0</v>
      </c>
      <c r="AQ447" t="n">
        <v>0</v>
      </c>
      <c r="AR447" t="inlineStr">
        <is>
          <t>fora_do_nucleo</t>
        </is>
      </c>
      <c r="AS447" t="inlineStr">
        <is>
          <t>Itens dominados por PMOC e pecas/servicos de ar-condicionado split; valor pequeno (R$122 mil); objeto cita frigobares/bebedouros mas sem item de valor relevante correspondente.</t>
        </is>
      </c>
      <c r="AT447" t="n">
        <v>0</v>
      </c>
      <c r="AU447" t="n">
        <v>0</v>
      </c>
    </row>
    <row r="448">
      <c r="A448" t="inlineStr">
        <is>
          <t>24850109000186_2026_46</t>
        </is>
      </c>
      <c r="B448" s="2" t="inlineStr">
        <is>
          <t>https://pncp.gov.br/app/editais/24850109000186/2026/46</t>
        </is>
      </c>
      <c r="C448" t="inlineStr">
        <is>
          <t>2026-09-27T04:23:01.278451+00:00</t>
        </is>
      </c>
      <c r="D448" t="inlineStr">
        <is>
          <t>GO</t>
        </is>
      </c>
      <c r="E448" t="inlineStr">
        <is>
          <t>GO</t>
        </is>
      </c>
      <c r="F448" t="inlineStr">
        <is>
          <t>Itaguari</t>
        </is>
      </c>
      <c r="G448" t="inlineStr">
        <is>
          <t>MUNICIPIO DE ITAGUARI</t>
        </is>
      </c>
      <c r="H448" t="inlineStr">
        <is>
          <t>Municipal</t>
        </is>
      </c>
      <c r="I448" t="inlineStr">
        <is>
          <t>2026-07-31T10:48:03</t>
        </is>
      </c>
      <c r="J448" t="inlineStr">
        <is>
          <t>Pregão - Presencial</t>
        </is>
      </c>
      <c r="K448" t="inlineStr">
        <is>
          <t>SOLICITA-SE A CONTRATAÇÃO DE EMPRESA PARA PRESTAÇÃO DE SERVIÇOS DE LOCAÇÃO DE UM CAMINHÃO COM CESTO AÉREO, A DIESEL, COM POTÊNCIA MÍNIMA DE 172 CV E CAPACIDADE PARA TRÊS PASSAGEIROS , A FIM DE ATENDER ÁS DEMANDAS DE MANUTENÇÃO DA ILUMINAÇÃO PÚBLICA NAS VIAS PÚBLICAS DO MUNICÍPIO, GARANTINDO A CONTINUIDADE E A EFICIÊNCIA DOS SERVIÇOS EXECUTADOS POR ESTA SECRETARIA.</t>
        </is>
      </c>
      <c r="L448" t="b">
        <v>0</v>
      </c>
      <c r="M448" t="inlineStr">
        <is>
          <t>iluminacao_publica</t>
        </is>
      </c>
      <c r="N448" t="inlineStr">
        <is>
          <t>iluminacao_publica</t>
        </is>
      </c>
      <c r="O448" t="n">
        <v>166658.04</v>
      </c>
      <c r="P448" t="n">
        <v>144000</v>
      </c>
      <c r="Q448" t="n">
        <v>166658.04</v>
      </c>
      <c r="R448" t="n">
        <v>0.1359552770451399</v>
      </c>
      <c r="S448" t="n">
        <v>0</v>
      </c>
      <c r="T448" t="n">
        <v>1</v>
      </c>
      <c r="U448" t="n">
        <v>1</v>
      </c>
      <c r="V448" t="n">
        <v>0</v>
      </c>
      <c r="W448" t="n">
        <v>0</v>
      </c>
      <c r="X448" t="n">
        <v>0</v>
      </c>
      <c r="Y448" t="n">
        <v>0</v>
      </c>
      <c r="Z448" t="n">
        <v>0</v>
      </c>
      <c r="AA448" t="n">
        <v>0</v>
      </c>
      <c r="AB448" t="n">
        <v>0</v>
      </c>
      <c r="AC448" t="n">
        <v>0</v>
      </c>
      <c r="AD448" t="n">
        <v>0</v>
      </c>
      <c r="AE448" t="n">
        <v>1</v>
      </c>
      <c r="AF448" t="inlineStr">
        <is>
          <t>S H SOLAR E SEGURANCA ELETRONICA LTDA:ME</t>
        </is>
      </c>
      <c r="AH448" t="inlineStr">
        <is>
          <t>continuado</t>
        </is>
      </c>
      <c r="AI448" t="n">
        <v>3</v>
      </c>
      <c r="AJ448" t="n">
        <v>0</v>
      </c>
      <c r="AK448" t="n">
        <v>0</v>
      </c>
      <c r="AL448" t="n">
        <v>0</v>
      </c>
      <c r="AM448" t="n">
        <v>0</v>
      </c>
      <c r="AN448" t="n">
        <v>0</v>
      </c>
      <c r="AQ448" t="n">
        <v>0</v>
      </c>
      <c r="AS448" t="inlineStr">
        <is>
          <t>Nenhum dos 4 critérios de exclusão se aplica; objeto compatível com manutenção/pequena extensão de IP.</t>
        </is>
      </c>
      <c r="AT448" t="n">
        <v>0</v>
      </c>
      <c r="AU448" t="n">
        <v>1</v>
      </c>
    </row>
    <row r="449">
      <c r="A449" t="inlineStr">
        <is>
          <t>24856569000111_2025_604</t>
        </is>
      </c>
      <c r="B449" s="2" t="inlineStr">
        <is>
          <t>https://pncp.gov.br/app/editais/24856569000111/2025/604</t>
        </is>
      </c>
      <c r="C449" t="inlineStr">
        <is>
          <t>2026-09-27T04:44:31.535699+00:00</t>
        </is>
      </c>
      <c r="D449" t="inlineStr">
        <is>
          <t>GO</t>
        </is>
      </c>
      <c r="E449" t="inlineStr">
        <is>
          <t>GO</t>
        </is>
      </c>
      <c r="F449" t="inlineStr">
        <is>
          <t>Buritinópolis</t>
        </is>
      </c>
      <c r="G449" t="inlineStr">
        <is>
          <t>MUNICIPIO DE BURITINOPOLIS</t>
        </is>
      </c>
      <c r="H449" t="inlineStr">
        <is>
          <t>Municipal</t>
        </is>
      </c>
      <c r="I449" t="inlineStr">
        <is>
          <t>2025-11-25T11:02:33</t>
        </is>
      </c>
      <c r="J449" t="inlineStr">
        <is>
          <t>Pregão - Eletrônico</t>
        </is>
      </c>
      <c r="K449" t="inlineStr">
        <is>
          <t>contratação de empresa especializada para prestação de serviços, locação e fornecimento de estruturas e equipamentos necessários à realização evento e festividades oficiais do Município de Formoso, integrante do Calendário Oficial de Eventos do Município de Formoso de que trata a Lei Municipal n. 293, de 24 de outubro de 2006 alterações posteriores, tais como palcos, camarins, sonorização, geradores, banheiros químicos, iluminação, carregadores, segurança geral e alambrados, dentre outros e inclusão no sistema de registro de preços.</t>
        </is>
      </c>
      <c r="L449" t="b">
        <v>1</v>
      </c>
      <c r="M449" t="inlineStr">
        <is>
          <t>iluminacao_publica</t>
        </is>
      </c>
      <c r="N449" t="inlineStr">
        <is>
          <t>iluminacao_publica</t>
        </is>
      </c>
      <c r="O449" t="n">
        <v>1705568</v>
      </c>
      <c r="P449" t="n">
        <v>1705568</v>
      </c>
      <c r="Q449" t="n">
        <v>1705568</v>
      </c>
      <c r="R449" t="n">
        <v>0</v>
      </c>
      <c r="S449" t="n">
        <v>0</v>
      </c>
      <c r="T449" t="n">
        <v>38</v>
      </c>
      <c r="U449" t="n">
        <v>38</v>
      </c>
      <c r="V449" t="n">
        <v>38</v>
      </c>
      <c r="W449" t="n">
        <v>0</v>
      </c>
      <c r="X449" t="n">
        <v>0</v>
      </c>
      <c r="Y449" t="n">
        <v>0</v>
      </c>
      <c r="Z449" t="n">
        <v>0</v>
      </c>
      <c r="AA449" t="n">
        <v>0</v>
      </c>
      <c r="AB449" t="n">
        <v>0</v>
      </c>
      <c r="AC449" t="n">
        <v>0</v>
      </c>
      <c r="AD449" t="n">
        <v>0</v>
      </c>
      <c r="AE449" t="n">
        <v>1</v>
      </c>
      <c r="AF449" t="inlineStr">
        <is>
          <t>SOARES EVENTOS E SERVICOS LTDA:Demais</t>
        </is>
      </c>
      <c r="AH449" t="inlineStr">
        <is>
          <t>pontual</t>
        </is>
      </c>
      <c r="AJ449" t="n">
        <v>0</v>
      </c>
      <c r="AK449" t="n">
        <v>0</v>
      </c>
      <c r="AL449" t="n">
        <v>0</v>
      </c>
      <c r="AM449" t="n">
        <v>0</v>
      </c>
      <c r="AN449" t="n">
        <v>0</v>
      </c>
      <c r="AQ449" t="n">
        <v>0</v>
      </c>
      <c r="AR449" t="inlineStr">
        <is>
          <t>equipamento_alto</t>
        </is>
      </c>
      <c r="AS449" t="inlineStr">
        <is>
          <t>Objeto envolve gerador/estrutura de evento ou fração de material &gt; 40% associada a equipamentos de grande porte.</t>
        </is>
      </c>
      <c r="AT449" t="n">
        <v>0</v>
      </c>
      <c r="AU449" t="n">
        <v>0</v>
      </c>
    </row>
    <row r="450">
      <c r="A450" t="inlineStr">
        <is>
          <t>24857096000177_2026_6</t>
        </is>
      </c>
      <c r="B450" s="2" t="inlineStr">
        <is>
          <t>https://pncp.gov.br/app/editais/24857096000177/2026/6</t>
        </is>
      </c>
      <c r="C450" t="inlineStr">
        <is>
          <t>2026-09-27T04:40:24.607665+00:00</t>
        </is>
      </c>
      <c r="D450" t="inlineStr">
        <is>
          <t>GO</t>
        </is>
      </c>
      <c r="E450" t="inlineStr">
        <is>
          <t>GO</t>
        </is>
      </c>
      <c r="F450" t="inlineStr">
        <is>
          <t>Bonfinópolis</t>
        </is>
      </c>
      <c r="G450" t="inlineStr">
        <is>
          <t>MUNICIPIO DE BONFINOPOLIS</t>
        </is>
      </c>
      <c r="H450" t="inlineStr">
        <is>
          <t>Municipal</t>
        </is>
      </c>
      <c r="I450" t="inlineStr">
        <is>
          <t>2026-02-20T08:18:18</t>
        </is>
      </c>
      <c r="J450" t="inlineStr">
        <is>
          <t>Pregão - Presencial</t>
        </is>
      </c>
      <c r="K450" t="inlineStr">
        <is>
          <t>REGISTRO DE PREÇO PARA AQUISIÇÃO EVENTUAL E FUTURA DE MATERIAIS ELÉTRICOS DESTINADOS A ILUMINAÇÃO PÚBLICA, CONFORME ESPECIFICAÇÕES CONSTANTES NO ESTUDO TÉCNICO PRELIMINAR E TERMO DE REFERÊNCIA ANEXO I DESTE EDITAL, PARA ATENDER AS NECESSIDADES DA PREFEITURA MUNICIPAL BONFINÓPOLIS-GO</t>
        </is>
      </c>
      <c r="L450" t="b">
        <v>1</v>
      </c>
      <c r="M450" t="inlineStr">
        <is>
          <t>iluminacao_publica</t>
        </is>
      </c>
      <c r="N450" t="inlineStr">
        <is>
          <t>iluminacao_publica</t>
        </is>
      </c>
      <c r="O450" t="n">
        <v>380955.92</v>
      </c>
      <c r="P450" t="n">
        <v>376086.364</v>
      </c>
      <c r="Q450" t="n">
        <v>380955.9172</v>
      </c>
      <c r="R450" t="n">
        <v>0.01278245849491166</v>
      </c>
      <c r="S450" t="n">
        <v>0</v>
      </c>
      <c r="T450" t="n">
        <v>11</v>
      </c>
      <c r="U450" t="n">
        <v>11</v>
      </c>
      <c r="V450" t="n">
        <v>11</v>
      </c>
      <c r="W450" t="n">
        <v>0</v>
      </c>
      <c r="X450" t="n">
        <v>0</v>
      </c>
      <c r="Y450" t="n">
        <v>0</v>
      </c>
      <c r="Z450" t="n">
        <v>0</v>
      </c>
      <c r="AA450" t="n">
        <v>0</v>
      </c>
      <c r="AB450" t="n">
        <v>1</v>
      </c>
      <c r="AC450" t="n">
        <v>1</v>
      </c>
      <c r="AD450" t="n">
        <v>1</v>
      </c>
      <c r="AE450" t="n">
        <v>2</v>
      </c>
      <c r="AF450" t="inlineStr">
        <is>
          <t>BRASIL ILUMINAÇÃO E CONSTRUÇÃO EIRELI:ME; CONSTRUVITA COMERCIO E SERVIÇOS LTDA:ME</t>
        </is>
      </c>
      <c r="AH450" t="inlineStr">
        <is>
          <t>pontual</t>
        </is>
      </c>
      <c r="AJ450" t="n">
        <v>0</v>
      </c>
      <c r="AK450" t="n">
        <v>0</v>
      </c>
      <c r="AL450" t="n">
        <v>0</v>
      </c>
      <c r="AM450" t="n">
        <v>0</v>
      </c>
      <c r="AN450" t="n">
        <v>0</v>
      </c>
      <c r="AQ450" t="n">
        <v>1</v>
      </c>
      <c r="AR450" t="inlineStr">
        <is>
          <t>fornecimento_puro</t>
        </is>
      </c>
      <c r="AS450" t="inlineStr">
        <is>
          <t>Registro de preços/contratação de fornecimento de materiais, sem mão de obra de manutenção contratada.</t>
        </is>
      </c>
      <c r="AT450" t="n">
        <v>0</v>
      </c>
      <c r="AU450" t="n">
        <v>0</v>
      </c>
    </row>
    <row r="451">
      <c r="A451" t="inlineStr">
        <is>
          <t>24859316000100_2025_211</t>
        </is>
      </c>
      <c r="B451" s="2" t="inlineStr">
        <is>
          <t>https://pncp.gov.br/app/editais/24859316000100/2025/211</t>
        </is>
      </c>
      <c r="C451" t="inlineStr">
        <is>
          <t>2026-09-27T04:14:01.494380+00:00</t>
        </is>
      </c>
      <c r="D451" t="inlineStr">
        <is>
          <t>GO</t>
        </is>
      </c>
      <c r="E451" t="inlineStr">
        <is>
          <t>GO</t>
        </is>
      </c>
      <c r="F451" t="inlineStr">
        <is>
          <t>Aparecida do Rio Doce</t>
        </is>
      </c>
      <c r="G451" t="inlineStr">
        <is>
          <t>MUNICIPIO DE APARECIDA DO RIO DOCE</t>
        </is>
      </c>
      <c r="H451" t="inlineStr">
        <is>
          <t>Municipal</t>
        </is>
      </c>
      <c r="I451" t="inlineStr">
        <is>
          <t>2025-07-25T16:30:55</t>
        </is>
      </c>
      <c r="J451" t="inlineStr">
        <is>
          <t>Pregão - Eletrônico</t>
        </is>
      </c>
      <c r="K451" t="inlineStr">
        <is>
          <t>AQUISIÇÃO DE MATERIAIS ELÉTRICOS DIVERSOS, DESTINADOS A MANUTENÇÃO, CONSERVAÇÃO E MELHORIAS DAS INSTALAÇÕES ELÉTRICAS DOS PRÉDIOS PÚBLICOS VINCULADOS A SECRETARIA MUNICIPAL DE ADMINISTRAÇÃO E DEMAIS SECRETARIAS DO MUNICÍPIO DE APARECIDA DO RIO DOCE - GOIÁS.</t>
        </is>
      </c>
      <c r="L451" t="b">
        <v>1</v>
      </c>
      <c r="M451" t="inlineStr">
        <is>
          <t>eletrica_predial</t>
        </is>
      </c>
      <c r="N451" t="inlineStr">
        <is>
          <t>eletrica_predial</t>
        </is>
      </c>
      <c r="O451" t="n">
        <v>565994.22</v>
      </c>
      <c r="P451" t="n">
        <v>61700.89999999999</v>
      </c>
      <c r="Q451" t="n">
        <v>114566.02</v>
      </c>
      <c r="R451" t="n">
        <v>0.4614380424492358</v>
      </c>
      <c r="S451" t="n">
        <v>0</v>
      </c>
      <c r="T451" t="n">
        <v>80</v>
      </c>
      <c r="U451" t="n">
        <v>40</v>
      </c>
      <c r="V451" t="n">
        <v>80</v>
      </c>
      <c r="W451" t="n">
        <v>0</v>
      </c>
      <c r="X451" t="n">
        <v>0</v>
      </c>
      <c r="Y451" t="n">
        <v>0</v>
      </c>
      <c r="Z451" t="n">
        <v>0</v>
      </c>
      <c r="AA451" t="n">
        <v>0</v>
      </c>
      <c r="AB451" t="n">
        <v>0</v>
      </c>
      <c r="AC451" t="n">
        <v>0</v>
      </c>
      <c r="AD451" t="n">
        <v>0</v>
      </c>
      <c r="AE451" t="n">
        <v>1</v>
      </c>
      <c r="AF451" t="inlineStr">
        <is>
          <t>OUROLUZ MATERIAIS ELETRICOS E ILUMINACAO LTDA:ME</t>
        </is>
      </c>
      <c r="AH451" t="inlineStr">
        <is>
          <t>pontual</t>
        </is>
      </c>
      <c r="AJ451" t="n">
        <v>0</v>
      </c>
      <c r="AK451" t="n">
        <v>0</v>
      </c>
      <c r="AL451" t="n">
        <v>0</v>
      </c>
      <c r="AM451" t="n">
        <v>0</v>
      </c>
      <c r="AN451" t="n">
        <v>0</v>
      </c>
      <c r="AQ451" t="n">
        <v>1</v>
      </c>
      <c r="AR451" t="inlineStr">
        <is>
          <t>fornecimento_puro</t>
        </is>
      </c>
      <c r="AS451" t="inlineStr">
        <is>
          <t>Confirmada exclusao automatica (fornecimento_puro): 80 item(ns), todos classificados como material (sem servico).</t>
        </is>
      </c>
      <c r="AT451" t="n">
        <v>1</v>
      </c>
      <c r="AU451" t="n">
        <v>0</v>
      </c>
    </row>
    <row r="452">
      <c r="A452" t="inlineStr">
        <is>
          <t>24859316000100_2026_208</t>
        </is>
      </c>
      <c r="B452" s="2" t="inlineStr">
        <is>
          <t>https://pncp.gov.br/app/editais/24859316000100/2026/208</t>
        </is>
      </c>
      <c r="C452" t="inlineStr">
        <is>
          <t>2026-09-27T03:35:00.514305+00:00</t>
        </is>
      </c>
      <c r="D452" t="inlineStr">
        <is>
          <t>GO</t>
        </is>
      </c>
      <c r="E452" t="inlineStr">
        <is>
          <t>GO</t>
        </is>
      </c>
      <c r="F452" t="inlineStr">
        <is>
          <t>Aparecida do Rio Doce</t>
        </is>
      </c>
      <c r="G452" t="inlineStr">
        <is>
          <t>MUNICIPIO DE APARECIDA DO RIO DOCE</t>
        </is>
      </c>
      <c r="H452" t="inlineStr">
        <is>
          <t>Municipal</t>
        </is>
      </c>
      <c r="I452" t="inlineStr">
        <is>
          <t>2026-07-22T09:23:17</t>
        </is>
      </c>
      <c r="J452" t="inlineStr">
        <is>
          <t>Pregão - Eletrônico</t>
        </is>
      </c>
      <c r="K452" t="inlineStr">
        <is>
          <t>AQUISIÇÃO DE MATERIAIS ELÉTRICOS DIVERSOS, DESTINADOS A MANUTENÇÃO, CONSERVAÇÃO E MELHORIAS DAS INSTALAÇÕES ELÉTRICAS PÚBLICAS E DOS PRÉDIOS PÚBLICOS DO MUNICÍPIO DE APARECIDA DO RIO DOCE/GO E SEUS RESPECTIVOS FUNDOS MUNICIPAIS.</t>
        </is>
      </c>
      <c r="L452" t="b">
        <v>1</v>
      </c>
      <c r="M452" t="inlineStr">
        <is>
          <t>eletrica_predial</t>
        </is>
      </c>
      <c r="N452" t="inlineStr">
        <is>
          <t>eletrica_predial</t>
        </is>
      </c>
      <c r="O452" t="n">
        <v>769107.91</v>
      </c>
      <c r="P452" t="n">
        <v>73337</v>
      </c>
      <c r="Q452" t="n">
        <v>159423.01</v>
      </c>
      <c r="R452" t="n">
        <v>0.5399848491130609</v>
      </c>
      <c r="S452" t="n">
        <v>0</v>
      </c>
      <c r="T452" t="n">
        <v>80</v>
      </c>
      <c r="U452" t="n">
        <v>40</v>
      </c>
      <c r="V452" t="n">
        <v>80</v>
      </c>
      <c r="W452" t="n">
        <v>0</v>
      </c>
      <c r="X452" t="n">
        <v>0</v>
      </c>
      <c r="Y452" t="n">
        <v>0</v>
      </c>
      <c r="Z452" t="n">
        <v>0</v>
      </c>
      <c r="AA452" t="n">
        <v>0</v>
      </c>
      <c r="AB452" t="n">
        <v>0</v>
      </c>
      <c r="AC452" t="n">
        <v>0</v>
      </c>
      <c r="AD452" t="n">
        <v>0</v>
      </c>
      <c r="AE452" t="n">
        <v>3</v>
      </c>
      <c r="AF452" t="inlineStr">
        <is>
          <t>SUNLED INDUSTRIA E COMERCIO DE MATERIAIS ELETRICOS LTDA:ME; OUROLUZ MATERIAIS ELETRICOS E ILUMINACAO LTDA:ME; CONSTRULUZ COMERCIO E SERVIÇOS LTDA:ME</t>
        </is>
      </c>
      <c r="AH452" t="inlineStr">
        <is>
          <t>pontual</t>
        </is>
      </c>
      <c r="AI452" t="n">
        <v>12</v>
      </c>
      <c r="AJ452" t="n">
        <v>0</v>
      </c>
      <c r="AK452" t="n">
        <v>0</v>
      </c>
      <c r="AL452" t="n">
        <v>0</v>
      </c>
      <c r="AM452" t="n">
        <v>0</v>
      </c>
      <c r="AN452" t="n">
        <v>0</v>
      </c>
      <c r="AQ452" t="n">
        <v>1</v>
      </c>
      <c r="AR452" t="inlineStr">
        <is>
          <t>fornecimento_puro</t>
        </is>
      </c>
      <c r="AS452" t="inlineStr">
        <is>
          <t>Confirmada exclusao automatica (fornecimento_puro): 80 item(ns), todos classificados como material (sem servico).</t>
        </is>
      </c>
      <c r="AT452" t="n">
        <v>1</v>
      </c>
      <c r="AU452" t="n">
        <v>0</v>
      </c>
    </row>
    <row r="453">
      <c r="A453" t="inlineStr">
        <is>
          <t>24859324000148_2026_41</t>
        </is>
      </c>
      <c r="B453" s="2" t="inlineStr">
        <is>
          <t>https://pncp.gov.br/app/editais/24859324000148/2026/41</t>
        </is>
      </c>
      <c r="C453" t="inlineStr">
        <is>
          <t>2026-09-27T03:53:58.523062+00:00</t>
        </is>
      </c>
      <c r="D453" t="inlineStr">
        <is>
          <t>GO</t>
        </is>
      </c>
      <c r="E453" t="inlineStr">
        <is>
          <t>GO</t>
        </is>
      </c>
      <c r="F453" t="inlineStr">
        <is>
          <t>Perolândia</t>
        </is>
      </c>
      <c r="G453" t="inlineStr">
        <is>
          <t>MUNICIPIO DE PEROLANDIA</t>
        </is>
      </c>
      <c r="H453" t="inlineStr">
        <is>
          <t>Municipal</t>
        </is>
      </c>
      <c r="I453" t="inlineStr">
        <is>
          <t>2026-02-24T10:53:57</t>
        </is>
      </c>
      <c r="J453" t="inlineStr">
        <is>
          <t>Pregão - Presencial</t>
        </is>
      </c>
      <c r="K453" t="inlineStr">
        <is>
          <t>AQUISIÇÃO DE MATERIAIS ELÉTRICOS PARA INFRAESTRUTURA, MATERIAIS DE ILUMINAÇÃO (LÂMPADAS, LUMINÁRIAS E ETC) E DEMAIS MATERIAIS BÁSICOS INERENTES, OS QUAIS SERÃO DESTINADOS À EXECUÇÃO E MANUTENÇÃO DE PRÉDIOS E ÁREAS PÚBLICAS</t>
        </is>
      </c>
      <c r="L453" t="b">
        <v>1</v>
      </c>
      <c r="M453" t="inlineStr">
        <is>
          <t>iluminacao_publica</t>
        </is>
      </c>
      <c r="N453" t="inlineStr">
        <is>
          <t>iluminacao_publica</t>
        </is>
      </c>
      <c r="O453" t="n">
        <v>1201524.93</v>
      </c>
      <c r="P453" t="n">
        <v>260877.2</v>
      </c>
      <c r="Q453" t="n">
        <v>496409.15</v>
      </c>
      <c r="R453" t="n">
        <v>0.474471411334783</v>
      </c>
      <c r="S453" t="n">
        <v>0</v>
      </c>
      <c r="T453" t="n">
        <v>217</v>
      </c>
      <c r="U453" t="n">
        <v>40</v>
      </c>
      <c r="V453" t="n">
        <v>217</v>
      </c>
      <c r="W453" t="n">
        <v>0</v>
      </c>
      <c r="X453" t="n">
        <v>0</v>
      </c>
      <c r="Y453" t="n">
        <v>0</v>
      </c>
      <c r="Z453" t="n">
        <v>0</v>
      </c>
      <c r="AA453" t="n">
        <v>0</v>
      </c>
      <c r="AB453" t="n">
        <v>0</v>
      </c>
      <c r="AC453" t="n">
        <v>0</v>
      </c>
      <c r="AD453" t="n">
        <v>0</v>
      </c>
      <c r="AE453" t="n">
        <v>4</v>
      </c>
      <c r="AF453" t="inlineStr">
        <is>
          <t>BRASIL ILUMINAÇÃO E CONSTRUCAO EIRELI:ME; CASA RICA MATERIAIS PARA CONSTRUCAO LTDA:ME; AGROLANDIA MATERIAIS DE CONSTRUÇÃO LTDA:ME; GIGANTAO INDUSTRIA E COMERCIO:ME</t>
        </is>
      </c>
      <c r="AH453" t="inlineStr">
        <is>
          <t>pontual</t>
        </is>
      </c>
      <c r="AJ453" t="n">
        <v>0</v>
      </c>
      <c r="AK453" t="n">
        <v>0</v>
      </c>
      <c r="AL453" t="n">
        <v>0</v>
      </c>
      <c r="AM453" t="n">
        <v>0</v>
      </c>
      <c r="AN453" t="n">
        <v>0</v>
      </c>
      <c r="AQ453" t="n">
        <v>1</v>
      </c>
      <c r="AR453" t="inlineStr">
        <is>
          <t>fornecimento_puro</t>
        </is>
      </c>
      <c r="AS453" t="inlineStr">
        <is>
          <t>Registro de preços/contratação de fornecimento de materiais, sem mão de obra de manutenção contratada.</t>
        </is>
      </c>
      <c r="AT453" t="n">
        <v>1</v>
      </c>
      <c r="AU453" t="n">
        <v>0</v>
      </c>
    </row>
    <row r="454">
      <c r="A454" t="inlineStr">
        <is>
          <t>24859332000194_2024_102</t>
        </is>
      </c>
      <c r="B454" s="2" t="inlineStr">
        <is>
          <t>https://pncp.gov.br/app/editais/24859332000194/2024/102</t>
        </is>
      </c>
      <c r="C454" t="inlineStr">
        <is>
          <t>2026-09-27T04:51:49.085285+00:00</t>
        </is>
      </c>
      <c r="D454" t="inlineStr">
        <is>
          <t>GO</t>
        </is>
      </c>
      <c r="E454" t="inlineStr">
        <is>
          <t>GO</t>
        </is>
      </c>
      <c r="F454" t="inlineStr">
        <is>
          <t>Chapadão do Céu</t>
        </is>
      </c>
      <c r="G454" t="inlineStr">
        <is>
          <t>MUNICIPIO DE CHAPADAO DO CEU</t>
        </is>
      </c>
      <c r="H454" t="inlineStr">
        <is>
          <t>Municipal</t>
        </is>
      </c>
      <c r="I454" t="inlineStr">
        <is>
          <t>2024-12-02T10:37:06</t>
        </is>
      </c>
      <c r="J454" t="inlineStr">
        <is>
          <t>Pregão - Eletrônico</t>
        </is>
      </c>
      <c r="K454" t="inlineStr">
        <is>
          <t>REGISTRO DE PREÇOS PARA EVENTUAL AQUISIÇÃO DE MEDICAMENTOS E MATERIAIS DE CONSUMO PARA ATENDIMENTO À FARMÁCIA BÁSICA E HOSPITAL MUNICIPAL SANTA LUZIA.</t>
        </is>
      </c>
      <c r="L454" t="b">
        <v>1</v>
      </c>
      <c r="M454" t="inlineStr">
        <is>
          <t>munck</t>
        </is>
      </c>
      <c r="N454" t="inlineStr">
        <is>
          <t>munck</t>
        </is>
      </c>
      <c r="O454" t="n">
        <v>4590066.75</v>
      </c>
      <c r="P454" t="n">
        <v>96183.06999999998</v>
      </c>
      <c r="Q454" t="n">
        <v>123017.74</v>
      </c>
      <c r="R454" t="n">
        <v>0.218136587454785</v>
      </c>
      <c r="S454" t="n">
        <v>0</v>
      </c>
      <c r="T454" t="n">
        <v>713</v>
      </c>
      <c r="U454" t="n">
        <v>40</v>
      </c>
      <c r="V454" t="n">
        <v>558</v>
      </c>
      <c r="W454" t="n">
        <v>0</v>
      </c>
      <c r="X454" t="n">
        <v>127</v>
      </c>
      <c r="Y454" t="n">
        <v>0</v>
      </c>
      <c r="Z454" t="n">
        <v>1</v>
      </c>
      <c r="AA454" t="n">
        <v>0</v>
      </c>
      <c r="AB454" t="n">
        <v>0</v>
      </c>
      <c r="AC454" t="n">
        <v>0</v>
      </c>
      <c r="AD454" t="n">
        <v>0</v>
      </c>
      <c r="AE454" t="n">
        <v>9</v>
      </c>
      <c r="AF454" t="inlineStr">
        <is>
          <t>C.A. DISTRIBUIDORA DE PRODUTOS HOSPITALARES EIRELI:Demais; RM HOSPITALAR:Demais; SUPERMÉDICA DISTRIBUIDORA HOSPITALAR EIRELI:Demais; PLAY PHARMA COMERCIO DE PRODUTOS HOSPITALARES LTDA:ME; Dezembro Hospitalar LTDA:ME; MB VARIEDADES LTDA:ME; MEDEVICES PRODUTOS MEDICOS E HOSPITALARES LTDA:ME; SINERGIA MEDICAMENTOS LTDA:ME; MAXLAB PRODUTOS PARA DIAGNOSTICOS E PESQUISAS LTDA:ME</t>
        </is>
      </c>
      <c r="AH454" t="inlineStr">
        <is>
          <t>pontual</t>
        </is>
      </c>
      <c r="AJ454" t="n">
        <v>0</v>
      </c>
      <c r="AK454" t="n">
        <v>0</v>
      </c>
      <c r="AL454" t="n">
        <v>0</v>
      </c>
      <c r="AM454" t="n">
        <v>0</v>
      </c>
      <c r="AN454" t="n">
        <v>0</v>
      </c>
      <c r="AQ454" t="n">
        <v>1</v>
      </c>
      <c r="AR454" t="inlineStr">
        <is>
          <t>fora_escopo</t>
        </is>
      </c>
      <c r="AS454" t="inlineStr">
        <is>
          <t>Registro de preços de medicamentos/material hospitalar; falso positivo de indexação.</t>
        </is>
      </c>
      <c r="AT454" t="n">
        <v>0</v>
      </c>
      <c r="AU454" t="n">
        <v>0</v>
      </c>
    </row>
    <row r="455">
      <c r="A455" t="inlineStr">
        <is>
          <t>24859332000194_2025_110</t>
        </is>
      </c>
      <c r="B455" s="2" t="inlineStr">
        <is>
          <t>https://pncp.gov.br/app/editais/24859332000194/2025/110</t>
        </is>
      </c>
      <c r="C455" t="inlineStr">
        <is>
          <t>2026-09-27T04:10:50.872828+00:00</t>
        </is>
      </c>
      <c r="D455" t="inlineStr">
        <is>
          <t>GO</t>
        </is>
      </c>
      <c r="E455" t="inlineStr">
        <is>
          <t>GO</t>
        </is>
      </c>
      <c r="F455" t="inlineStr">
        <is>
          <t>Chapadão do Céu</t>
        </is>
      </c>
      <c r="G455" t="inlineStr">
        <is>
          <t>MUNICIPIO DE CHAPADAO DO CEU</t>
        </is>
      </c>
      <c r="H455" t="inlineStr">
        <is>
          <t>Municipal</t>
        </is>
      </c>
      <c r="I455" t="inlineStr">
        <is>
          <t>2025-08-07T17:26:48</t>
        </is>
      </c>
      <c r="J455" t="inlineStr">
        <is>
          <t>Pregão - Eletrônico</t>
        </is>
      </c>
      <c r="K455" t="inlineStr">
        <is>
          <t>REGISTRO DE PREÇO PARA AQUISIÇÃO DE MATERIAIS ELÉTRICOS, ITENS DE MANUTENÇÃO E ESTRUTURAS DESTINADOS À DECORAÇÃO NATALINA DE 2025, CONFORME AS NECESSIDADES DA SECRETARIA MUNICIPAL DE CULTURA E TURISMO DE CHAPADÃO DO CÉU – GO. FUNDAMENTADO NO ART. 28, INCISO I C/C ART. 12, INCISO VI E ART. 82 A 86 DA LEI FEDERAL 14.133/2021.</t>
        </is>
      </c>
      <c r="L455" t="b">
        <v>1</v>
      </c>
      <c r="M455" t="inlineStr">
        <is>
          <t>eletrica_predial</t>
        </is>
      </c>
      <c r="N455" t="inlineStr">
        <is>
          <t>eletrica_predial</t>
        </is>
      </c>
      <c r="O455" t="n">
        <v>266743.46</v>
      </c>
      <c r="P455" t="n">
        <v>174476.55</v>
      </c>
      <c r="Q455" t="n">
        <v>266743.46</v>
      </c>
      <c r="R455" t="n">
        <v>0.3459013015726796</v>
      </c>
      <c r="S455" t="n">
        <v>0</v>
      </c>
      <c r="T455" t="n">
        <v>32</v>
      </c>
      <c r="U455" t="n">
        <v>32</v>
      </c>
      <c r="V455" t="n">
        <v>32</v>
      </c>
      <c r="W455" t="n">
        <v>0</v>
      </c>
      <c r="X455" t="n">
        <v>0</v>
      </c>
      <c r="Y455" t="n">
        <v>0</v>
      </c>
      <c r="Z455" t="n">
        <v>0</v>
      </c>
      <c r="AA455" t="n">
        <v>0</v>
      </c>
      <c r="AB455" t="n">
        <v>0</v>
      </c>
      <c r="AC455" t="n">
        <v>0</v>
      </c>
      <c r="AD455" t="n">
        <v>0</v>
      </c>
      <c r="AE455" t="n">
        <v>9</v>
      </c>
      <c r="AF455" t="inlineStr">
        <is>
          <t>CENTROLED:ME; TECNO COM INFORMATICA LTDA:ME; GST MATERIAIS ELETRICOS COMÉRCIO E SERVIÇOS LTDA:ME; DANUBIA FERREIRA PANTALEAO AMARAL:ME; INTEGRA TECH SOLUCOES LTDA:ME; BAZAR DISTRIBUIDORA DE UTILIDADES E DECORACOES LTDA:ME; BRASIL ILUMINACAO E CONSTRUCAO LTDA:ME; CASA NOEL:ME; NATAL &amp; CIA COMERCIO E SERVIÇOS LTDA:ME</t>
        </is>
      </c>
      <c r="AH455" t="inlineStr">
        <is>
          <t>pontual</t>
        </is>
      </c>
      <c r="AJ455" t="n">
        <v>0</v>
      </c>
      <c r="AK455" t="n">
        <v>0</v>
      </c>
      <c r="AL455" t="n">
        <v>0</v>
      </c>
      <c r="AM455" t="n">
        <v>0</v>
      </c>
      <c r="AN455" t="n">
        <v>0</v>
      </c>
      <c r="AQ455" t="n">
        <v>1</v>
      </c>
      <c r="AR455" t="inlineStr">
        <is>
          <t>fornecimento_puro</t>
        </is>
      </c>
      <c r="AS455" t="inlineStr">
        <is>
          <t>Confirmada exclusao automatica (fornecimento_puro): 32 item(ns), todos classificados como material (sem servico).</t>
        </is>
      </c>
      <c r="AT455" t="n">
        <v>1</v>
      </c>
      <c r="AU455" t="n">
        <v>0</v>
      </c>
    </row>
    <row r="456">
      <c r="A456" t="inlineStr">
        <is>
          <t>24859332000194_2025_30</t>
        </is>
      </c>
      <c r="B456" s="2" t="inlineStr">
        <is>
          <t>https://pncp.gov.br/app/editais/24859332000194/2025/30</t>
        </is>
      </c>
      <c r="C456" t="inlineStr">
        <is>
          <t>2026-09-27T03:05:21.774845+00:00</t>
        </is>
      </c>
      <c r="D456" t="inlineStr">
        <is>
          <t>GO</t>
        </is>
      </c>
      <c r="E456" t="inlineStr">
        <is>
          <t>GO</t>
        </is>
      </c>
      <c r="F456" t="inlineStr">
        <is>
          <t>Chapadão do Céu</t>
        </is>
      </c>
      <c r="G456" t="inlineStr">
        <is>
          <t>MUNICIPIO DE CHAPADAO DO CEU</t>
        </is>
      </c>
      <c r="H456" t="inlineStr">
        <is>
          <t>Municipal</t>
        </is>
      </c>
      <c r="I456" t="inlineStr">
        <is>
          <t>2025-04-01T17:15:05</t>
        </is>
      </c>
      <c r="J456" t="inlineStr">
        <is>
          <t>Pregão - Eletrônico</t>
        </is>
      </c>
      <c r="K456" t="inlineStr">
        <is>
          <t>REGISTRO DE PREÇOS PARA EVENTUAL CONTRATAÇÃO DE EMPRESA ESPECIALIZADA NA PRESTAÇÃO DE NA PRESTAÇÃO DE SERVIÇOS DE LIMPEZA E HIGIENIZAÇÃO, MANUTENÇÃO PREVENTIVA E CORRETIVA NOS EQUIPAMENTOS DE AR-CONDICIONADO DO TIPO SPLIT PARA TODAS AS UNIDADES QUE COMPÕE A SECRETARIA MUNICIPAL DE SAÚDE, DE ACORDO COM AS ESPECIFICAÇÕES CONSTANTE DO TERMO DE REFERÊNCIA CONFORME O INCISO I C/C ART. 12, INCISO VI E ART. 82 A 86 DA LEI FEDERAL 14.133/2021.</t>
        </is>
      </c>
      <c r="L456" t="b">
        <v>1</v>
      </c>
      <c r="M456" t="inlineStr">
        <is>
          <t>climatizacao</t>
        </is>
      </c>
      <c r="N456" t="inlineStr">
        <is>
          <t>climatizacao</t>
        </is>
      </c>
      <c r="O456" t="n">
        <v>360429.03</v>
      </c>
      <c r="P456" t="n">
        <v>248540</v>
      </c>
      <c r="Q456" t="n">
        <v>360429.03</v>
      </c>
      <c r="R456" t="n">
        <v>0.3104329026993192</v>
      </c>
      <c r="S456" t="n">
        <v>0</v>
      </c>
      <c r="T456" t="n">
        <v>30</v>
      </c>
      <c r="U456" t="n">
        <v>30</v>
      </c>
      <c r="V456" t="n">
        <v>30</v>
      </c>
      <c r="W456" t="n">
        <v>0</v>
      </c>
      <c r="X456" t="n">
        <v>0</v>
      </c>
      <c r="Y456" t="n">
        <v>0</v>
      </c>
      <c r="Z456" t="n">
        <v>0</v>
      </c>
      <c r="AA456" t="n">
        <v>0</v>
      </c>
      <c r="AB456" t="n">
        <v>0</v>
      </c>
      <c r="AC456" t="n">
        <v>0</v>
      </c>
      <c r="AD456" t="n">
        <v>0</v>
      </c>
      <c r="AE456" t="n">
        <v>1</v>
      </c>
      <c r="AF456" t="inlineStr">
        <is>
          <t>L A BOAKOSKI:ME</t>
        </is>
      </c>
      <c r="AH456" t="inlineStr">
        <is>
          <t>pontual</t>
        </is>
      </c>
      <c r="AJ456" t="n">
        <v>0</v>
      </c>
      <c r="AK456" t="n">
        <v>0</v>
      </c>
      <c r="AL456" t="n">
        <v>0</v>
      </c>
      <c r="AM456" t="n">
        <v>0</v>
      </c>
      <c r="AN456" t="n">
        <v>0</v>
      </c>
      <c r="AQ456" t="n">
        <v>1</v>
      </c>
      <c r="AS456" t="inlineStr">
        <is>
          <t>servico de limpeza/higienizacao/manutencao preventiva e corretiva; itens mal cadastrados como Material.</t>
        </is>
      </c>
      <c r="AT456" t="n">
        <v>1</v>
      </c>
      <c r="AU456" t="n">
        <v>1</v>
      </c>
    </row>
    <row r="457">
      <c r="A457" t="inlineStr">
        <is>
          <t>24859332000194_2026_1</t>
        </is>
      </c>
      <c r="B457" s="2" t="inlineStr">
        <is>
          <t>https://pncp.gov.br/app/editais/24859332000194/2026/1</t>
        </is>
      </c>
      <c r="C457" t="inlineStr">
        <is>
          <t>2026-09-27T04:50:02.115873+00:00</t>
        </is>
      </c>
      <c r="D457" t="inlineStr">
        <is>
          <t>GO</t>
        </is>
      </c>
      <c r="E457" t="inlineStr">
        <is>
          <t>GO</t>
        </is>
      </c>
      <c r="F457" t="inlineStr">
        <is>
          <t>Chapadão do Céu</t>
        </is>
      </c>
      <c r="G457" t="inlineStr">
        <is>
          <t>MUNICIPIO DE CHAPADAO DO CEU</t>
        </is>
      </c>
      <c r="H457" t="inlineStr">
        <is>
          <t>Municipal</t>
        </is>
      </c>
      <c r="I457" t="inlineStr">
        <is>
          <t>2026-01-05T15:41:08</t>
        </is>
      </c>
      <c r="J457" t="inlineStr">
        <is>
          <t>Pregão - Eletrônico</t>
        </is>
      </c>
      <c r="K457" t="inlineStr">
        <is>
          <t>REGISTRO DE PREÇOS PARA EVENTUAL AQUISIÇÃO DE MEDICAMENTOS PARA ATENDIMENTO À FARMÁCIA HOSPITALAR DO HOSPITAL MUNICIPAL SANTA LUZIA E FARMÁCIAS BÁSICAS DO MUNICÍPIO DE CHAPADÃO DO CÉU, SOB FUNDAMENTO LEGAL: ART. 28, INCISO I, C/C ART. 12, INCISO VI, E ARTS. 82 A 86 DA LEI Nº 14.133/2021.</t>
        </is>
      </c>
      <c r="L457" t="b">
        <v>1</v>
      </c>
      <c r="M457" t="inlineStr">
        <is>
          <t>munck</t>
        </is>
      </c>
      <c r="N457" t="inlineStr">
        <is>
          <t>munck</t>
        </is>
      </c>
      <c r="O457" t="n">
        <v>1630348.54</v>
      </c>
      <c r="P457" t="n">
        <v>102256.73</v>
      </c>
      <c r="Q457" t="n">
        <v>123945.01</v>
      </c>
      <c r="R457" t="n">
        <v>0.1749830832237619</v>
      </c>
      <c r="S457" t="n">
        <v>0</v>
      </c>
      <c r="T457" t="n">
        <v>417</v>
      </c>
      <c r="U457" t="n">
        <v>40</v>
      </c>
      <c r="V457" t="n">
        <v>417</v>
      </c>
      <c r="W457" t="n">
        <v>0</v>
      </c>
      <c r="X457" t="n">
        <v>0</v>
      </c>
      <c r="Y457" t="n">
        <v>0</v>
      </c>
      <c r="Z457" t="n">
        <v>0</v>
      </c>
      <c r="AA457" t="n">
        <v>0</v>
      </c>
      <c r="AB457" t="n">
        <v>0</v>
      </c>
      <c r="AC457" t="n">
        <v>0</v>
      </c>
      <c r="AD457" t="n">
        <v>0</v>
      </c>
      <c r="AE457" t="n">
        <v>11</v>
      </c>
      <c r="AF457" t="inlineStr">
        <is>
          <t>MB VARIEDADES LTDA:ME; ABA MED LTDA:ME; CALLMED PRODUTOS HOSPITALARES:ME; ROYAL MED HOSPITALAR LTDA:ME; SC COMERCIO DE PRODUTOS HOSPITALARES LTDA:ME; ATIVIDADE COMERCIO DE MEDICAMENTOS E PRODUTOS HOSPITALARES LTDA:ME; ALFA HOSPITALAR EIRELI:ME; INVICTO COMERCIO DE PRODUTOS PARA SAÚDE LTDA:ME; NEROMED HOSPITALAR LTDA:ME; YNEMED PRODUTOS MEDICOS E HOSPITALARES:ME; MILLENIUM COMÉRCIO SERVIÇO LTDA:ME</t>
        </is>
      </c>
      <c r="AH457" t="inlineStr">
        <is>
          <t>pontual</t>
        </is>
      </c>
      <c r="AI457" t="n">
        <v>12</v>
      </c>
      <c r="AJ457" t="n">
        <v>0</v>
      </c>
      <c r="AK457" t="n">
        <v>0</v>
      </c>
      <c r="AL457" t="n">
        <v>0</v>
      </c>
      <c r="AM457" t="n">
        <v>0</v>
      </c>
      <c r="AN457" t="n">
        <v>0</v>
      </c>
      <c r="AP457" t="inlineStr">
        <is>
          <t>selho Regional de Farmácia; Certificado de boas práticas de fabricação do fabricante; no mínimo 2 atestados de capacidade técnica referente a fornecimento de medicamentos semelhantes a esta aquisição fornecido por pessoa jurídica de direito público ou privado e document o de procedência do medicamen…</t>
        </is>
      </c>
      <c r="AQ457" t="n">
        <v>1</v>
      </c>
      <c r="AR457" t="inlineStr">
        <is>
          <t>fora_escopo</t>
        </is>
      </c>
      <c r="AS457" t="inlineStr">
        <is>
          <t>Idem: medicamentos/farmácia; falso positivo de indexação.</t>
        </is>
      </c>
      <c r="AT457" t="n">
        <v>0</v>
      </c>
      <c r="AU457" t="n">
        <v>0</v>
      </c>
    </row>
    <row r="458">
      <c r="A458" t="inlineStr">
        <is>
          <t>24859332000194_2026_15</t>
        </is>
      </c>
      <c r="B458" s="2" t="inlineStr">
        <is>
          <t>https://pncp.gov.br/app/editais/24859332000194/2026/15</t>
        </is>
      </c>
      <c r="C458" t="inlineStr">
        <is>
          <t>2026-09-27T04:40:39.593828+00:00</t>
        </is>
      </c>
      <c r="D458" t="inlineStr">
        <is>
          <t>GO</t>
        </is>
      </c>
      <c r="E458" t="inlineStr">
        <is>
          <t>GO</t>
        </is>
      </c>
      <c r="F458" t="inlineStr">
        <is>
          <t>Chapadão do Céu</t>
        </is>
      </c>
      <c r="G458" t="inlineStr">
        <is>
          <t>MUNICIPIO DE CHAPADAO DO CEU</t>
        </is>
      </c>
      <c r="H458" t="inlineStr">
        <is>
          <t>Municipal</t>
        </is>
      </c>
      <c r="I458" t="inlineStr">
        <is>
          <t>2026-01-15T16:59:01</t>
        </is>
      </c>
      <c r="J458" t="inlineStr">
        <is>
          <t>Pregão - Eletrônico</t>
        </is>
      </c>
      <c r="K458" t="inlineStr">
        <is>
          <t>REGISTRO DE PREÇO PARA AQUISIÇÃO DE MATERIAIS VOLTADOS A ILUMINAÇÃO PÚBLICA QUE SERÃO UTILIZADOS PELA SECRETARIA DE TRANSPORTES, OBRAS E AÇÃO URBANA, SOB FUNDAMENTO LEGAL: ART. 28, INCISO I, C/C ART. 12, INCISO VI, E ARTS. 82 A 86 DA LEI Nº 14.133/2021.</t>
        </is>
      </c>
      <c r="L458" t="b">
        <v>1</v>
      </c>
      <c r="M458" t="inlineStr">
        <is>
          <t>iluminacao_publica</t>
        </is>
      </c>
      <c r="N458" t="inlineStr">
        <is>
          <t>iluminacao_publica</t>
        </is>
      </c>
      <c r="O458" t="n">
        <v>2822775</v>
      </c>
      <c r="P458" t="n">
        <v>995370</v>
      </c>
      <c r="Q458" t="n">
        <v>2822775</v>
      </c>
      <c r="R458" t="n">
        <v>0.6473789090522624</v>
      </c>
      <c r="S458" t="n">
        <v>0</v>
      </c>
      <c r="T458" t="n">
        <v>8</v>
      </c>
      <c r="U458" t="n">
        <v>8</v>
      </c>
      <c r="V458" t="n">
        <v>8</v>
      </c>
      <c r="W458" t="n">
        <v>0</v>
      </c>
      <c r="X458" t="n">
        <v>0</v>
      </c>
      <c r="Y458" t="n">
        <v>0</v>
      </c>
      <c r="Z458" t="n">
        <v>0</v>
      </c>
      <c r="AA458" t="n">
        <v>0</v>
      </c>
      <c r="AB458" t="n">
        <v>0</v>
      </c>
      <c r="AC458" t="n">
        <v>0</v>
      </c>
      <c r="AD458" t="n">
        <v>0</v>
      </c>
      <c r="AE458" t="n">
        <v>6</v>
      </c>
      <c r="AF458" t="inlineStr">
        <is>
          <t>SATURNO COMERCIO DE MATERIAL ELETRICO E ELETRONICO LTDA:ME; SUNLED INDUSTRIA E COMERCIO DE MATERIAIS ELETRICOS LTDA:ME; TW2K ELETROELETRONICA LTDA:ME; MORK TELECOM PRODUTOS E SERVICOS PARA TELECOMUNICACOES LTDA:ME; GIGANTAO INDUSTRIA E COMERCIO:ME; DALMOLIN MATERIAIS DE CONSTRUCAO LTDA:ME</t>
        </is>
      </c>
      <c r="AH458" t="inlineStr">
        <is>
          <t>pontual</t>
        </is>
      </c>
      <c r="AJ458" t="n">
        <v>0</v>
      </c>
      <c r="AK458" t="n">
        <v>0</v>
      </c>
      <c r="AL458" t="n">
        <v>0</v>
      </c>
      <c r="AM458" t="n">
        <v>0</v>
      </c>
      <c r="AN458" t="n">
        <v>0</v>
      </c>
      <c r="AQ458" t="n">
        <v>1</v>
      </c>
      <c r="AR458" t="inlineStr">
        <is>
          <t>fornecimento_puro</t>
        </is>
      </c>
      <c r="AS458" t="inlineStr">
        <is>
          <t>Registro de preços/contratação de fornecimento de materiais, sem mão de obra de manutenção contratada.</t>
        </is>
      </c>
      <c r="AT458" t="n">
        <v>0</v>
      </c>
      <c r="AU458" t="n">
        <v>0</v>
      </c>
    </row>
    <row r="459">
      <c r="A459" t="inlineStr">
        <is>
          <t>24859332000194_2026_163</t>
        </is>
      </c>
      <c r="B459" s="2" t="inlineStr">
        <is>
          <t>https://pncp.gov.br/app/editais/24859332000194/2026/163</t>
        </is>
      </c>
      <c r="C459" t="inlineStr">
        <is>
          <t>2026-09-27T04:37:55.568358+00:00</t>
        </is>
      </c>
      <c r="D459" t="inlineStr">
        <is>
          <t>GO</t>
        </is>
      </c>
      <c r="E459" t="inlineStr">
        <is>
          <t>GO</t>
        </is>
      </c>
      <c r="F459" t="inlineStr">
        <is>
          <t>Chapadão do Céu</t>
        </is>
      </c>
      <c r="G459" t="inlineStr">
        <is>
          <t>MUNICIPIO DE CHAPADAO DO CEU</t>
        </is>
      </c>
      <c r="H459" t="inlineStr">
        <is>
          <t>Municipal</t>
        </is>
      </c>
      <c r="I459" t="inlineStr">
        <is>
          <t>2026-03-13T13:16:51</t>
        </is>
      </c>
      <c r="J459" t="inlineStr">
        <is>
          <t>Pregão - Eletrônico</t>
        </is>
      </c>
      <c r="K459" t="inlineStr">
        <is>
          <t>REGISTRO DE PREÇO PARA AQUISIÇÃO DE MATERIAIS ELÉTRICO PARA ILUMINAÇÃO ÁREA VERDE 01, ILUMINAÇÃO ÁREA VERDE 02, ILUMINAÇÃO CANIL E ILUMINAÇÃO PARQUE DOS BURITIS, SOB FUNDAMENTO LEGAL: ART. 28, INCISO I, C/C ART. 12, INCISO VI, E ARTS. 82 A 86 DA LEI Nº 14.133/2021.</t>
        </is>
      </c>
      <c r="L459" t="b">
        <v>1</v>
      </c>
      <c r="M459" t="inlineStr">
        <is>
          <t>iluminacao_publica</t>
        </is>
      </c>
      <c r="N459" t="inlineStr">
        <is>
          <t>iluminacao_publica</t>
        </is>
      </c>
      <c r="O459" t="n">
        <v>292252.87</v>
      </c>
      <c r="P459" t="n">
        <v>140302.9</v>
      </c>
      <c r="Q459" t="n">
        <v>292252.869</v>
      </c>
      <c r="R459" t="n">
        <v>0.5199263552824183</v>
      </c>
      <c r="S459" t="n">
        <v>0</v>
      </c>
      <c r="T459" t="n">
        <v>22</v>
      </c>
      <c r="U459" t="n">
        <v>22</v>
      </c>
      <c r="V459" t="n">
        <v>22</v>
      </c>
      <c r="W459" t="n">
        <v>0</v>
      </c>
      <c r="X459" t="n">
        <v>0</v>
      </c>
      <c r="Y459" t="n">
        <v>0</v>
      </c>
      <c r="Z459" t="n">
        <v>0</v>
      </c>
      <c r="AA459" t="n">
        <v>0</v>
      </c>
      <c r="AB459" t="n">
        <v>0</v>
      </c>
      <c r="AC459" t="n">
        <v>0</v>
      </c>
      <c r="AD459" t="n">
        <v>0</v>
      </c>
      <c r="AE459" t="n">
        <v>7</v>
      </c>
      <c r="AF459" t="inlineStr">
        <is>
          <t>CANTONALE SERVICOS E COMERCIO LTDA:ME; CENTROLED:ME; SUNLED INDUSTRIA E COMERCIO DE MATERIAIS ELETRICOS LTDA:ME; MRJD INDUSTRIA METALURGICA LTDA:ME; LEDLUZ INDUSTRIA E COMERCIO:ME; ATRIUM INDUSTRIA E COMERCIO DE FERRAGENS LTDA:ME; TRIUNFO ILUMINAÇÃO:ME</t>
        </is>
      </c>
      <c r="AH459" t="inlineStr">
        <is>
          <t>pontual</t>
        </is>
      </c>
      <c r="AJ459" t="n">
        <v>0</v>
      </c>
      <c r="AK459" t="n">
        <v>0</v>
      </c>
      <c r="AL459" t="n">
        <v>0</v>
      </c>
      <c r="AM459" t="n">
        <v>0</v>
      </c>
      <c r="AN459" t="n">
        <v>0</v>
      </c>
      <c r="AQ459" t="n">
        <v>1</v>
      </c>
      <c r="AR459" t="inlineStr">
        <is>
          <t>fornecimento_puro</t>
        </is>
      </c>
      <c r="AS459" t="inlineStr">
        <is>
          <t>Registro de preços/contratação de fornecimento de materiais, sem mão de obra de manutenção contratada.</t>
        </is>
      </c>
      <c r="AT459" t="n">
        <v>0</v>
      </c>
      <c r="AU459" t="n">
        <v>0</v>
      </c>
    </row>
    <row r="460">
      <c r="A460" t="inlineStr">
        <is>
          <t>24859332000194_2026_175</t>
        </is>
      </c>
      <c r="B460" s="2" t="inlineStr">
        <is>
          <t>https://pncp.gov.br/app/editais/24859332000194/2026/175</t>
        </is>
      </c>
      <c r="C460" t="inlineStr">
        <is>
          <t>2026-09-27T02:37:37.449012+00:00</t>
        </is>
      </c>
      <c r="D460" t="inlineStr">
        <is>
          <t>GO</t>
        </is>
      </c>
      <c r="E460" t="inlineStr">
        <is>
          <t>GO</t>
        </is>
      </c>
      <c r="F460" t="inlineStr">
        <is>
          <t>Chapadão do Céu</t>
        </is>
      </c>
      <c r="G460" t="inlineStr">
        <is>
          <t>MUNICIPIO DE CHAPADAO DO CEU</t>
        </is>
      </c>
      <c r="H460" t="inlineStr">
        <is>
          <t>Municipal</t>
        </is>
      </c>
      <c r="I460" t="inlineStr">
        <is>
          <t>2026-03-17T09:37:03</t>
        </is>
      </c>
      <c r="J460" t="inlineStr">
        <is>
          <t>Pregão - Eletrônico</t>
        </is>
      </c>
      <c r="K460" t="inlineStr">
        <is>
          <t>REGISTRO DE PREÇOS PARA CONTRATAÇÃO DE EMPRESA ESPECIALIZADA NA PRESTAÇÃO DE SERVIÇOS DE MANUTENÇÃO PREVENTIVA E CORRETIVA, COM LIMPEZA E HIGIENIZAÇÃO, EM APARELHOS DE AR CONDICIONADO (TIPO SPLIT E JANELA), DESTINADOS AO ATENDIMENTO DAS NECESSIDADES DA SECRETARIA DE ADMINISTRAÇÃO, FINANÇAS E PLANEJAMENTO, SOB FUNDAMENTO LEGAL: ART. 28, INCISO I, C/C ART. 12, INCISO VI, E ARTS. 82 A 86 DA LEI Nº 14.133/2021.</t>
        </is>
      </c>
      <c r="L460" t="b">
        <v>1</v>
      </c>
      <c r="M460" t="inlineStr">
        <is>
          <t>climatizacao</t>
        </is>
      </c>
      <c r="N460" t="inlineStr">
        <is>
          <t>climatizacao</t>
        </is>
      </c>
      <c r="O460" t="n">
        <v>123740</v>
      </c>
      <c r="P460" t="n">
        <v>116299.96</v>
      </c>
      <c r="Q460" t="n">
        <v>123740</v>
      </c>
      <c r="R460" t="n">
        <v>0.06012639405204462</v>
      </c>
      <c r="S460" t="n">
        <v>0</v>
      </c>
      <c r="T460" t="n">
        <v>22</v>
      </c>
      <c r="U460" t="n">
        <v>22</v>
      </c>
      <c r="V460" t="n">
        <v>22</v>
      </c>
      <c r="W460" t="n">
        <v>0</v>
      </c>
      <c r="X460" t="n">
        <v>0</v>
      </c>
      <c r="Y460" t="n">
        <v>0</v>
      </c>
      <c r="Z460" t="n">
        <v>0</v>
      </c>
      <c r="AA460" t="n">
        <v>0</v>
      </c>
      <c r="AB460" t="n">
        <v>0</v>
      </c>
      <c r="AC460" t="n">
        <v>0</v>
      </c>
      <c r="AD460" t="n">
        <v>0</v>
      </c>
      <c r="AE460" t="n">
        <v>2</v>
      </c>
      <c r="AF460" t="inlineStr">
        <is>
          <t>L A BOAKOSKI:ME; ATIVA MASTER SOLUTION LTDA:ME</t>
        </is>
      </c>
      <c r="AH460" t="inlineStr">
        <is>
          <t>pontual</t>
        </is>
      </c>
      <c r="AI460" t="n">
        <v>12</v>
      </c>
      <c r="AJ460" t="n">
        <v>0</v>
      </c>
      <c r="AK460" t="n">
        <v>0</v>
      </c>
      <c r="AL460" t="n">
        <v>0</v>
      </c>
      <c r="AM460" t="n">
        <v>0</v>
      </c>
      <c r="AN460" t="n">
        <v>0</v>
      </c>
      <c r="AQ460" t="n">
        <v>1</v>
      </c>
      <c r="AS460" t="inlineStr">
        <is>
          <t>mesma natureza (servico de manutencao/limpeza/higienizacao), itens mal cadastrados como Material.</t>
        </is>
      </c>
      <c r="AT460" t="n">
        <v>1</v>
      </c>
      <c r="AU460" t="n">
        <v>1</v>
      </c>
    </row>
    <row r="461">
      <c r="A461" t="inlineStr">
        <is>
          <t>24859332000194_2026_299</t>
        </is>
      </c>
      <c r="B461" s="2" t="inlineStr">
        <is>
          <t>https://pncp.gov.br/app/editais/24859332000194/2026/299</t>
        </is>
      </c>
      <c r="C461" t="inlineStr">
        <is>
          <t>2026-09-27T03:47:16.317853+00:00</t>
        </is>
      </c>
      <c r="D461" t="inlineStr">
        <is>
          <t>GO</t>
        </is>
      </c>
      <c r="E461" t="inlineStr">
        <is>
          <t>GO</t>
        </is>
      </c>
      <c r="F461" t="inlineStr">
        <is>
          <t>Chapadão do Céu</t>
        </is>
      </c>
      <c r="G461" t="inlineStr">
        <is>
          <t>MUNICIPIO DE CHAPADAO DO CEU</t>
        </is>
      </c>
      <c r="H461" t="inlineStr">
        <is>
          <t>Municipal</t>
        </is>
      </c>
      <c r="I461" t="inlineStr">
        <is>
          <t>2026-04-22T15:40:38</t>
        </is>
      </c>
      <c r="J461" t="inlineStr">
        <is>
          <t>Pregão - Eletrônico</t>
        </is>
      </c>
      <c r="K461" t="inlineStr">
        <is>
          <t>REGISTRO DE PREÇO PARA AQUISIÇÃO DE MATERIAIS, PEÇAS E EQUIPAMENTOS DESTINADOS A EXECUÇÃO DE SERVIÇOS ELÉTRICOS, VISANDO ATENDER AS DEMANDAS DE IMPLANTAÇÕES E MANUTENÇÕES DA SECRETÁRIA DE TRANSPORTES, OBRAS E AÇÃO URBANA, CONFORME ESPECIFICAÇÕES E QUANTITATIVOS, SOB O FUNDAMENTO LEGAL: ART. 28, INCISO I, C/C ART. 12, INCISO VI, E ARTS. 82 A 86 DA LEI Nº 14.133/2021.</t>
        </is>
      </c>
      <c r="L461" t="b">
        <v>1</v>
      </c>
      <c r="M461" t="inlineStr">
        <is>
          <t>eletrica_predial</t>
        </is>
      </c>
      <c r="N461" t="inlineStr">
        <is>
          <t>eletrica_predial</t>
        </is>
      </c>
      <c r="O461" t="n">
        <v>1590430</v>
      </c>
      <c r="P461" t="n">
        <v>376336.5</v>
      </c>
      <c r="Q461" t="n">
        <v>561620.5</v>
      </c>
      <c r="R461" t="n">
        <v>0.329909609780982</v>
      </c>
      <c r="S461" t="n">
        <v>0</v>
      </c>
      <c r="T461" t="n">
        <v>164</v>
      </c>
      <c r="U461" t="n">
        <v>40</v>
      </c>
      <c r="V461" t="n">
        <v>164</v>
      </c>
      <c r="W461" t="n">
        <v>0</v>
      </c>
      <c r="X461" t="n">
        <v>0</v>
      </c>
      <c r="Y461" t="n">
        <v>0</v>
      </c>
      <c r="Z461" t="n">
        <v>0</v>
      </c>
      <c r="AA461" t="n">
        <v>0</v>
      </c>
      <c r="AB461" t="n">
        <v>0</v>
      </c>
      <c r="AC461" t="n">
        <v>0</v>
      </c>
      <c r="AD461" t="n">
        <v>0</v>
      </c>
      <c r="AE461" t="n">
        <v>7</v>
      </c>
      <c r="AF461" t="inlineStr">
        <is>
          <t>FAM ATACADO E DISTRIBUICAO DE MATERIAIS DE CONTRUCAO LTDA:ME; CONSOMAR MATERIAL ELETRICO E HIDRAULICO LTDA:ME; L DALMOLIN LTDA:ME; N-LED COMERCIO E SERVICOS LTDA:ME; REIS PARAFUSOS LTDA:ME; CONSTRULUZ COMERCIO E IMPORTACAO DE MATERIAIS DE CONSTRUCAO E ILUMINACAO LTDA:ME; SUNLED INDUSTRIA E COMERCIO DE MATERIAIS ELETRICOS LTDA:ME</t>
        </is>
      </c>
      <c r="AH461" t="inlineStr">
        <is>
          <t>pontual</t>
        </is>
      </c>
      <c r="AI461" t="n">
        <v>12</v>
      </c>
      <c r="AJ461" t="n">
        <v>0</v>
      </c>
      <c r="AK461" t="n">
        <v>0</v>
      </c>
      <c r="AL461" t="n">
        <v>0</v>
      </c>
      <c r="AM461" t="n">
        <v>0</v>
      </c>
      <c r="AN461" t="n">
        <v>0</v>
      </c>
      <c r="AQ461" t="n">
        <v>1</v>
      </c>
      <c r="AR461" t="inlineStr">
        <is>
          <t>fornecimento_puro</t>
        </is>
      </c>
      <c r="AS461" t="inlineStr">
        <is>
          <t>Confirmada exclusao automatica (fornecimento_puro): 164 item(ns), todos classificados como material (sem servico).</t>
        </is>
      </c>
      <c r="AT461" t="n">
        <v>1</v>
      </c>
      <c r="AU461" t="n">
        <v>0</v>
      </c>
    </row>
    <row r="462">
      <c r="A462" t="inlineStr">
        <is>
          <t>24859332000194_2026_385</t>
        </is>
      </c>
      <c r="B462" s="2" t="inlineStr">
        <is>
          <t>https://pncp.gov.br/app/editais/24859332000194/2026/385</t>
        </is>
      </c>
      <c r="C462" t="inlineStr">
        <is>
          <t>2026-09-27T04:31:20.244185+00:00</t>
        </is>
      </c>
      <c r="D462" t="inlineStr">
        <is>
          <t>GO</t>
        </is>
      </c>
      <c r="E462" t="inlineStr">
        <is>
          <t>GO</t>
        </is>
      </c>
      <c r="F462" t="inlineStr">
        <is>
          <t>Chapadão do Céu</t>
        </is>
      </c>
      <c r="G462" t="inlineStr">
        <is>
          <t>MUNICIPIO DE CHAPADAO DO CEU</t>
        </is>
      </c>
      <c r="H462" t="inlineStr">
        <is>
          <t>Municipal</t>
        </is>
      </c>
      <c r="I462" t="inlineStr">
        <is>
          <t>2026-05-22T14:16:10</t>
        </is>
      </c>
      <c r="J462" t="inlineStr">
        <is>
          <t>Pregão - Eletrônico</t>
        </is>
      </c>
      <c r="K462" t="inlineStr">
        <is>
          <t>REGISTRO DE PREÇO PARA CONTRATAÇÃO DE EMPRESA PROMOTORA DE EVENTOS, PARA EXECUÇÃO DOS SERVIÇOS DE: ORGANIZAÇÃO, ORNAMENTAÇÃO, PRESTADORES DE SERVIÇOS, LOCAÇÃO DE MOBÍLIA, ITENS DE CAMARIM, FORNECIMENTO DE ALIMENTAÇÃO E BEBIDAS, SERVIÇOS GRÁFICOS, E LOCAÇÃO DE ESTRUTURA E SONORIZAÇÃO E ILUMINAÇÃO PARA REALIZAÇÃO DE EVENTOS PÚBLICOS, SOB FUNDAMENTO LEGAL: ART. 28, INCISO I, C/C ART. 12, INCISO VI, E ARTS. 82 A 86 DA LEI Nº 14.133/2021</t>
        </is>
      </c>
      <c r="L462" t="b">
        <v>1</v>
      </c>
      <c r="M462" t="inlineStr">
        <is>
          <t>iluminacao_publica</t>
        </is>
      </c>
      <c r="N462" t="inlineStr">
        <is>
          <t>iluminacao_publica</t>
        </is>
      </c>
      <c r="O462" t="n">
        <v>1167898.98</v>
      </c>
      <c r="P462" t="n">
        <v>392641.67</v>
      </c>
      <c r="Q462" t="n">
        <v>1167898.98</v>
      </c>
      <c r="R462" t="n">
        <v>0.6638051092398419</v>
      </c>
      <c r="S462" t="n">
        <v>0</v>
      </c>
      <c r="T462" t="n">
        <v>8</v>
      </c>
      <c r="U462" t="n">
        <v>8</v>
      </c>
      <c r="V462" t="n">
        <v>8</v>
      </c>
      <c r="W462" t="n">
        <v>0</v>
      </c>
      <c r="X462" t="n">
        <v>0</v>
      </c>
      <c r="Y462" t="n">
        <v>0</v>
      </c>
      <c r="Z462" t="n">
        <v>0</v>
      </c>
      <c r="AA462" t="n">
        <v>0</v>
      </c>
      <c r="AB462" t="n">
        <v>0</v>
      </c>
      <c r="AC462" t="n">
        <v>0</v>
      </c>
      <c r="AD462" t="n">
        <v>0</v>
      </c>
      <c r="AE462" t="n">
        <v>4</v>
      </c>
      <c r="AF462" t="inlineStr">
        <is>
          <t>CLIMAR LOCACOES LTDA:ME; MKDS EVENTOS MARKETING E DIVERTIMENTOS LTDA:ME; KARITE EVENTOS LTDA:ME; SHOWMAN PROMOCOES E EVENTOS LTDA:ME</t>
        </is>
      </c>
      <c r="AH462" t="inlineStr">
        <is>
          <t>pontual</t>
        </is>
      </c>
      <c r="AJ462" t="n">
        <v>0</v>
      </c>
      <c r="AK462" t="n">
        <v>0</v>
      </c>
      <c r="AL462" t="n">
        <v>0</v>
      </c>
      <c r="AM462" t="n">
        <v>0</v>
      </c>
      <c r="AN462" t="n">
        <v>0</v>
      </c>
      <c r="AQ462" t="n">
        <v>0.3437446276389419</v>
      </c>
      <c r="AR462" t="inlineStr">
        <is>
          <t>mencao_passagem</t>
        </is>
      </c>
      <c r="AS462" t="inlineStr">
        <is>
          <t>Contratação de produção de evento (ornamentação, camarim, alimentação, locação de som/iluminação); não é manutenção de IP, apesar da zona cinzenta de frac_material (34%).</t>
        </is>
      </c>
      <c r="AT462" t="n">
        <v>1</v>
      </c>
      <c r="AU462" t="n">
        <v>0</v>
      </c>
    </row>
    <row r="463">
      <c r="A463" t="inlineStr">
        <is>
          <t>24950461000193_2026_21</t>
        </is>
      </c>
      <c r="B463" s="2" t="inlineStr">
        <is>
          <t>https://pncp.gov.br/app/editais/24950461000193/2026/21</t>
        </is>
      </c>
      <c r="C463" t="inlineStr">
        <is>
          <t>2026-09-27T05:15:43.096886+00:00</t>
        </is>
      </c>
      <c r="D463" t="inlineStr">
        <is>
          <t>MT</t>
        </is>
      </c>
      <c r="E463" t="inlineStr">
        <is>
          <t>vizinhos</t>
        </is>
      </c>
      <c r="F463" t="inlineStr">
        <is>
          <t>Juruena</t>
        </is>
      </c>
      <c r="G463" t="inlineStr">
        <is>
          <t>MUNICIPIO DE JURUENA</t>
        </is>
      </c>
      <c r="H463" t="inlineStr">
        <is>
          <t>Municipal</t>
        </is>
      </c>
      <c r="I463" t="inlineStr">
        <is>
          <t>2026-04-09T09:01:07</t>
        </is>
      </c>
      <c r="J463" t="inlineStr">
        <is>
          <t>Concorrência - Presencial</t>
        </is>
      </c>
      <c r="K463" t="inlineStr">
        <is>
          <t>CONSTITUI OBJETO DA PRESENTE LICITAÇÃO A CONTRATAÇÃO DE EMPRESA ESPECIALIZADA PARA EXECUÇÃO DE OBRA DE ENGENHARIA ELÉTRICA DESTINADA À IMPLANTAÇÃO DO SISTEMA DE ILUMINAÇÃO DO CAMPO DE FUTEBOL DO MINIESTÁDIO MUNICIPAL DE FUTEBOL DO MUNICÍPIO DE JURUENA/MT, COMPREENDENDO O FORNECIMENTO E A INSTALAÇÃO DE POSTES, LUMINÁRIAS, REDES ELÉTRICAS, QUADROS DE DISTRIBUIÇÃO, SISTEMAS DE ATERRAMENTO, DISPOSITIVOS DE PROTEÇÃO, TESTES, AJUSTES E COMISSIONAMENTO, CONFORME TERMO DE REFERÊNCIA, PROJETOS, MEMORIAL ELÉTRICO, PLANILHA ORÇAMENTÁRIA, CRONOGRAMA FÍSICO-FINANCEIRO E DEMAIS DOCUMENTOS TÉCNICOS ANEXOS.</t>
        </is>
      </c>
      <c r="L463" t="b">
        <v>0</v>
      </c>
      <c r="M463" t="inlineStr">
        <is>
          <t>munck</t>
        </is>
      </c>
      <c r="N463" t="inlineStr">
        <is>
          <t>munck</t>
        </is>
      </c>
      <c r="O463" t="n">
        <v>121798.83</v>
      </c>
      <c r="P463" t="n">
        <v>121798.83</v>
      </c>
      <c r="Q463" t="n">
        <v>121798.83</v>
      </c>
      <c r="R463" t="n">
        <v>0</v>
      </c>
      <c r="S463" t="n">
        <v>0</v>
      </c>
      <c r="T463" t="n">
        <v>1</v>
      </c>
      <c r="U463" t="n">
        <v>1</v>
      </c>
      <c r="V463" t="n">
        <v>1</v>
      </c>
      <c r="W463" t="n">
        <v>0</v>
      </c>
      <c r="X463" t="n">
        <v>0</v>
      </c>
      <c r="Y463" t="n">
        <v>0</v>
      </c>
      <c r="Z463" t="n">
        <v>0</v>
      </c>
      <c r="AA463" t="n">
        <v>0</v>
      </c>
      <c r="AB463" t="n">
        <v>0</v>
      </c>
      <c r="AC463" t="n">
        <v>0</v>
      </c>
      <c r="AD463" t="n">
        <v>1</v>
      </c>
      <c r="AE463" t="n">
        <v>1</v>
      </c>
      <c r="AF463" t="inlineStr">
        <is>
          <t>ENERGY COMERCIO DE MATERIAIS ELETRICOS LTDA:ME</t>
        </is>
      </c>
      <c r="AH463" t="inlineStr">
        <is>
          <t>pontual</t>
        </is>
      </c>
      <c r="AJ463" t="n">
        <v>0</v>
      </c>
      <c r="AK463" t="n">
        <v>0</v>
      </c>
      <c r="AL463" t="n">
        <v>0</v>
      </c>
      <c r="AM463" t="n">
        <v>0</v>
      </c>
      <c r="AN463" t="n">
        <v>0</v>
      </c>
      <c r="AQ463" t="n">
        <v>1</v>
      </c>
      <c r="AR463" t="inlineStr">
        <is>
          <t>fornecimento_puro</t>
        </is>
      </c>
      <c r="AS463" t="inlineStr">
        <is>
          <t>Obra elétrica de fornecimento e instalação de postes/luminárias/redes para iluminação de campo de futebol -- fornecimento de postes sem locação de munck.</t>
        </is>
      </c>
      <c r="AT463" t="n">
        <v>0</v>
      </c>
      <c r="AU463" t="n">
        <v>0</v>
      </c>
    </row>
    <row r="464">
      <c r="A464" t="inlineStr">
        <is>
          <t>25004771000188_2026_31</t>
        </is>
      </c>
      <c r="B464" s="2" t="inlineStr">
        <is>
          <t>https://pncp.gov.br/app/editais/25004771000188/2026/31</t>
        </is>
      </c>
      <c r="C464" t="inlineStr">
        <is>
          <t>2026-09-27T03:45:41.953410+00:00</t>
        </is>
      </c>
      <c r="D464" t="inlineStr">
        <is>
          <t>GO</t>
        </is>
      </c>
      <c r="E464" t="inlineStr">
        <is>
          <t>GO</t>
        </is>
      </c>
      <c r="F464" t="inlineStr">
        <is>
          <t>Trombas</t>
        </is>
      </c>
      <c r="G464" t="inlineStr">
        <is>
          <t>MUNICIPIO DE TROMBAS</t>
        </is>
      </c>
      <c r="H464" t="inlineStr">
        <is>
          <t>Municipal</t>
        </is>
      </c>
      <c r="I464" t="inlineStr">
        <is>
          <t>2026-04-30T08:28:44</t>
        </is>
      </c>
      <c r="J464" t="inlineStr">
        <is>
          <t>Pregão - Presencial</t>
        </is>
      </c>
      <c r="K464" t="inlineStr">
        <is>
          <t>REGISTRO DE PREÇOS AQUISIÇÃO PARCELADA DE MATERIAL ELÉTRICO PARA MANUTENÇÃO DOS ÓRGÃOS E ILUMINAÇÃO PÚBLICA DE TROMBAS – GO.</t>
        </is>
      </c>
      <c r="L464" t="b">
        <v>1</v>
      </c>
      <c r="M464" t="inlineStr">
        <is>
          <t>iluminacao_publica</t>
        </is>
      </c>
      <c r="N464" t="inlineStr">
        <is>
          <t>iluminacao_publica</t>
        </is>
      </c>
      <c r="O464" t="n">
        <v>943290.74</v>
      </c>
      <c r="P464" t="n">
        <v>187313.66</v>
      </c>
      <c r="Q464" t="n">
        <v>337890.6200000001</v>
      </c>
      <c r="R464" t="n">
        <v>0.4456381772302527</v>
      </c>
      <c r="S464" t="n">
        <v>0</v>
      </c>
      <c r="T464" t="n">
        <v>104</v>
      </c>
      <c r="U464" t="n">
        <v>40</v>
      </c>
      <c r="V464" t="n">
        <v>104</v>
      </c>
      <c r="W464" t="n">
        <v>0</v>
      </c>
      <c r="X464" t="n">
        <v>0</v>
      </c>
      <c r="Y464" t="n">
        <v>0</v>
      </c>
      <c r="Z464" t="n">
        <v>0</v>
      </c>
      <c r="AA464" t="n">
        <v>0</v>
      </c>
      <c r="AB464" t="n">
        <v>0</v>
      </c>
      <c r="AC464" t="n">
        <v>0</v>
      </c>
      <c r="AD464" t="n">
        <v>0</v>
      </c>
      <c r="AE464" t="n">
        <v>5</v>
      </c>
      <c r="AF464" t="inlineStr">
        <is>
          <t>BRASIL ILUMINACAO E CONSTRUCAO LTDA:ME; CONSTRUVITA COMERCIO E SERVICOS LTDA:ME; LED BOM COMERCIO E SERVICOS LTDA:ME; LUCIAN LOUREDO GOMES DE ARAUJO:ME; ILUMINA GOIAS ILUMINACAO LTDA:ME</t>
        </is>
      </c>
      <c r="AH464" t="inlineStr">
        <is>
          <t>pontual</t>
        </is>
      </c>
      <c r="AI464" t="n">
        <v>6</v>
      </c>
      <c r="AJ464" t="n">
        <v>0</v>
      </c>
      <c r="AK464" t="n">
        <v>0</v>
      </c>
      <c r="AL464" t="n">
        <v>0</v>
      </c>
      <c r="AM464" t="n">
        <v>1</v>
      </c>
      <c r="AN464" t="n">
        <v>0</v>
      </c>
      <c r="AQ464" t="n">
        <v>1</v>
      </c>
      <c r="AR464" t="inlineStr">
        <is>
          <t>fornecimento_puro</t>
        </is>
      </c>
      <c r="AS464" t="inlineStr">
        <is>
          <t>Registro de preços/contratação de fornecimento de materiais, sem mão de obra de manutenção contratada.</t>
        </is>
      </c>
      <c r="AT464" t="n">
        <v>1</v>
      </c>
      <c r="AU464" t="n">
        <v>0</v>
      </c>
    </row>
    <row r="465">
      <c r="A465" t="inlineStr">
        <is>
          <t>25005166000121_2025_255</t>
        </is>
      </c>
      <c r="B465" s="2" t="inlineStr">
        <is>
          <t>https://pncp.gov.br/app/editais/25005166000121/2025/255</t>
        </is>
      </c>
      <c r="C465" t="inlineStr">
        <is>
          <t>2026-09-27T03:58:53.794284+00:00</t>
        </is>
      </c>
      <c r="D465" t="inlineStr">
        <is>
          <t>GO</t>
        </is>
      </c>
      <c r="E465" t="inlineStr">
        <is>
          <t>GO</t>
        </is>
      </c>
      <c r="F465" t="inlineStr">
        <is>
          <t>Montividiu do Norte</t>
        </is>
      </c>
      <c r="G465" t="inlineStr">
        <is>
          <t>MUNICIPIO DE MONTIVIDIU DO NORTE</t>
        </is>
      </c>
      <c r="H465" t="inlineStr">
        <is>
          <t>Municipal</t>
        </is>
      </c>
      <c r="I465" t="inlineStr">
        <is>
          <t>2025-12-11T17:08:09</t>
        </is>
      </c>
      <c r="J465" t="inlineStr">
        <is>
          <t>Pregão - Presencial</t>
        </is>
      </c>
      <c r="K465" t="inlineStr">
        <is>
          <t>REQUERIMENTO PARA SOLICITAÇÃO DE ADESÃO DE ATA DE REGISTRO DE PREÇO PARA AQUISIÇÃO DE MATERIAIS ELÉTRICOS PARA MANUTENÇÃO DA ILUMINAÇÃO PÚBLICA, PARA ATENDER AS SECRETARIAS E ORGÃOS DO MUNICÍPIO DE MONTIVIDIU DO NORTE/GO.</t>
        </is>
      </c>
      <c r="L465" t="b">
        <v>1</v>
      </c>
      <c r="M465" t="inlineStr">
        <is>
          <t>iluminacao_publica</t>
        </is>
      </c>
      <c r="N465" t="inlineStr">
        <is>
          <t>iluminacao_publica</t>
        </is>
      </c>
      <c r="O465" t="n">
        <v>583716.24</v>
      </c>
      <c r="P465" t="n">
        <v>166116.7</v>
      </c>
      <c r="Q465" t="n">
        <v>175739.9041</v>
      </c>
      <c r="R465" t="n">
        <v>0.05475821868278808</v>
      </c>
      <c r="S465" t="n">
        <v>0</v>
      </c>
      <c r="T465" t="n">
        <v>77</v>
      </c>
      <c r="U465" t="n">
        <v>40</v>
      </c>
      <c r="V465" t="n">
        <v>77</v>
      </c>
      <c r="W465" t="n">
        <v>0</v>
      </c>
      <c r="X465" t="n">
        <v>0</v>
      </c>
      <c r="Y465" t="n">
        <v>0</v>
      </c>
      <c r="Z465" t="n">
        <v>0</v>
      </c>
      <c r="AA465" t="n">
        <v>0</v>
      </c>
      <c r="AB465" t="n">
        <v>0</v>
      </c>
      <c r="AC465" t="n">
        <v>0</v>
      </c>
      <c r="AD465" t="n">
        <v>0</v>
      </c>
      <c r="AE465" t="n">
        <v>1</v>
      </c>
      <c r="AF465" t="inlineStr">
        <is>
          <t>OUROLUZ MATERIAIS ELETRICOS E ILUMINACAO LTDA:Demais</t>
        </is>
      </c>
      <c r="AH465" t="inlineStr">
        <is>
          <t>pontual</t>
        </is>
      </c>
      <c r="AJ465" t="n">
        <v>0</v>
      </c>
      <c r="AK465" t="n">
        <v>0</v>
      </c>
      <c r="AL465" t="n">
        <v>0</v>
      </c>
      <c r="AM465" t="n">
        <v>0</v>
      </c>
      <c r="AN465" t="n">
        <v>0</v>
      </c>
      <c r="AQ465" t="n">
        <v>1</v>
      </c>
      <c r="AR465" t="inlineStr">
        <is>
          <t>fornecimento_puro</t>
        </is>
      </c>
      <c r="AS465" t="inlineStr">
        <is>
          <t>Registro de preços/contratação de fornecimento de materiais, sem mão de obra de manutenção contratada.</t>
        </is>
      </c>
      <c r="AT465" t="n">
        <v>1</v>
      </c>
      <c r="AU465" t="n">
        <v>0</v>
      </c>
    </row>
    <row r="466">
      <c r="A466" t="inlineStr">
        <is>
          <t>25043530000148_2026_48</t>
        </is>
      </c>
      <c r="B466" s="2" t="inlineStr">
        <is>
          <t>https://pncp.gov.br/app/editais/25043530000148/2026/48</t>
        </is>
      </c>
      <c r="C466" t="inlineStr">
        <is>
          <t>2026-09-27T04:27:22.106026+00:00</t>
        </is>
      </c>
      <c r="D466" t="inlineStr">
        <is>
          <t>GO</t>
        </is>
      </c>
      <c r="E466" t="inlineStr">
        <is>
          <t>GO</t>
        </is>
      </c>
      <c r="F466" t="inlineStr">
        <is>
          <t>Cezarina</t>
        </is>
      </c>
      <c r="G466" t="inlineStr">
        <is>
          <t>MUNICIPIO DE CEZARINA</t>
        </is>
      </c>
      <c r="H466" t="inlineStr">
        <is>
          <t>Municipal</t>
        </is>
      </c>
      <c r="I466" t="inlineStr">
        <is>
          <t>2026-06-30T10:26:30</t>
        </is>
      </c>
      <c r="J466" t="inlineStr">
        <is>
          <t>Pregão - Presencial</t>
        </is>
      </c>
      <c r="K466" t="inlineStr">
        <is>
          <t>REGISTRO DE PREÇOS PARA FUTURA E EVENTUAL AQUISIÇÃO DE MATERIAIS ELETRICOS E ILUMINAÇÃO PARA MANTER AS NECESSIDADES DA SECRETARIA DE OBRAS E SERVIÇOS URBANOS, BEM COMO OUTRAS SECRETARIAS E ORGAOS DA ADMINISTRAÇÃO PUBLICA MUNICIPAL, nos termos do Pregão Presencial 008/2025 da Prefeitura Municipal de Sanclerlândia/GO - PROCESSO- TERMO DE ADESAO 004/2026.</t>
        </is>
      </c>
      <c r="L466" t="b">
        <v>1</v>
      </c>
      <c r="M466" t="inlineStr">
        <is>
          <t>iluminacao_publica</t>
        </is>
      </c>
      <c r="N466" t="inlineStr">
        <is>
          <t>iluminacao_publica</t>
        </is>
      </c>
      <c r="O466" t="n">
        <v>700000.7</v>
      </c>
      <c r="P466" t="n">
        <v>149811.2</v>
      </c>
      <c r="Q466" t="n">
        <v>149811.2</v>
      </c>
      <c r="R466" t="n">
        <v>0</v>
      </c>
      <c r="S466" t="n">
        <v>0</v>
      </c>
      <c r="T466" t="n">
        <v>158</v>
      </c>
      <c r="U466" t="n">
        <v>40</v>
      </c>
      <c r="V466" t="n">
        <v>157</v>
      </c>
      <c r="W466" t="n">
        <v>1</v>
      </c>
      <c r="X466" t="n">
        <v>0</v>
      </c>
      <c r="Y466" t="n">
        <v>0</v>
      </c>
      <c r="Z466" t="n">
        <v>1</v>
      </c>
      <c r="AA466" t="n">
        <v>0</v>
      </c>
      <c r="AB466" t="n">
        <v>0</v>
      </c>
      <c r="AC466" t="n">
        <v>0</v>
      </c>
      <c r="AD466" t="n">
        <v>0</v>
      </c>
      <c r="AE466" t="n">
        <v>1</v>
      </c>
      <c r="AF466" t="inlineStr">
        <is>
          <t>OUROLUZ MATERIAIS ELETRICOS E ILUMINAÇÃO LTDA:Demais</t>
        </is>
      </c>
      <c r="AH466" t="inlineStr">
        <is>
          <t>pontual</t>
        </is>
      </c>
      <c r="AJ466" t="n">
        <v>0</v>
      </c>
      <c r="AK466" t="n">
        <v>0</v>
      </c>
      <c r="AL466" t="n">
        <v>0</v>
      </c>
      <c r="AM466" t="n">
        <v>0</v>
      </c>
      <c r="AN466" t="n">
        <v>0</v>
      </c>
      <c r="AQ466" t="n">
        <v>1</v>
      </c>
      <c r="AR466" t="inlineStr">
        <is>
          <t>fornecimento_puro</t>
        </is>
      </c>
      <c r="AS466" t="inlineStr">
        <is>
          <t>Registro de preços/contratação de fornecimento de materiais, sem mão de obra de manutenção contratada.</t>
        </is>
      </c>
      <c r="AT466" t="n">
        <v>1</v>
      </c>
      <c r="AU466" t="n">
        <v>0</v>
      </c>
    </row>
    <row r="467">
      <c r="A467" t="inlineStr">
        <is>
          <t>25043621000183_2026_128</t>
        </is>
      </c>
      <c r="B467" s="2" t="inlineStr">
        <is>
          <t>https://pncp.gov.br/app/editais/25043621000183/2026/128</t>
        </is>
      </c>
      <c r="C467" t="inlineStr">
        <is>
          <t>2026-09-27T04:33:33.327786+00:00</t>
        </is>
      </c>
      <c r="D467" t="inlineStr">
        <is>
          <t>GO</t>
        </is>
      </c>
      <c r="E467" t="inlineStr">
        <is>
          <t>GO</t>
        </is>
      </c>
      <c r="F467" t="inlineStr">
        <is>
          <t>Morro Agudo de Goiás</t>
        </is>
      </c>
      <c r="G467" t="inlineStr">
        <is>
          <t>MUNICIPIO DE MORRO AGUDO DE GOIAS</t>
        </is>
      </c>
      <c r="H467" t="inlineStr">
        <is>
          <t>Municipal</t>
        </is>
      </c>
      <c r="I467" t="inlineStr">
        <is>
          <t>2026-04-22T15:53:51</t>
        </is>
      </c>
      <c r="J467" t="inlineStr">
        <is>
          <t>Pregão - Eletrônico</t>
        </is>
      </c>
      <c r="K467" t="inlineStr">
        <is>
          <t>CONTRATAÇÃO DE EMPRESA ESPECIALIZADA NO FORNECIMENTO DE MATERIAIS ELÉTRICOS E LOCAÇÃO DE CESTO AÉREO PARA MANUTENÇÃO DA ILUMINAÇÃO PÚBLICA DO MUNICÍPIO, POR MEIO DE PROCESSO LICITATÓRIO, COM RECURSOS DO GOVERNO ESTADUAL E MUNICIPAL, CONFORME DESCRIÇÃO E ESPECIFICAÇÕES CONTIDAS NO EDITAL E SEUS ANEXOS.</t>
        </is>
      </c>
      <c r="L467" t="b">
        <v>1</v>
      </c>
      <c r="M467" t="inlineStr">
        <is>
          <t>iluminacao_publica</t>
        </is>
      </c>
      <c r="N467" t="inlineStr">
        <is>
          <t>iluminacao_publica</t>
        </is>
      </c>
      <c r="O467" t="n">
        <v>785800.3</v>
      </c>
      <c r="P467" t="n">
        <v>168254</v>
      </c>
      <c r="Q467" t="n">
        <v>445499.1</v>
      </c>
      <c r="R467" t="n">
        <v>0.6223247140117679</v>
      </c>
      <c r="S467" t="n">
        <v>0</v>
      </c>
      <c r="T467" t="n">
        <v>59</v>
      </c>
      <c r="U467" t="n">
        <v>40</v>
      </c>
      <c r="V467" t="n">
        <v>59</v>
      </c>
      <c r="W467" t="n">
        <v>0</v>
      </c>
      <c r="X467" t="n">
        <v>0</v>
      </c>
      <c r="Y467" t="n">
        <v>0</v>
      </c>
      <c r="Z467" t="n">
        <v>0</v>
      </c>
      <c r="AA467" t="n">
        <v>0</v>
      </c>
      <c r="AB467" t="n">
        <v>0</v>
      </c>
      <c r="AC467" t="n">
        <v>0</v>
      </c>
      <c r="AD467" t="n">
        <v>0</v>
      </c>
      <c r="AE467" t="n">
        <v>8</v>
      </c>
      <c r="AF467" t="inlineStr">
        <is>
          <t>FORT COMERCIO, SERVICOS E LOCACOES EIRELI:ME; DISTRIBUIDORA FXO EIRELI:ME; CBX COMERCIAL IMPORTADORA LTDA:ME; INOVA SOLUCOES PARA CONSTRUCAO LTDA:ME; TEMPO DO BRASIL COMERCIO DE EQUIPAMENTOS LTDA:ME; MARCELO SIMONI:ME; CENTER MAYA DISTRIBUIDORA LTDA:ME; ELETRO CENTER LTDA:ME</t>
        </is>
      </c>
      <c r="AH467" t="inlineStr">
        <is>
          <t>pontual</t>
        </is>
      </c>
      <c r="AI467" t="n">
        <v>3</v>
      </c>
      <c r="AJ467" t="n">
        <v>1</v>
      </c>
      <c r="AK467" t="n">
        <v>0</v>
      </c>
      <c r="AL467" t="n">
        <v>0</v>
      </c>
      <c r="AM467" t="n">
        <v>1</v>
      </c>
      <c r="AN467" t="n">
        <v>0</v>
      </c>
      <c r="AQ467" t="n">
        <v>1</v>
      </c>
      <c r="AS467" t="inlineStr">
        <is>
          <t>Contratação mista: 58 itens de material elétrico + 1 item de 'locação de caminhão tipo cesto aéreo com motorista' (3.000 h/ano, R$95/h estimado, 36% do valor total do lote). Conferido no detalhe bruto dos itens (raw compra): o componente de locação de veículo é substancial, não incidental, compatível com o modelo de negócio da empresa. Reclassificado por revisão manual (a heurística automática rotulou como fornecimento_puro porque todos os 59 itens vieram com o código 'Material' no PNCP, inclusive o item de locação de serviço).</t>
        </is>
      </c>
      <c r="AT467" t="n">
        <v>1</v>
      </c>
      <c r="AU467" t="n">
        <v>1</v>
      </c>
    </row>
    <row r="468">
      <c r="A468" t="inlineStr">
        <is>
          <t>25043621000183_2026_240</t>
        </is>
      </c>
      <c r="B468" s="2" t="inlineStr">
        <is>
          <t>https://pncp.gov.br/app/editais/25043621000183/2026/240</t>
        </is>
      </c>
      <c r="C468" t="inlineStr">
        <is>
          <t>2026-09-27T04:23:24.270504+00:00</t>
        </is>
      </c>
      <c r="D468" t="inlineStr">
        <is>
          <t>GO</t>
        </is>
      </c>
      <c r="E468" t="inlineStr">
        <is>
          <t>GO</t>
        </is>
      </c>
      <c r="F468" t="inlineStr">
        <is>
          <t>Morro Agudo de Goiás</t>
        </is>
      </c>
      <c r="G468" t="inlineStr">
        <is>
          <t>MUNICIPIO DE MORRO AGUDO DE GOIAS</t>
        </is>
      </c>
      <c r="H468" t="inlineStr">
        <is>
          <t>Municipal</t>
        </is>
      </c>
      <c r="I468" t="inlineStr">
        <is>
          <t>2026-07-31T08:17:09</t>
        </is>
      </c>
      <c r="J468" t="inlineStr">
        <is>
          <t>Pregão - Eletrônico</t>
        </is>
      </c>
      <c r="K468" t="inlineStr">
        <is>
          <t>CONTRATAÇÃO DE EMPRESA ESPECIALIZA PARA PRESTAÇÃO DE SERVIÇOS DE LOCAÇÃO DE PALCO, SOM, ILUMINAÇÃO, GRADIL, BANHEIROS QUÍMICOS E VIP, GRUPO GERADOR, TUNEL, TENDAS PRA REALIZAÇÃO DAS FESTAS DURANTE O ANO DE 2026, COM RECURSOS DO GOVERNO FEDERAL PLANO DE AÇÃO PROGRAMA 09032025-076838, ESTADUAL, E MUNICIPAL, VISANDO ATENDER AS NECESSIDADES DA SECRETARIA DE CULTURA DO MUNICÍPIO.</t>
        </is>
      </c>
      <c r="L468" t="b">
        <v>1</v>
      </c>
      <c r="M468" t="inlineStr">
        <is>
          <t>iluminacao_publica</t>
        </is>
      </c>
      <c r="N468" t="inlineStr">
        <is>
          <t>iluminacao_publica</t>
        </is>
      </c>
      <c r="O468" t="n">
        <v>723076.5</v>
      </c>
      <c r="P468" t="n">
        <v>661851.5</v>
      </c>
      <c r="Q468" t="n">
        <v>661851.5</v>
      </c>
      <c r="R468" t="n">
        <v>0</v>
      </c>
      <c r="S468" t="n">
        <v>0</v>
      </c>
      <c r="T468" t="n">
        <v>21</v>
      </c>
      <c r="U468" t="n">
        <v>20</v>
      </c>
      <c r="V468" t="n">
        <v>20</v>
      </c>
      <c r="W468" t="n">
        <v>1</v>
      </c>
      <c r="X468" t="n">
        <v>0</v>
      </c>
      <c r="Y468" t="n">
        <v>0</v>
      </c>
      <c r="Z468" t="n">
        <v>1</v>
      </c>
      <c r="AA468" t="n">
        <v>0</v>
      </c>
      <c r="AB468" t="n">
        <v>0</v>
      </c>
      <c r="AC468" t="n">
        <v>0</v>
      </c>
      <c r="AD468" t="n">
        <v>0</v>
      </c>
      <c r="AE468" t="n">
        <v>5</v>
      </c>
      <c r="AF468" t="inlineStr">
        <is>
          <t>BRIZZA PRODUCOES CULTURAIS LTDA:ME; ESTRUTURASOM PRODUCOES E EVENTOS LTDA:ME; J. R. BANHEIROS QUIMICOS E SERVICOS LTDA:ME; MAXIMA LOCADORA LTDA:ME; TENDAS NETO LTDA:ME</t>
        </is>
      </c>
      <c r="AH468" t="inlineStr">
        <is>
          <t>indefinido</t>
        </is>
      </c>
      <c r="AJ468" t="n">
        <v>0</v>
      </c>
      <c r="AK468" t="n">
        <v>0</v>
      </c>
      <c r="AL468" t="n">
        <v>0</v>
      </c>
      <c r="AM468" t="n">
        <v>0</v>
      </c>
      <c r="AN468" t="n">
        <v>0</v>
      </c>
      <c r="AQ468" t="n">
        <v>1</v>
      </c>
      <c r="AR468" t="inlineStr">
        <is>
          <t>mencao_passagem</t>
        </is>
      </c>
      <c r="AS468" t="inlineStr">
        <is>
          <t>Locação de palco/som/iluminação/gradil/banheiros/gerador/tendas para festas de 2026; evento, não manutenção de IP.</t>
        </is>
      </c>
      <c r="AT468" t="n">
        <v>1</v>
      </c>
      <c r="AU468" t="n">
        <v>0</v>
      </c>
    </row>
    <row r="469">
      <c r="A469" t="inlineStr">
        <is>
          <t>25053133000157_2026_73</t>
        </is>
      </c>
      <c r="B469" s="2" t="inlineStr">
        <is>
          <t>https://pncp.gov.br/app/editais/25053133000157/2026/73</t>
        </is>
      </c>
      <c r="C469" t="inlineStr">
        <is>
          <t>2026-09-27T05:38:25.165500+00:00</t>
        </is>
      </c>
      <c r="D469" t="inlineStr">
        <is>
          <t>TO</t>
        </is>
      </c>
      <c r="E469" t="inlineStr">
        <is>
          <t>vizinhos</t>
        </is>
      </c>
      <c r="F469" t="inlineStr">
        <is>
          <t>Palmas</t>
        </is>
      </c>
      <c r="G469" t="inlineStr">
        <is>
          <t>TRIBUNAL DE CONTAS DO ESTADO DO TOCANTINS</t>
        </is>
      </c>
      <c r="H469" t="inlineStr">
        <is>
          <t>Estadual</t>
        </is>
      </c>
      <c r="I469" t="inlineStr">
        <is>
          <t>2026-08-04T15:10:20</t>
        </is>
      </c>
      <c r="J469" t="inlineStr">
        <is>
          <t>Pregão - Eletrônico</t>
        </is>
      </c>
      <c r="K469" t="inlineStr">
        <is>
          <t>Aquisição de material de consumo e permanentes, tais como: O Material de Acondicionamento e Embalagem, Material para Manutenção de Bens Imóveis/Instalações, Material Elétrico e Eletrônico, Ferramentas e Mobiliário em Geral, nos termos da tabela abaixo, conforme condições e exigências estabelecidas neste instrumento.</t>
        </is>
      </c>
      <c r="L469" t="b">
        <v>1</v>
      </c>
      <c r="M469" t="inlineStr">
        <is>
          <t>eletrica_predial</t>
        </is>
      </c>
      <c r="N469" t="inlineStr">
        <is>
          <t>eletrica_predial</t>
        </is>
      </c>
      <c r="O469" t="n">
        <v>94020.81</v>
      </c>
      <c r="P469" t="n">
        <v>26407.57</v>
      </c>
      <c r="Q469" t="n">
        <v>29289.69</v>
      </c>
      <c r="R469" t="n">
        <v>0.09840049519131133</v>
      </c>
      <c r="S469" t="n">
        <v>0</v>
      </c>
      <c r="T469" t="n">
        <v>95</v>
      </c>
      <c r="U469" t="n">
        <v>40</v>
      </c>
      <c r="V469" t="n">
        <v>83</v>
      </c>
      <c r="W469" t="n">
        <v>7</v>
      </c>
      <c r="X469" t="n">
        <v>5</v>
      </c>
      <c r="Y469" t="n">
        <v>0</v>
      </c>
      <c r="Z469" t="n">
        <v>1</v>
      </c>
      <c r="AA469" t="n">
        <v>1</v>
      </c>
      <c r="AB469" t="n">
        <v>0</v>
      </c>
      <c r="AC469" t="n">
        <v>0</v>
      </c>
      <c r="AD469" t="n">
        <v>0</v>
      </c>
      <c r="AE469" t="n">
        <v>8</v>
      </c>
      <c r="AF469" t="inlineStr">
        <is>
          <t>MARCELO SOUSA GONCALVES:ME; LF ENGENHARIA LTDA:ME; O &amp; M MULTIVISAO COMERCIAL LTDA:ME; LUMEN SUPRIMENTAL E LOCACOES LTDA:ME; 63.729.991 FAGNER SOUZA SILVA:ME; J.S.A COMERCIO LTDA:ME; 52.198.585 MARIANA CARDOZO AGOSTINI DE ANDRADE:ME; VM COMERCIO E IMPORTACAO LTDA:ME</t>
        </is>
      </c>
      <c r="AH469" t="inlineStr">
        <is>
          <t>pontual</t>
        </is>
      </c>
      <c r="AJ469" t="n">
        <v>0</v>
      </c>
      <c r="AK469" t="n">
        <v>0</v>
      </c>
      <c r="AL469" t="n">
        <v>0</v>
      </c>
      <c r="AM469" t="n">
        <v>0</v>
      </c>
      <c r="AN469" t="n">
        <v>0</v>
      </c>
      <c r="AQ469" t="n">
        <v>1</v>
      </c>
      <c r="AR469" t="inlineStr">
        <is>
          <t>fornecimento_puro</t>
        </is>
      </c>
      <c r="AS469" t="inlineStr">
        <is>
          <t>Confirmada exclusao automatica (fornecimento_puro): 95 item(ns), todos classificados como material (sem servico).</t>
        </is>
      </c>
      <c r="AT469" t="n">
        <v>1</v>
      </c>
      <c r="AU469" t="n">
        <v>0</v>
      </c>
    </row>
    <row r="470">
      <c r="A470" t="inlineStr">
        <is>
          <t>25053190000136_2026_123</t>
        </is>
      </c>
      <c r="B470" s="2" t="inlineStr">
        <is>
          <t>https://pncp.gov.br/app/editais/25053190000136/2026/123</t>
        </is>
      </c>
      <c r="C470" t="inlineStr">
        <is>
          <t>2026-09-27T05:33:33.523574+00:00</t>
        </is>
      </c>
      <c r="D470" t="inlineStr">
        <is>
          <t>TO</t>
        </is>
      </c>
      <c r="E470" t="inlineStr">
        <is>
          <t>vizinhos</t>
        </is>
      </c>
      <c r="F470" t="inlineStr">
        <is>
          <t>Palmas</t>
        </is>
      </c>
      <c r="G470" t="inlineStr">
        <is>
          <t>TRIBUNAL DE JUSTICA DO ESTADO DO TOCANTINS</t>
        </is>
      </c>
      <c r="H470" t="inlineStr">
        <is>
          <t>Estadual</t>
        </is>
      </c>
      <c r="I470" t="inlineStr">
        <is>
          <t>2026-04-29T07:16:15</t>
        </is>
      </c>
      <c r="J470" t="inlineStr">
        <is>
          <t>Pregão - Eletrônico</t>
        </is>
      </c>
      <c r="K470" t="inlineStr">
        <is>
          <t>Contratação de pessoa jurídica para prestação de serviços continuados de manutenção predial preventiva e corretiva dos sistemas, dos equipamentos e das instalações, que compreenderá os serviços de manutenção elétrica, hidráulica, refrigeração, sonorização e manutenção em geral, para atender a Sede, Anexos e Comarcas do Poder Judiciário do Estado do Tocantins</t>
        </is>
      </c>
      <c r="L470" t="b">
        <v>0</v>
      </c>
      <c r="M470" t="inlineStr">
        <is>
          <t>refrigeracao</t>
        </is>
      </c>
      <c r="N470" t="inlineStr">
        <is>
          <t>refrigeracao</t>
        </is>
      </c>
      <c r="O470" t="n">
        <v>17002654.2</v>
      </c>
      <c r="P470" t="n">
        <v>14374755.6</v>
      </c>
      <c r="Q470" t="n">
        <v>17002654.2</v>
      </c>
      <c r="R470" t="n">
        <v>0.1545581395168291</v>
      </c>
      <c r="S470" t="n">
        <v>0</v>
      </c>
      <c r="T470" t="n">
        <v>6</v>
      </c>
      <c r="U470" t="n">
        <v>6</v>
      </c>
      <c r="V470" t="n">
        <v>6</v>
      </c>
      <c r="W470" t="n">
        <v>0</v>
      </c>
      <c r="X470" t="n">
        <v>0</v>
      </c>
      <c r="Y470" t="n">
        <v>0</v>
      </c>
      <c r="Z470" t="n">
        <v>0</v>
      </c>
      <c r="AA470" t="n">
        <v>0</v>
      </c>
      <c r="AB470" t="n">
        <v>0</v>
      </c>
      <c r="AC470" t="n">
        <v>0</v>
      </c>
      <c r="AD470" t="n">
        <v>0</v>
      </c>
      <c r="AE470" t="n">
        <v>1</v>
      </c>
      <c r="AF470" t="inlineStr">
        <is>
          <t>ALPHA TERCEIRIZACAO LTDA:Demais</t>
        </is>
      </c>
      <c r="AH470" t="inlineStr">
        <is>
          <t>continuado</t>
        </is>
      </c>
      <c r="AJ470" t="n">
        <v>0</v>
      </c>
      <c r="AK470" t="n">
        <v>0</v>
      </c>
      <c r="AL470" t="n">
        <v>0</v>
      </c>
      <c r="AM470" t="n">
        <v>0</v>
      </c>
      <c r="AN470" t="n">
        <v>0</v>
      </c>
      <c r="AQ470" t="n">
        <v>0</v>
      </c>
      <c r="AR470" t="inlineStr">
        <is>
          <t>fora_do_nucleo</t>
        </is>
      </c>
      <c r="AS470" t="inlineStr">
        <is>
          <t>R$17 milhoes, 100% do valor em 'Manutencao/Reforma Predial' generica (6 itens) -- sem nenhum item de refrigeracao; maior valor do grupo TO, excluir evita distorcer fortemente os indicadores de TO/vizinhos.</t>
        </is>
      </c>
      <c r="AT470" t="n">
        <v>0</v>
      </c>
      <c r="AU470" t="n">
        <v>0</v>
      </c>
    </row>
    <row r="471">
      <c r="A471" t="inlineStr">
        <is>
          <t>25063983000136_2026_8</t>
        </is>
      </c>
      <c r="B471" s="2" t="inlineStr">
        <is>
          <t>https://pncp.gov.br/app/editais/25063983000136/2026/8</t>
        </is>
      </c>
      <c r="C471" t="inlineStr">
        <is>
          <t>2026-09-27T05:41:55.233178+00:00</t>
        </is>
      </c>
      <c r="D471" t="inlineStr">
        <is>
          <t>TO</t>
        </is>
      </c>
      <c r="E471" t="inlineStr">
        <is>
          <t>vizinhos</t>
        </is>
      </c>
      <c r="F471" t="inlineStr">
        <is>
          <t>São Bento do Tocantins</t>
        </is>
      </c>
      <c r="G471" t="inlineStr">
        <is>
          <t>MUNICIPIO DE SAO BENTO DO TOCANTINS</t>
        </is>
      </c>
      <c r="H471" t="inlineStr">
        <is>
          <t>Municipal</t>
        </is>
      </c>
      <c r="I471" t="inlineStr">
        <is>
          <t>2026-07-02T14:41:29</t>
        </is>
      </c>
      <c r="J471" t="inlineStr">
        <is>
          <t>Concorrência - Eletrônica</t>
        </is>
      </c>
      <c r="K471" t="inlineStr">
        <is>
          <t>[LICITANET] - Contratação de empresa especializada em engenharia para execução de obra de urbanização da entrada da cidade de São Bento do Tocantins/TO, compreendendo a execução de serviços preliminares, pavimentação, implantação de calçadas e meios-fios, serviços de paisagismo, instalação de equipamentos urbanos (bancos e lixeiras), implantação de sistema de iluminação pública com rede elétrica, postes, luminárias e demais serviços complementares, conforme projetos, memoriais descritivos, planilhas orçamentárias, cronograma físico-financeiro e demais documentos técnicos integrantes do processo licitatório.</t>
        </is>
      </c>
      <c r="L471" t="b">
        <v>0</v>
      </c>
      <c r="M471" t="inlineStr">
        <is>
          <t>iluminacao_publica</t>
        </is>
      </c>
      <c r="N471" t="inlineStr">
        <is>
          <t>iluminacao_publica</t>
        </is>
      </c>
      <c r="O471" t="n">
        <v>579009.16</v>
      </c>
      <c r="P471" t="n">
        <v>554003.42</v>
      </c>
      <c r="Q471" t="n">
        <v>579009.16</v>
      </c>
      <c r="R471" t="n">
        <v>0.04318712332633912</v>
      </c>
      <c r="S471" t="n">
        <v>0</v>
      </c>
      <c r="T471" t="n">
        <v>1</v>
      </c>
      <c r="U471" t="n">
        <v>1</v>
      </c>
      <c r="V471" t="n">
        <v>1</v>
      </c>
      <c r="W471" t="n">
        <v>0</v>
      </c>
      <c r="X471" t="n">
        <v>0</v>
      </c>
      <c r="Y471" t="n">
        <v>0</v>
      </c>
      <c r="Z471" t="n">
        <v>0</v>
      </c>
      <c r="AA471" t="n">
        <v>0</v>
      </c>
      <c r="AB471" t="n">
        <v>0</v>
      </c>
      <c r="AC471" t="n">
        <v>0</v>
      </c>
      <c r="AD471" t="n">
        <v>0</v>
      </c>
      <c r="AE471" t="n">
        <v>1</v>
      </c>
      <c r="AF471" t="inlineStr">
        <is>
          <t>CONSTRUTORA BOA VISTA LTDA:EPP</t>
        </is>
      </c>
      <c r="AH471" t="inlineStr">
        <is>
          <t>indefinido</t>
        </is>
      </c>
      <c r="AJ471" t="n">
        <v>0</v>
      </c>
      <c r="AK471" t="n">
        <v>0</v>
      </c>
      <c r="AL471" t="n">
        <v>0</v>
      </c>
      <c r="AM471" t="n">
        <v>0</v>
      </c>
      <c r="AN471" t="n">
        <v>0</v>
      </c>
      <c r="AQ471" t="n">
        <v>0</v>
      </c>
      <c r="AR471" t="inlineStr">
        <is>
          <t>mencao_passagem</t>
        </is>
      </c>
      <c r="AS471" t="inlineStr">
        <is>
          <t>Obra de urbanização geral da entrada da cidade (pavimentação, serviços preliminares, iluminação); IP é item lateral de obra civil ampla.</t>
        </is>
      </c>
      <c r="AT471" t="n">
        <v>0</v>
      </c>
      <c r="AU471" t="n">
        <v>0</v>
      </c>
    </row>
    <row r="472">
      <c r="A472" t="inlineStr">
        <is>
          <t>25105255000140_2025_21</t>
        </is>
      </c>
      <c r="B472" s="2" t="inlineStr">
        <is>
          <t>https://pncp.gov.br/app/editais/25105255000140/2025/21</t>
        </is>
      </c>
      <c r="C472" t="inlineStr">
        <is>
          <t>2026-09-27T14:35:18.144285+00:00</t>
        </is>
      </c>
      <c r="D472" t="inlineStr">
        <is>
          <t>GO</t>
        </is>
      </c>
      <c r="E472" t="inlineStr">
        <is>
          <t>GO</t>
        </is>
      </c>
      <c r="F472" t="inlineStr">
        <is>
          <t>Colinas do Sul</t>
        </is>
      </c>
      <c r="G472" t="inlineStr">
        <is>
          <t>MUNICIPIO DE COLINAS DO SUL</t>
        </is>
      </c>
      <c r="H472" t="inlineStr">
        <is>
          <t>Municipal</t>
        </is>
      </c>
      <c r="I472" t="inlineStr">
        <is>
          <t>2025-02-19T15:56:43</t>
        </is>
      </c>
      <c r="J472" t="inlineStr">
        <is>
          <t>Pregão - Presencial</t>
        </is>
      </c>
      <c r="K472" t="inlineStr">
        <is>
          <t>CONTRATAÇÃO DE EMPRESA ESPECIALIZADA PARA PRESTAR SERVIÇOS DE MANUTENÇÃO PREDIAL, CONTEMPLANDO O FORNECIMENTO DE MATERIAIS, EQUIPAMENTOS, FERRAMENTAS, EPIS ( EQUIPAMENTOS DE PROTEÇÃO INDIVIDUAL)  E MÃO DE OBRA QUALIFICADA. OS SERVIÇOS SERÃO EXECUTADOS EM PRÉDIOS PÚBLICOS MUNICIPAIS, INCLUINDO ESCOLAS, POSTOS DE SAÚDE, PRAÇAS E OUTROS IMÓVEIS SOB JURISDIÇÃO DO MUNICIPIO DE COLINAS DO SUL, GOIÁS.</t>
        </is>
      </c>
      <c r="L472" t="b">
        <v>1</v>
      </c>
      <c r="M472" t="inlineStr">
        <is>
          <t>manutencao_predial</t>
        </is>
      </c>
      <c r="N472" t="inlineStr">
        <is>
          <t>manutencao_predial</t>
        </is>
      </c>
      <c r="O472" t="n">
        <v>1567105.63</v>
      </c>
      <c r="P472" t="n">
        <v>306766.7823000001</v>
      </c>
      <c r="Q472" t="n">
        <v>409097.3581</v>
      </c>
      <c r="R472" t="n">
        <v>0.2501370010909033</v>
      </c>
      <c r="S472" t="n">
        <v>0</v>
      </c>
      <c r="T472" t="n">
        <v>142</v>
      </c>
      <c r="U472" t="n">
        <v>20</v>
      </c>
      <c r="V472" t="n">
        <v>142</v>
      </c>
      <c r="W472" t="n">
        <v>0</v>
      </c>
      <c r="X472" t="n">
        <v>0</v>
      </c>
      <c r="Y472" t="n">
        <v>0</v>
      </c>
      <c r="Z472" t="n">
        <v>0</v>
      </c>
      <c r="AA472" t="n">
        <v>0</v>
      </c>
      <c r="AB472" t="n">
        <v>0</v>
      </c>
      <c r="AC472" t="n">
        <v>0</v>
      </c>
      <c r="AD472" t="n">
        <v>0</v>
      </c>
      <c r="AE472" t="n">
        <v>1</v>
      </c>
      <c r="AF472" t="inlineStr">
        <is>
          <t>CONSTRULIMA EMPREENDIMENTOS LTDA:ME</t>
        </is>
      </c>
      <c r="AH472" t="inlineStr">
        <is>
          <t>pontual</t>
        </is>
      </c>
      <c r="AI472" t="n">
        <v>12</v>
      </c>
      <c r="AJ472" t="n">
        <v>0</v>
      </c>
      <c r="AK472" t="n">
        <v>0</v>
      </c>
      <c r="AL472" t="n">
        <v>0</v>
      </c>
      <c r="AM472" t="n">
        <v>1</v>
      </c>
      <c r="AN472" t="n">
        <v>1</v>
      </c>
      <c r="AQ472" t="n">
        <v>0</v>
      </c>
      <c r="AT472" t="n">
        <v>0</v>
      </c>
      <c r="AU472" t="n">
        <v>1</v>
      </c>
    </row>
    <row r="473">
      <c r="A473" t="inlineStr">
        <is>
          <t>25105339000183_2026_42</t>
        </is>
      </c>
      <c r="B473" s="2" t="inlineStr">
        <is>
          <t>https://pncp.gov.br/app/editais/25105339000183/2026/42</t>
        </is>
      </c>
      <c r="C473" t="inlineStr">
        <is>
          <t>2026-09-27T03:31:23.493864+00:00</t>
        </is>
      </c>
      <c r="D473" t="inlineStr">
        <is>
          <t>GO</t>
        </is>
      </c>
      <c r="E473" t="inlineStr">
        <is>
          <t>GO</t>
        </is>
      </c>
      <c r="F473" t="inlineStr">
        <is>
          <t>Teresina de Goiás</t>
        </is>
      </c>
      <c r="G473" t="inlineStr">
        <is>
          <t>MUNICIPIO DE TERESINA DE GOIAS</t>
        </is>
      </c>
      <c r="H473" t="inlineStr">
        <is>
          <t>Municipal</t>
        </is>
      </c>
      <c r="I473" t="inlineStr">
        <is>
          <t>2026-08-20T14:35:19</t>
        </is>
      </c>
      <c r="J473" t="inlineStr">
        <is>
          <t>Pregão - Eletrônico</t>
        </is>
      </c>
      <c r="K473" t="inlineStr">
        <is>
          <t>[LICITANET] - CONTRATAÇÃO DE EMPRESA ESPECIALIZADA PARA O FORNECIMENTO, DE FORMA PARCELADA, DE MATERIAIS DE CONSTRUÇÃO, HIDRÁULICOS, ELÉTRICOS, FERRAMENTAS E DEMAIS INSUMOS CORRELATOS, DESTINADOS À MANUTENÇÃO PREVENTIVA E CORRETIVA, CONSERVAÇÃO, REFORMA E EXECUÇÃO DE SERVIÇOS DE INFRAESTRUTURA EM PRÉDIOS, INSTALAÇÕES E ESPAÇOS PÚBLICOS, CONFORME ESPECIFICAÇÕES, QUANTITATIVOS E DEMAIS CONDIÇÕES ESTABELECIDAS NO TERMO DE REFERÊNCIA</t>
        </is>
      </c>
      <c r="L473" t="b">
        <v>1</v>
      </c>
      <c r="M473" t="inlineStr">
        <is>
          <t>eletrica_predial</t>
        </is>
      </c>
      <c r="N473" t="inlineStr">
        <is>
          <t>eletrica_predial</t>
        </is>
      </c>
      <c r="O473" t="n">
        <v>1353813.91</v>
      </c>
      <c r="P473" t="n">
        <v>105702.8</v>
      </c>
      <c r="Q473" t="n">
        <v>129105.1</v>
      </c>
      <c r="R473" t="n">
        <v>0.1812654960958165</v>
      </c>
      <c r="S473" t="n">
        <v>0</v>
      </c>
      <c r="T473" t="n">
        <v>200</v>
      </c>
      <c r="U473" t="n">
        <v>40</v>
      </c>
      <c r="V473" t="n">
        <v>198</v>
      </c>
      <c r="W473" t="n">
        <v>0</v>
      </c>
      <c r="X473" t="n">
        <v>0</v>
      </c>
      <c r="Y473" t="n">
        <v>0</v>
      </c>
      <c r="Z473" t="n">
        <v>0</v>
      </c>
      <c r="AA473" t="n">
        <v>0</v>
      </c>
      <c r="AB473" t="n">
        <v>0</v>
      </c>
      <c r="AC473" t="n">
        <v>0</v>
      </c>
      <c r="AD473" t="n">
        <v>0</v>
      </c>
      <c r="AE473" t="n">
        <v>6</v>
      </c>
      <c r="AF473" t="inlineStr">
        <is>
          <t>RGL PRESTADORA DE SERVICOS E COMERCIO LTDA:ME; OUROLUZ MATERIAIS ELETRICOS E ILUMINACAO LTDA:ME; PAULO CESAR FERREIRA LOPES:ME; ROS RIO MATERIAIS E COMERCIO LTDA:EPP; rosina pereira marinho jacundaltda:ME; VALNI NUNES VIEIRA LINO LTDA:EPP</t>
        </is>
      </c>
      <c r="AH473" t="inlineStr">
        <is>
          <t>pontual</t>
        </is>
      </c>
      <c r="AI473" t="n">
        <v>12</v>
      </c>
      <c r="AJ473" t="n">
        <v>0</v>
      </c>
      <c r="AK473" t="n">
        <v>0</v>
      </c>
      <c r="AL473" t="n">
        <v>0</v>
      </c>
      <c r="AM473" t="n">
        <v>1</v>
      </c>
      <c r="AN473" t="n">
        <v>0</v>
      </c>
      <c r="AP473" t="inlineStr">
        <is>
          <t>eu ao prazo de entrega em outros órgãos/entes. 8.26.3 Será admitida, para fins de comprovação de quantitativo mínimo, a apresentação e o somatório de diferentes atestados executados de forma concomitante. 8.26.4 Os atestados de capacidade técnica poderão ser apresentados em nome da matriz ouda filia…</t>
        </is>
      </c>
      <c r="AQ473" t="n">
        <v>1</v>
      </c>
      <c r="AR473" t="inlineStr">
        <is>
          <t>fornecimento_puro</t>
        </is>
      </c>
      <c r="AS473" t="inlineStr">
        <is>
          <t>Confirmada exclusao automatica (fornecimento_puro): 200 item(ns), todos classificados como material (sem servico).</t>
        </is>
      </c>
      <c r="AT473" t="n">
        <v>1</v>
      </c>
      <c r="AU473" t="n">
        <v>0</v>
      </c>
    </row>
    <row r="474">
      <c r="A474" t="inlineStr">
        <is>
          <t>25107517000105_2025_304</t>
        </is>
      </c>
      <c r="B474" s="2" t="inlineStr">
        <is>
          <t>https://pncp.gov.br/app/editais/25107517000105/2025/304</t>
        </is>
      </c>
      <c r="C474" t="inlineStr">
        <is>
          <t>2026-09-27T04:50:15.134892+00:00</t>
        </is>
      </c>
      <c r="D474" t="inlineStr">
        <is>
          <t>GO</t>
        </is>
      </c>
      <c r="E474" t="inlineStr">
        <is>
          <t>GO</t>
        </is>
      </c>
      <c r="F474" t="inlineStr">
        <is>
          <t>Santa Fé de Goiás</t>
        </is>
      </c>
      <c r="G474" t="inlineStr">
        <is>
          <t>MUNICIPIO DE SANTA FE DE GOIAS</t>
        </is>
      </c>
      <c r="H474" t="inlineStr">
        <is>
          <t>Municipal</t>
        </is>
      </c>
      <c r="I474" t="inlineStr">
        <is>
          <t>2025-09-22T08:39:17</t>
        </is>
      </c>
      <c r="J474" t="inlineStr">
        <is>
          <t>Pregão - Eletrônico</t>
        </is>
      </c>
      <c r="K474" t="inlineStr">
        <is>
          <t>ABERTURA DE PROCESSO LICITATÓRIO PARA LOCAÇÃO DE CAMINHÃO SKY COM CESTO AÉREO E OPERADOR.</t>
        </is>
      </c>
      <c r="L474" t="b">
        <v>0</v>
      </c>
      <c r="M474" t="inlineStr">
        <is>
          <t>munck</t>
        </is>
      </c>
      <c r="N474" t="inlineStr">
        <is>
          <t>munck</t>
        </is>
      </c>
      <c r="O474" t="n">
        <v>206632.8</v>
      </c>
      <c r="P474" t="n">
        <v>206632.8</v>
      </c>
      <c r="Q474" t="n">
        <v>206632.8</v>
      </c>
      <c r="R474" t="n">
        <v>0</v>
      </c>
      <c r="S474" t="n">
        <v>0</v>
      </c>
      <c r="T474" t="n">
        <v>2</v>
      </c>
      <c r="U474" t="n">
        <v>2</v>
      </c>
      <c r="V474" t="n">
        <v>2</v>
      </c>
      <c r="W474" t="n">
        <v>0</v>
      </c>
      <c r="X474" t="n">
        <v>0</v>
      </c>
      <c r="Y474" t="n">
        <v>0</v>
      </c>
      <c r="Z474" t="n">
        <v>0</v>
      </c>
      <c r="AA474" t="n">
        <v>0</v>
      </c>
      <c r="AB474" t="n">
        <v>0</v>
      </c>
      <c r="AC474" t="n">
        <v>0</v>
      </c>
      <c r="AD474" t="n">
        <v>0</v>
      </c>
      <c r="AE474" t="n">
        <v>1</v>
      </c>
      <c r="AF474" t="inlineStr">
        <is>
          <t>RENATO ALVES FERREIRA 00698265106:ME</t>
        </is>
      </c>
      <c r="AH474" t="inlineStr">
        <is>
          <t>pontual</t>
        </is>
      </c>
      <c r="AJ474" t="n">
        <v>1</v>
      </c>
      <c r="AK474" t="n">
        <v>1</v>
      </c>
      <c r="AL474" t="n">
        <v>0</v>
      </c>
      <c r="AM474" t="n">
        <v>0</v>
      </c>
      <c r="AN474" t="n">
        <v>0</v>
      </c>
      <c r="AP474" t="inlineStr">
        <is>
          <t>e v e r á d i s p o n i b i l i z a r o p e r a d o r d e v idamente habilitado e treinado, com comprovação de qualificação técnica para operação do cesto aéreo. 4.3.2. Os serviços deverão ser prestados sob demanda, mediante solicitação da Administração, conforme Ordem de Serviços expedida pela Secr…</t>
        </is>
      </c>
      <c r="AQ474" t="n">
        <v>0</v>
      </c>
      <c r="AS474" t="inlineStr">
        <is>
          <t>Locação de caminhão SKY com guindauto e cesto aéreo e operador, com preços por hora produtiva e hora improdutiva -- núcleo do escopo.</t>
        </is>
      </c>
      <c r="AT474" t="n">
        <v>0</v>
      </c>
      <c r="AU474" t="n">
        <v>1</v>
      </c>
    </row>
    <row r="475">
      <c r="A475" t="inlineStr">
        <is>
          <t>25107525000151_2024_237</t>
        </is>
      </c>
      <c r="B475" s="2" t="inlineStr">
        <is>
          <t>https://pncp.gov.br/app/editais/25107525000151/2024/237</t>
        </is>
      </c>
      <c r="C475" t="inlineStr">
        <is>
          <t>2026-09-27T04:49:03.292971+00:00</t>
        </is>
      </c>
      <c r="D475" t="inlineStr">
        <is>
          <t>GO</t>
        </is>
      </c>
      <c r="E475" t="inlineStr">
        <is>
          <t>GO</t>
        </is>
      </c>
      <c r="F475" t="inlineStr">
        <is>
          <t>Senador Canedo</t>
        </is>
      </c>
      <c r="G475" t="inlineStr">
        <is>
          <t>MUNICIPIO DE SENADOR CANEDO</t>
        </is>
      </c>
      <c r="H475" t="inlineStr">
        <is>
          <t>Municipal</t>
        </is>
      </c>
      <c r="I475" t="inlineStr">
        <is>
          <t>2024-10-22T11:49:37</t>
        </is>
      </c>
      <c r="J475" t="inlineStr">
        <is>
          <t>Pregão - Eletrônico</t>
        </is>
      </c>
      <c r="K475" t="inlineStr">
        <is>
          <t>[Portal de Compras Públicas] - REGISTRO DE PREÇOS PARA FUTURA E EVENTUAL CONTRATAÇÃO DE EMPRESA PARA 
PRESTAÇÃO DE SERVIÇOS DE MANUTENÇÃO PREVENTIVA E CORRETIVA, DESINSTALAÇÃO, 
INSTALAÇÃO E REALOCAÇÃO PARA EQUIPAMENTOS ELETRÔNICOS (LINHA BRANCA EX: GELADEIRA, 
PURIFICADOR DE ÁGUA, FOGÃO E ETC.), FORNECIMENTO DE MATERIAIS, PEÇAS, ACESSÓRIOS E 
SERVIÇOS ÀS INSTITUIÇÕES ESCOLARES PARA ATENDER O FUNDO MUNICIPAL DE EDUCAÇÃO - FME, 
DA SECRETARIA MUNICIPAL DE EDUCAÇÃO DE SENADOR CANEDO- GO - SEMED.</t>
        </is>
      </c>
      <c r="L475" t="b">
        <v>1</v>
      </c>
      <c r="M475" t="inlineStr">
        <is>
          <t>refrigeracao</t>
        </is>
      </c>
      <c r="N475" t="inlineStr">
        <is>
          <t>refrigeracao</t>
        </is>
      </c>
      <c r="O475" t="n">
        <v>561034.65</v>
      </c>
      <c r="P475" t="n">
        <v>473753.6</v>
      </c>
      <c r="Q475" t="n">
        <v>561034.65</v>
      </c>
      <c r="R475" t="n">
        <v>0.1555715854626805</v>
      </c>
      <c r="S475" t="n">
        <v>0</v>
      </c>
      <c r="T475" t="n">
        <v>15</v>
      </c>
      <c r="U475" t="n">
        <v>15</v>
      </c>
      <c r="V475" t="n">
        <v>15</v>
      </c>
      <c r="W475" t="n">
        <v>0</v>
      </c>
      <c r="X475" t="n">
        <v>0</v>
      </c>
      <c r="Y475" t="n">
        <v>0</v>
      </c>
      <c r="Z475" t="n">
        <v>0</v>
      </c>
      <c r="AA475" t="n">
        <v>0</v>
      </c>
      <c r="AB475" t="n">
        <v>0</v>
      </c>
      <c r="AC475" t="n">
        <v>0</v>
      </c>
      <c r="AD475" t="n">
        <v>0</v>
      </c>
      <c r="AE475" t="n">
        <v>1</v>
      </c>
      <c r="AF475" t="inlineStr">
        <is>
          <t>S. NOLLI COMERCIO E SERVICOS LTDA:ME</t>
        </is>
      </c>
      <c r="AH475" t="inlineStr">
        <is>
          <t>pontual</t>
        </is>
      </c>
      <c r="AJ475" t="n">
        <v>0</v>
      </c>
      <c r="AK475" t="n">
        <v>0</v>
      </c>
      <c r="AL475" t="n">
        <v>0</v>
      </c>
      <c r="AM475" t="n">
        <v>0</v>
      </c>
      <c r="AN475" t="n">
        <v>0</v>
      </c>
      <c r="AQ475" t="n">
        <v>0</v>
      </c>
      <c r="AS475" t="inlineStr">
        <is>
          <t>Contrato multi-lote (15 lotes); lotes de geladeira+bebedouro industrial+purificador somam ~31% do valor total (R$175.485 de R$561.035), o restante e fogao industrial/balanca/ventilador de parede. Refrigeracao e nucleo relevante (nao majoritario) e os lotes sao licitados/adjudicados separadamente, permitindo disputa so pelos lotes de refrigeracao.</t>
        </is>
      </c>
      <c r="AT475" t="n">
        <v>0</v>
      </c>
      <c r="AU475" t="n">
        <v>1</v>
      </c>
    </row>
    <row r="476">
      <c r="A476" t="inlineStr">
        <is>
          <t>25107525000151_2025_123</t>
        </is>
      </c>
      <c r="B476" s="2" t="inlineStr">
        <is>
          <t>https://pncp.gov.br/app/editais/25107525000151/2025/123</t>
        </is>
      </c>
      <c r="C476" t="inlineStr">
        <is>
          <t>2026-09-27T03:03:40.975781+00:00</t>
        </is>
      </c>
      <c r="D476" t="inlineStr">
        <is>
          <t>GO</t>
        </is>
      </c>
      <c r="E476" t="inlineStr">
        <is>
          <t>GO</t>
        </is>
      </c>
      <c r="F476" t="inlineStr">
        <is>
          <t>Senador Canedo</t>
        </is>
      </c>
      <c r="G476" t="inlineStr">
        <is>
          <t>MUNICIPIO DE SENADOR CANEDO</t>
        </is>
      </c>
      <c r="H476" t="inlineStr">
        <is>
          <t>Municipal</t>
        </is>
      </c>
      <c r="I476" t="inlineStr">
        <is>
          <t>2025-04-29T11:00:36</t>
        </is>
      </c>
      <c r="J476" t="inlineStr">
        <is>
          <t>Pregão - Eletrônico</t>
        </is>
      </c>
      <c r="K476" t="inlineStr">
        <is>
          <t>[Portal de Compras Públicas] - REGISTRO DE PREÇOS PARA FUTURA CONTRATAÇÃO DE EMPRESA ESPECIALIZADA EM PRESTAÇÃO DE SERVIÇOS DE INSTALAÇÃO E DESINSTALAÇÃO, MANUTENÇÃO PREVENTIVA E CORRETIVA EM APARELHOS DE AR CONDICIONADO DOS PRÉDIOS PÚBLICOS DA SECRETARIA MUNICIPAL DE ASSISTÊNCIA SOCIAL E CIDADANIA – SEMASC DO MUNICÍPIO DE SENADOR CANEDO-GO.</t>
        </is>
      </c>
      <c r="L476" t="b">
        <v>1</v>
      </c>
      <c r="M476" t="inlineStr">
        <is>
          <t>climatizacao</t>
        </is>
      </c>
      <c r="N476" t="inlineStr">
        <is>
          <t>climatizacao</t>
        </is>
      </c>
      <c r="O476" t="n">
        <v>348555.8</v>
      </c>
      <c r="P476" t="n">
        <v>98900</v>
      </c>
      <c r="Q476" t="n">
        <v>348555.8</v>
      </c>
      <c r="R476" t="n">
        <v>0.7162577699180447</v>
      </c>
      <c r="S476" t="n">
        <v>0</v>
      </c>
      <c r="T476" t="n">
        <v>12</v>
      </c>
      <c r="U476" t="n">
        <v>12</v>
      </c>
      <c r="V476" t="n">
        <v>12</v>
      </c>
      <c r="W476" t="n">
        <v>0</v>
      </c>
      <c r="X476" t="n">
        <v>0</v>
      </c>
      <c r="Y476" t="n">
        <v>0</v>
      </c>
      <c r="Z476" t="n">
        <v>0</v>
      </c>
      <c r="AA476" t="n">
        <v>0</v>
      </c>
      <c r="AB476" t="n">
        <v>0</v>
      </c>
      <c r="AC476" t="n">
        <v>0</v>
      </c>
      <c r="AD476" t="n">
        <v>0</v>
      </c>
      <c r="AE476" t="n">
        <v>1</v>
      </c>
      <c r="AF476" t="inlineStr">
        <is>
          <t>S. NOLLI COMERCIO E SERVICOS LTDA:ME</t>
        </is>
      </c>
      <c r="AH476" t="inlineStr">
        <is>
          <t>indefinido</t>
        </is>
      </c>
      <c r="AJ476" t="n">
        <v>0</v>
      </c>
      <c r="AK476" t="n">
        <v>0</v>
      </c>
      <c r="AL476" t="n">
        <v>0</v>
      </c>
      <c r="AM476" t="n">
        <v>0</v>
      </c>
      <c r="AN476" t="n">
        <v>0</v>
      </c>
      <c r="AQ476" t="n">
        <v>0.3072563991188785</v>
      </c>
      <c r="AS476" t="inlineStr">
        <is>
          <t>heuristica automatica confirmada: servico real de climatizacao, sem sinais de exclusao.</t>
        </is>
      </c>
      <c r="AT476" t="n">
        <v>1</v>
      </c>
      <c r="AU476" t="n">
        <v>1</v>
      </c>
    </row>
    <row r="477">
      <c r="A477" t="inlineStr">
        <is>
          <t>25107525000151_2025_160</t>
        </is>
      </c>
      <c r="B477" s="2" t="inlineStr">
        <is>
          <t>https://pncp.gov.br/app/editais/25107525000151/2025/160</t>
        </is>
      </c>
      <c r="C477" t="inlineStr">
        <is>
          <t>2026-09-27T14:34:45.632561+00:00</t>
        </is>
      </c>
      <c r="D477" t="inlineStr">
        <is>
          <t>GO</t>
        </is>
      </c>
      <c r="E477" t="inlineStr">
        <is>
          <t>GO</t>
        </is>
      </c>
      <c r="F477" t="inlineStr">
        <is>
          <t>Senador Canedo</t>
        </is>
      </c>
      <c r="G477" t="inlineStr">
        <is>
          <t>MUNICIPIO DE SENADOR CANEDO</t>
        </is>
      </c>
      <c r="H477" t="inlineStr">
        <is>
          <t>Municipal</t>
        </is>
      </c>
      <c r="I477" t="inlineStr">
        <is>
          <t>2025-05-23T13:51:38</t>
        </is>
      </c>
      <c r="J477" t="inlineStr">
        <is>
          <t>Pregão - Eletrônico</t>
        </is>
      </c>
      <c r="K477" t="inlineStr">
        <is>
          <t>Reforma, Recuperação, Ampliação, Demolição, Adaptação e Manutenção Predial (Pequenas Reformas), com  Fornecimento de Peças, Equipamentos, Materiais e Mão De Obra (Sistema Nacional de Pesquisa de Custos e  Índices da Construção Civil – SINAPI)</t>
        </is>
      </c>
      <c r="L477" t="b">
        <v>1</v>
      </c>
      <c r="M477" t="inlineStr">
        <is>
          <t>manutencao_predial</t>
        </is>
      </c>
      <c r="N477" t="inlineStr">
        <is>
          <t>manutencao_predial</t>
        </is>
      </c>
      <c r="O477" t="n">
        <v>17123285.63</v>
      </c>
      <c r="P477" t="n">
        <v>17123285.63</v>
      </c>
      <c r="Q477" t="n">
        <v>17123285.63</v>
      </c>
      <c r="R477" t="n">
        <v>0</v>
      </c>
      <c r="S477" t="n">
        <v>0</v>
      </c>
      <c r="T477" t="n">
        <v>4</v>
      </c>
      <c r="U477" t="n">
        <v>4</v>
      </c>
      <c r="V477" t="n">
        <v>4</v>
      </c>
      <c r="W477" t="n">
        <v>0</v>
      </c>
      <c r="X477" t="n">
        <v>0</v>
      </c>
      <c r="Y477" t="n">
        <v>0</v>
      </c>
      <c r="Z477" t="n">
        <v>0</v>
      </c>
      <c r="AA477" t="n">
        <v>0</v>
      </c>
      <c r="AB477" t="n">
        <v>0</v>
      </c>
      <c r="AC477" t="n">
        <v>0</v>
      </c>
      <c r="AD477" t="n">
        <v>0</v>
      </c>
      <c r="AE477" t="n">
        <v>1</v>
      </c>
      <c r="AF477" t="inlineStr">
        <is>
          <t>ENGIX CONSTRUCOES E SERVICOS LTDA:Demais</t>
        </is>
      </c>
      <c r="AH477" t="inlineStr">
        <is>
          <t>pontual</t>
        </is>
      </c>
      <c r="AI477" t="n">
        <v>12</v>
      </c>
      <c r="AJ477" t="n">
        <v>0</v>
      </c>
      <c r="AK477" t="n">
        <v>0</v>
      </c>
      <c r="AL477" t="n">
        <v>0</v>
      </c>
      <c r="AM477" t="n">
        <v>0</v>
      </c>
      <c r="AN477" t="n">
        <v>1</v>
      </c>
      <c r="AP477" t="inlineStr">
        <is>
          <t>l habilitado da área contábil, apresentada pelo fornecedor. QUALIFICAÇÃO TÉCNICA 9.11. Apresentar Atestado de Capacidade Técnica e/ou Certidões emitido por pessoa jurídica de dir eito público ou privado, comprovando que a licitante realizou fornecimento compatível com o objeto da presente licitação.…</t>
        </is>
      </c>
      <c r="AQ477" t="n">
        <v>0</v>
      </c>
      <c r="AT477" t="n">
        <v>0</v>
      </c>
      <c r="AU477" t="n">
        <v>1</v>
      </c>
    </row>
    <row r="478">
      <c r="A478" t="inlineStr">
        <is>
          <t>25107525000151_2025_283</t>
        </is>
      </c>
      <c r="B478" s="2" t="inlineStr">
        <is>
          <t>https://pncp.gov.br/app/editais/25107525000151/2025/283</t>
        </is>
      </c>
      <c r="C478" t="inlineStr">
        <is>
          <t>2026-09-27T02:50:22.678137+00:00</t>
        </is>
      </c>
      <c r="D478" t="inlineStr">
        <is>
          <t>GO</t>
        </is>
      </c>
      <c r="E478" t="inlineStr">
        <is>
          <t>GO</t>
        </is>
      </c>
      <c r="F478" t="inlineStr">
        <is>
          <t>Senador Canedo</t>
        </is>
      </c>
      <c r="G478" t="inlineStr">
        <is>
          <t>MUNICIPIO DE SENADOR CANEDO</t>
        </is>
      </c>
      <c r="H478" t="inlineStr">
        <is>
          <t>Municipal</t>
        </is>
      </c>
      <c r="I478" t="inlineStr">
        <is>
          <t>2025-09-10T11:09:23</t>
        </is>
      </c>
      <c r="J478" t="inlineStr">
        <is>
          <t>Pregão - Eletrônico</t>
        </is>
      </c>
      <c r="K478" t="inlineStr">
        <is>
          <t>[Portal de Compras Públicas] - REGISTRO DE PREÇO PARA FUTURA E EVENTUAL CONTRATAÇÃO DE EMPRESA ESPECIALIZADA PARA AQUISIÇÃO E INSTALAÇÃO DE APARELHOS DE AR CONDICIONADOS PARA A NOVA SEDE DO SENAPREV.</t>
        </is>
      </c>
      <c r="L478" t="b">
        <v>1</v>
      </c>
      <c r="M478" t="inlineStr">
        <is>
          <t>climatizacao</t>
        </is>
      </c>
      <c r="N478" t="inlineStr">
        <is>
          <t>climatizacao</t>
        </is>
      </c>
      <c r="O478" t="n">
        <v>176513.81</v>
      </c>
      <c r="P478" t="n">
        <v>126500</v>
      </c>
      <c r="Q478" t="n">
        <v>176513.81</v>
      </c>
      <c r="R478" t="n">
        <v>0.2833421928856444</v>
      </c>
      <c r="S478" t="n">
        <v>0</v>
      </c>
      <c r="T478" t="n">
        <v>4</v>
      </c>
      <c r="U478" t="n">
        <v>4</v>
      </c>
      <c r="V478" t="n">
        <v>4</v>
      </c>
      <c r="W478" t="n">
        <v>0</v>
      </c>
      <c r="X478" t="n">
        <v>0</v>
      </c>
      <c r="Y478" t="n">
        <v>0</v>
      </c>
      <c r="Z478" t="n">
        <v>0</v>
      </c>
      <c r="AA478" t="n">
        <v>0</v>
      </c>
      <c r="AB478" t="n">
        <v>0</v>
      </c>
      <c r="AC478" t="n">
        <v>0</v>
      </c>
      <c r="AD478" t="n">
        <v>0</v>
      </c>
      <c r="AE478" t="n">
        <v>2</v>
      </c>
      <c r="AF478" t="inlineStr">
        <is>
          <t>GESNER COMERCIAL LTDA:ME; ALCANCE VIBE LTDA:ME</t>
        </is>
      </c>
      <c r="AH478" t="inlineStr">
        <is>
          <t>pontual</t>
        </is>
      </c>
      <c r="AJ478" t="n">
        <v>0</v>
      </c>
      <c r="AK478" t="n">
        <v>0</v>
      </c>
      <c r="AL478" t="n">
        <v>0</v>
      </c>
      <c r="AM478" t="n">
        <v>0</v>
      </c>
      <c r="AN478" t="n">
        <v>0</v>
      </c>
      <c r="AQ478" t="n">
        <v>1</v>
      </c>
      <c r="AR478" t="inlineStr">
        <is>
          <t>fornecimento_puro</t>
        </is>
      </c>
      <c r="AS478" t="inlineStr">
        <is>
          <t>heuristica automatica confirmada (fornecimento_puro): 4 item(ns), todos classificados como material (sem servico).</t>
        </is>
      </c>
      <c r="AT478" t="n">
        <v>0</v>
      </c>
      <c r="AU478" t="n">
        <v>0</v>
      </c>
    </row>
    <row r="479">
      <c r="A479" t="inlineStr">
        <is>
          <t>25107525000151_2025_359</t>
        </is>
      </c>
      <c r="B479" s="2" t="inlineStr">
        <is>
          <t>https://pncp.gov.br/app/editais/25107525000151/2025/359</t>
        </is>
      </c>
      <c r="C479" t="inlineStr">
        <is>
          <t>2026-09-27T03:18:39.019208+00:00</t>
        </is>
      </c>
      <c r="D479" t="inlineStr">
        <is>
          <t>GO</t>
        </is>
      </c>
      <c r="E479" t="inlineStr">
        <is>
          <t>GO</t>
        </is>
      </c>
      <c r="F479" t="inlineStr">
        <is>
          <t>Senador Canedo</t>
        </is>
      </c>
      <c r="G479" t="inlineStr">
        <is>
          <t>MUNICIPIO DE SENADOR CANEDO</t>
        </is>
      </c>
      <c r="H479" t="inlineStr">
        <is>
          <t>Municipal</t>
        </is>
      </c>
      <c r="I479" t="inlineStr">
        <is>
          <t>2025-11-18T10:09:12</t>
        </is>
      </c>
      <c r="J479" t="inlineStr">
        <is>
          <t>Pregão - Eletrônico</t>
        </is>
      </c>
      <c r="K479" t="inlineStr">
        <is>
          <t>[Portal de Compras Públicas] - CONTRATAÇÃO DE EMPRESA ESPECIALIZADA PARA FORNECIEMNTO, INSTALAÇÃO, CONFIGURAÇÃO E MANUTENÇÃO DE SISITEMA INTEGRADO DE AUTOMAÇÃO PREDIAL PARA A NOVA SEDE DO SENAPREV.</t>
        </is>
      </c>
      <c r="L479" t="b">
        <v>0</v>
      </c>
      <c r="M479" t="inlineStr">
        <is>
          <t>manutencao_predial</t>
        </is>
      </c>
      <c r="N479" t="inlineStr">
        <is>
          <t>manutencao_predial</t>
        </is>
      </c>
      <c r="O479" t="n">
        <v>594098.39</v>
      </c>
      <c r="P479" t="n">
        <v>309192.16</v>
      </c>
      <c r="Q479" t="n">
        <v>317257.91</v>
      </c>
      <c r="R479" t="n">
        <v>0.02542332199061639</v>
      </c>
      <c r="S479" t="n">
        <v>0</v>
      </c>
      <c r="T479" t="n">
        <v>59</v>
      </c>
      <c r="U479" t="n">
        <v>40</v>
      </c>
      <c r="V479" t="n">
        <v>59</v>
      </c>
      <c r="W479" t="n">
        <v>0</v>
      </c>
      <c r="X479" t="n">
        <v>0</v>
      </c>
      <c r="Y479" t="n">
        <v>0</v>
      </c>
      <c r="Z479" t="n">
        <v>0</v>
      </c>
      <c r="AA479" t="n">
        <v>0</v>
      </c>
      <c r="AB479" t="n">
        <v>0</v>
      </c>
      <c r="AC479" t="n">
        <v>0</v>
      </c>
      <c r="AD479" t="n">
        <v>0</v>
      </c>
      <c r="AE479" t="n">
        <v>1</v>
      </c>
      <c r="AF479" t="inlineStr">
        <is>
          <t>CIS COMERCIO E SERVICOS LTDA:Demais</t>
        </is>
      </c>
      <c r="AH479" t="inlineStr">
        <is>
          <t>continuado</t>
        </is>
      </c>
      <c r="AI479" t="n">
        <v>12</v>
      </c>
      <c r="AJ479" t="n">
        <v>0</v>
      </c>
      <c r="AK479" t="n">
        <v>0</v>
      </c>
      <c r="AL479" t="n">
        <v>0</v>
      </c>
      <c r="AM479" t="n">
        <v>1</v>
      </c>
      <c r="AN479" t="n">
        <v>1</v>
      </c>
      <c r="AP479" t="inlineStr">
        <is>
          <t>pacitação técnico -operacional da empresa proponente deverá ser realizada mediante apresentação de atestados de capacidade técnica, emitidos por pessoa jurídica de dir eito público ou privado, em nome da empresa licitante, acompanhados, quando possível, das respectivas Anotações de Responsabilidade…</t>
        </is>
      </c>
      <c r="AQ479" t="n">
        <v>0.6714431594403076</v>
      </c>
      <c r="AR479" t="inlineStr">
        <is>
          <t>equipamento_alto</t>
        </is>
      </c>
      <c r="AS479" t="inlineStr">
        <is>
          <t>fracao estimada em itens de material = 67% (&gt; 40%).</t>
        </is>
      </c>
      <c r="AT479" t="n">
        <v>0</v>
      </c>
      <c r="AU479" t="n">
        <v>0</v>
      </c>
    </row>
    <row r="480">
      <c r="A480" t="inlineStr">
        <is>
          <t>25107525000151_2025_367</t>
        </is>
      </c>
      <c r="B480" s="2" t="inlineStr">
        <is>
          <t>https://pncp.gov.br/app/editais/25107525000151/2025/367</t>
        </is>
      </c>
      <c r="C480" t="inlineStr">
        <is>
          <t>2026-09-27T02:42:24.095442+00:00</t>
        </is>
      </c>
      <c r="D480" t="inlineStr">
        <is>
          <t>GO</t>
        </is>
      </c>
      <c r="E480" t="inlineStr">
        <is>
          <t>GO</t>
        </is>
      </c>
      <c r="F480" t="inlineStr">
        <is>
          <t>Senador Canedo</t>
        </is>
      </c>
      <c r="G480" t="inlineStr">
        <is>
          <t>MUNICIPIO DE SENADOR CANEDO</t>
        </is>
      </c>
      <c r="H480" t="inlineStr">
        <is>
          <t>Municipal</t>
        </is>
      </c>
      <c r="I480" t="inlineStr">
        <is>
          <t>2025-11-25T09:52:23</t>
        </is>
      </c>
      <c r="J480" t="inlineStr">
        <is>
          <t>Pregão - Eletrônico</t>
        </is>
      </c>
      <c r="K480" t="inlineStr">
        <is>
          <t>[Portal de Compras Públicas] - REGISTRO DE PREÇOS PARA FUTURA E EVENTUAL CONTRATAÇÃO DE EMPRESA PARA EXECUTAR SERVIÇOS DE MANUTENÇÃO PREVENTIVA, CORRETIVA, INSTALAÇÃO E DESINSTALAÇÃO DE APARELHOS DE AR CONDICIONADO, INCLUINDO O FORNECIMENTO DE PEÇAS E INSUMOS PARA ATENDER AS NECESSIDADES DAS SECRETARIAS, FUNDOS E AUTARQUIAS.</t>
        </is>
      </c>
      <c r="L480" t="b">
        <v>1</v>
      </c>
      <c r="M480" t="inlineStr">
        <is>
          <t>climatizacao</t>
        </is>
      </c>
      <c r="N480" t="inlineStr">
        <is>
          <t>climatizacao</t>
        </is>
      </c>
      <c r="O480" t="n">
        <v>1986495.34</v>
      </c>
      <c r="P480" t="n">
        <v>1395979.16</v>
      </c>
      <c r="Q480" t="n">
        <v>1986495.34</v>
      </c>
      <c r="R480" t="n">
        <v>0.6748041905801803</v>
      </c>
      <c r="S480" t="n">
        <v>0</v>
      </c>
      <c r="T480" t="n">
        <v>13</v>
      </c>
      <c r="U480" t="n">
        <v>13</v>
      </c>
      <c r="V480" t="n">
        <v>13</v>
      </c>
      <c r="W480" t="n">
        <v>0</v>
      </c>
      <c r="X480" t="n">
        <v>0</v>
      </c>
      <c r="Y480" t="n">
        <v>0</v>
      </c>
      <c r="Z480" t="n">
        <v>0</v>
      </c>
      <c r="AA480" t="n">
        <v>0</v>
      </c>
      <c r="AB480" t="n">
        <v>0</v>
      </c>
      <c r="AC480" t="n">
        <v>0</v>
      </c>
      <c r="AD480" t="n">
        <v>0</v>
      </c>
      <c r="AE480" t="n">
        <v>2</v>
      </c>
      <c r="AF480" t="inlineStr">
        <is>
          <t>MUNDO FRIO REFRIGERACAO E CLIMATIZACAO LTDA:ME; PHB COMERCIO, IMPORTACAO E PRESTACAO DE SERVICOS LTDA:ME</t>
        </is>
      </c>
      <c r="AH480" t="inlineStr">
        <is>
          <t>pontual</t>
        </is>
      </c>
      <c r="AJ480" t="n">
        <v>0</v>
      </c>
      <c r="AK480" t="n">
        <v>0</v>
      </c>
      <c r="AL480" t="n">
        <v>0</v>
      </c>
      <c r="AM480" t="n">
        <v>0</v>
      </c>
      <c r="AN480" t="n">
        <v>0</v>
      </c>
      <c r="AQ480" t="n">
        <v>0.08809484546789825</v>
      </c>
      <c r="AS480" t="inlineStr">
        <is>
          <t>heuristica automatica confirmada: servico real de climatizacao, sem sinais de exclusao.</t>
        </is>
      </c>
      <c r="AT480" t="n">
        <v>0</v>
      </c>
      <c r="AU480" t="n">
        <v>1</v>
      </c>
    </row>
    <row r="481">
      <c r="A481" t="inlineStr">
        <is>
          <t>25107525000151_2025_369</t>
        </is>
      </c>
      <c r="B481" s="2" t="inlineStr">
        <is>
          <t>https://pncp.gov.br/app/editais/25107525000151/2025/369</t>
        </is>
      </c>
      <c r="C481" t="inlineStr">
        <is>
          <t>2026-09-27T04:46:57.566107+00:00</t>
        </is>
      </c>
      <c r="D481" t="inlineStr">
        <is>
          <t>GO</t>
        </is>
      </c>
      <c r="E481" t="inlineStr">
        <is>
          <t>GO</t>
        </is>
      </c>
      <c r="F481" t="inlineStr">
        <is>
          <t>Senador Canedo</t>
        </is>
      </c>
      <c r="G481" t="inlineStr">
        <is>
          <t>MUNICIPIO DE SENADOR CANEDO</t>
        </is>
      </c>
      <c r="H481" t="inlineStr">
        <is>
          <t>Municipal</t>
        </is>
      </c>
      <c r="I481" t="inlineStr">
        <is>
          <t>2025-11-25T10:45:36</t>
        </is>
      </c>
      <c r="J481" t="inlineStr">
        <is>
          <t>Pregão - Eletrônico</t>
        </is>
      </c>
      <c r="K481" t="inlineStr">
        <is>
          <t>[Portal de Compras Públicas] - REGISTRO DE PREÇOS PARA FUTURA E EVENTUAL CONTRATAÇÃO DE EMPRESA ESPECIALIZADA PARA PRESTAÇÃO DE SERVIÇOS DE MANUTENÇÃO PREVENTIVA E CORRETIVA COM REPOSIÇÃO DE PEÇAS EM APARELHOS DE REFRIGERAÇÃO E ELETRODOMÉSTICOS, TAIS COMO BEBEDOUROS INDUSTRIAIS, PURIFICADORES DE ÁGUA, FREEZER, REFRIGERADORES, FRIGOBAR, FOGÕES, FORNOS MICRO-ONDAS, APARELHOS DE SOM, TELEVISORES, ENTRE OUTROS. ATENDENDO ASSIM ÀS NECESSIDADES DA SECRETARIA MUNICIPAL DE SAÚDE DE SENADOR CANEDO- GO.</t>
        </is>
      </c>
      <c r="L481" t="b">
        <v>1</v>
      </c>
      <c r="M481" t="inlineStr">
        <is>
          <t>refrigeracao</t>
        </is>
      </c>
      <c r="N481" t="inlineStr">
        <is>
          <t>refrigeracao</t>
        </is>
      </c>
      <c r="O481" t="n">
        <v>155485.67</v>
      </c>
      <c r="P481" t="n">
        <v>155399.99</v>
      </c>
      <c r="Q481" t="n">
        <v>155485.67</v>
      </c>
      <c r="R481" t="n">
        <v>0.0005510475659910985</v>
      </c>
      <c r="S481" t="n">
        <v>0</v>
      </c>
      <c r="T481" t="n">
        <v>6</v>
      </c>
      <c r="U481" t="n">
        <v>6</v>
      </c>
      <c r="V481" t="n">
        <v>6</v>
      </c>
      <c r="W481" t="n">
        <v>0</v>
      </c>
      <c r="X481" t="n">
        <v>0</v>
      </c>
      <c r="Y481" t="n">
        <v>0</v>
      </c>
      <c r="Z481" t="n">
        <v>0</v>
      </c>
      <c r="AA481" t="n">
        <v>0</v>
      </c>
      <c r="AB481" t="n">
        <v>0</v>
      </c>
      <c r="AC481" t="n">
        <v>0</v>
      </c>
      <c r="AD481" t="n">
        <v>0</v>
      </c>
      <c r="AE481" t="n">
        <v>1</v>
      </c>
      <c r="AF481" t="inlineStr">
        <is>
          <t>S. NOLLI COMERCIO E SERVICOS LTDA:ME</t>
        </is>
      </c>
      <c r="AH481" t="inlineStr">
        <is>
          <t>pontual</t>
        </is>
      </c>
      <c r="AJ481" t="n">
        <v>0</v>
      </c>
      <c r="AK481" t="n">
        <v>0</v>
      </c>
      <c r="AL481" t="n">
        <v>0</v>
      </c>
      <c r="AM481" t="n">
        <v>0</v>
      </c>
      <c r="AN481" t="n">
        <v>0</v>
      </c>
      <c r="AQ481" t="n">
        <v>0</v>
      </c>
      <c r="AS481" t="inlineStr">
        <is>
          <t>Lote 1 e ~78% refrigerador/frigobar/freezer/bebedouro/purificador de agua -- nucleo claro de refrigeracao comercial de pequeno porte (o resto e forno/fogao/microondas/som, minoritario).</t>
        </is>
      </c>
      <c r="AT481" t="n">
        <v>0</v>
      </c>
      <c r="AU481" t="n">
        <v>1</v>
      </c>
    </row>
    <row r="482">
      <c r="A482" t="inlineStr">
        <is>
          <t>25107525000151_2026_296</t>
        </is>
      </c>
      <c r="B482" s="2" t="inlineStr">
        <is>
          <t>https://pncp.gov.br/app/editais/25107525000151/2026/296</t>
        </is>
      </c>
      <c r="C482" t="inlineStr">
        <is>
          <t>2026-09-27T02:34:43.875618+00:00</t>
        </is>
      </c>
      <c r="D482" t="inlineStr">
        <is>
          <t>GO</t>
        </is>
      </c>
      <c r="E482" t="inlineStr">
        <is>
          <t>GO</t>
        </is>
      </c>
      <c r="F482" t="inlineStr">
        <is>
          <t>Senador Canedo</t>
        </is>
      </c>
      <c r="G482" t="inlineStr">
        <is>
          <t>MUNICIPIO DE SENADOR CANEDO</t>
        </is>
      </c>
      <c r="H482" t="inlineStr">
        <is>
          <t>Municipal</t>
        </is>
      </c>
      <c r="I482" t="inlineStr">
        <is>
          <t>2026-06-10T10:20:29</t>
        </is>
      </c>
      <c r="J482" t="inlineStr">
        <is>
          <t>Pregão - Eletrônico</t>
        </is>
      </c>
      <c r="K482" t="inlineStr">
        <is>
          <t>[Portal de Compras Públicas] - REGISTRO DE PREÇOS PARA FUTURA E EVENTUAL CONTRATAÇÃO DE EMPRESA PARA EXECUTAR SERVIÇOS DE MANUTENÇÃO PREVENTIVA, CORRETIVA, INSTALAÇÃO E DESINSTALAÇÃO DE APARELHOS DE AR CONDICIONADO, INCLUINDO O FORNECIMENTO DE PEÇAS E INSUMOS PARA ATENDER AS NECESSIDADES DA SECRETARIA MUNICIPAL DE ASSISTÊNCIA SOCIAL E CIDADANIA (SEMASC).</t>
        </is>
      </c>
      <c r="L482" t="b">
        <v>1</v>
      </c>
      <c r="M482" t="inlineStr">
        <is>
          <t>climatizacao</t>
        </is>
      </c>
      <c r="N482" t="inlineStr">
        <is>
          <t>climatizacao</t>
        </is>
      </c>
      <c r="O482" t="n">
        <v>520743.18</v>
      </c>
      <c r="P482" t="n">
        <v>264998.5</v>
      </c>
      <c r="Q482" t="n">
        <v>520743.1800000001</v>
      </c>
      <c r="R482" t="n">
        <v>0.4911147948207406</v>
      </c>
      <c r="S482" t="n">
        <v>0</v>
      </c>
      <c r="T482" t="n">
        <v>13</v>
      </c>
      <c r="U482" t="n">
        <v>13</v>
      </c>
      <c r="V482" t="n">
        <v>13</v>
      </c>
      <c r="W482" t="n">
        <v>0</v>
      </c>
      <c r="X482" t="n">
        <v>0</v>
      </c>
      <c r="Y482" t="n">
        <v>0</v>
      </c>
      <c r="Z482" t="n">
        <v>0</v>
      </c>
      <c r="AA482" t="n">
        <v>0</v>
      </c>
      <c r="AB482" t="n">
        <v>0</v>
      </c>
      <c r="AC482" t="n">
        <v>0</v>
      </c>
      <c r="AD482" t="n">
        <v>0</v>
      </c>
      <c r="AE482" t="n">
        <v>1</v>
      </c>
      <c r="AF482" t="inlineStr">
        <is>
          <t>ALCANCE VIBE LTDA:ME</t>
        </is>
      </c>
      <c r="AG482" t="n">
        <v>5</v>
      </c>
      <c r="AH482" t="inlineStr">
        <is>
          <t>pontual</t>
        </is>
      </c>
      <c r="AI482" t="n">
        <v>12</v>
      </c>
      <c r="AJ482" t="n">
        <v>0</v>
      </c>
      <c r="AK482" t="n">
        <v>0</v>
      </c>
      <c r="AL482" t="n">
        <v>0</v>
      </c>
      <c r="AM482" t="n">
        <v>1</v>
      </c>
      <c r="AN482" t="n">
        <v>0</v>
      </c>
      <c r="AP482" t="inlineStr">
        <is>
          <t>do constituída há menos de 02 (dois) anos. 12.2.4. QUALIFICAÇÃO TÉCNICA: 12.2.4.1. Apresentar atestado de capacidade técnica que comprove que a em presa licitante tenha fornecido ou esteja fornecendo bens pertinentes e compatíveis com o objeto deste edital, podendo ser emitido por pessoa jurídica de…</t>
        </is>
      </c>
      <c r="AQ482" t="n">
        <v>0.05760997196353104</v>
      </c>
      <c r="AS482" t="inlineStr">
        <is>
          <t>heuristica automatica confirmada: servico real de climatizacao, sem sinais de exclusao.</t>
        </is>
      </c>
      <c r="AT482" t="n">
        <v>0</v>
      </c>
      <c r="AU482" t="n">
        <v>1</v>
      </c>
    </row>
    <row r="483">
      <c r="A483" t="inlineStr">
        <is>
          <t>25107525000151_2026_331</t>
        </is>
      </c>
      <c r="B483" s="2" t="inlineStr">
        <is>
          <t>https://pncp.gov.br/app/editais/25107525000151/2026/331</t>
        </is>
      </c>
      <c r="C483" t="inlineStr">
        <is>
          <t>2026-09-27T04:25:08.122120+00:00</t>
        </is>
      </c>
      <c r="D483" t="inlineStr">
        <is>
          <t>GO</t>
        </is>
      </c>
      <c r="E483" t="inlineStr">
        <is>
          <t>GO</t>
        </is>
      </c>
      <c r="F483" t="inlineStr">
        <is>
          <t>Senador Canedo</t>
        </is>
      </c>
      <c r="G483" t="inlineStr">
        <is>
          <t>MUNICIPIO DE SENADOR CANEDO</t>
        </is>
      </c>
      <c r="H483" t="inlineStr">
        <is>
          <t>Municipal</t>
        </is>
      </c>
      <c r="I483" t="inlineStr">
        <is>
          <t>2026-07-14T14:19:16</t>
        </is>
      </c>
      <c r="J483" t="inlineStr">
        <is>
          <t>Pregão - Eletrônico</t>
        </is>
      </c>
      <c r="K483" t="inlineStr">
        <is>
          <t>Adesão a  Ata de Registro de Preço n° 001.2025, do Consorcio Público Intermunicipal Multifinalitário da AMAG - CIMAG, cujo o objeto é Registro de Preços na forma de licitação compartilhada para futura contratação de empresa especializada na prestação de serviços por empreitada global para modernização de iluminação pública (fornecimentos de material – mão de obra – encargos – logística, etc.)</t>
        </is>
      </c>
      <c r="L483" t="b">
        <v>1</v>
      </c>
      <c r="M483" t="inlineStr">
        <is>
          <t>iluminacao_publica</t>
        </is>
      </c>
      <c r="N483" t="inlineStr">
        <is>
          <t>iluminacao_publica</t>
        </is>
      </c>
      <c r="O483" t="n">
        <v>14997843.77</v>
      </c>
      <c r="P483" t="n">
        <v>13704069.87</v>
      </c>
      <c r="Q483" t="n">
        <v>13704069.87</v>
      </c>
      <c r="R483" t="n">
        <v>0</v>
      </c>
      <c r="S483" t="n">
        <v>0</v>
      </c>
      <c r="T483" t="n">
        <v>123</v>
      </c>
      <c r="U483" t="n">
        <v>40</v>
      </c>
      <c r="V483" t="n">
        <v>123</v>
      </c>
      <c r="W483" t="n">
        <v>0</v>
      </c>
      <c r="X483" t="n">
        <v>0</v>
      </c>
      <c r="Y483" t="n">
        <v>0</v>
      </c>
      <c r="Z483" t="n">
        <v>0</v>
      </c>
      <c r="AA483" t="n">
        <v>0</v>
      </c>
      <c r="AB483" t="n">
        <v>0</v>
      </c>
      <c r="AC483" t="n">
        <v>0</v>
      </c>
      <c r="AD483" t="n">
        <v>1</v>
      </c>
      <c r="AE483" t="n">
        <v>1</v>
      </c>
      <c r="AF483" t="inlineStr">
        <is>
          <t>CONSTRUTORA SAO BENTO LTDA:EPP</t>
        </is>
      </c>
      <c r="AH483" t="inlineStr">
        <is>
          <t>pontual</t>
        </is>
      </c>
      <c r="AI483" t="n">
        <v>12</v>
      </c>
      <c r="AJ483" t="n">
        <v>0</v>
      </c>
      <c r="AK483" t="n">
        <v>0</v>
      </c>
      <c r="AL483" t="n">
        <v>0</v>
      </c>
      <c r="AM483" t="n">
        <v>0</v>
      </c>
      <c r="AN483" t="n">
        <v>0</v>
      </c>
      <c r="AP483" t="inlineStr">
        <is>
          <t>inado e carimbado pelo responsável e órgão gerenciador. Será admitida, para fins de comprovação de quantitativo mínimo, a apresentação e o somatório de diferent es atestados executados de forma concomitante. 12.1.4. Os atestados de capacidade técnica poderão ser apresentados em nome da matriz ou da…</t>
        </is>
      </c>
      <c r="AQ483" t="n">
        <v>0.05155887885342336</v>
      </c>
      <c r="AR483" t="inlineStr">
        <is>
          <t>equipamento_alto</t>
        </is>
      </c>
      <c r="AS483" t="inlineStr">
        <is>
          <t>Empreitada global de modernização de IP via ata de registro de preços de consórcio (fornecimento de material + mão de obra + encargos), R$15,0 mi estimado / R$13,7 mi homologado; modernização de grande porte, fora do escopo de manutenção corretiva.</t>
        </is>
      </c>
      <c r="AT483" t="n">
        <v>0</v>
      </c>
      <c r="AU483" t="n">
        <v>0</v>
      </c>
    </row>
    <row r="484">
      <c r="A484" t="inlineStr">
        <is>
          <t>25107657000183_2025_24</t>
        </is>
      </c>
      <c r="B484" s="2" t="inlineStr">
        <is>
          <t>https://pncp.gov.br/app/editais/25107657000183/2025/24</t>
        </is>
      </c>
      <c r="C484" t="inlineStr">
        <is>
          <t>2026-09-27T04:45:51.539075+00:00</t>
        </is>
      </c>
      <c r="D484" t="inlineStr">
        <is>
          <t>GO</t>
        </is>
      </c>
      <c r="E484" t="inlineStr">
        <is>
          <t>GO</t>
        </is>
      </c>
      <c r="F484" t="inlineStr">
        <is>
          <t>Turvelândia</t>
        </is>
      </c>
      <c r="G484" t="inlineStr">
        <is>
          <t>MUNICIPIO DE TURVELANDIA</t>
        </is>
      </c>
      <c r="H484" t="inlineStr">
        <is>
          <t>Municipal</t>
        </is>
      </c>
      <c r="I484" t="inlineStr">
        <is>
          <t>2025-10-29T14:43:39</t>
        </is>
      </c>
      <c r="J484" t="inlineStr">
        <is>
          <t>Pregão - Eletrônico</t>
        </is>
      </c>
      <c r="K484" t="inlineStr">
        <is>
          <t>ADESÃO A ATA DE REGISTRO DE PREÇOS Nº 012/2024 DECORRENTE DO PROCESSO ADMINISTRATIVO N. 038/2024, PREGÃO ELETRÔNICO Nº 021/2024, DO CONSÓRCIO PÚBLICO INTERMUNICIPAL NORTE E LESTE MARANHENSE-CONLESTE PARA IMPLANTAÇÃO DE S.G.F EM PRÉDIOS PÚBLICOS, NOS TERMOS DAS RESOLUÇÕES NORMATIVAS ANEEL N. 414/2010; 482/2012 E 685/2015, COM APROVEITAMENTO DO EXCEDENTE NAS DEMAIS UCS DA ADMINISTRAÇÃO, SECRETÁRIA DE EDUCAÇÃO, SECRETÁRIA DE SAÚDE E ILUMINAÇÃO PÚBLICA, CONFORME ESPECIFICAÇÕES TÉCNICAS VIGENTES, NO MUNICIPIO DE TURVELÂNDIA/GO.</t>
        </is>
      </c>
      <c r="L484" t="b">
        <v>1</v>
      </c>
      <c r="M484" t="inlineStr">
        <is>
          <t>iluminacao_publica</t>
        </is>
      </c>
      <c r="N484" t="inlineStr">
        <is>
          <t>iluminacao_publica</t>
        </is>
      </c>
      <c r="O484" t="n">
        <v>5052645.64</v>
      </c>
      <c r="P484" t="n">
        <v>3927640</v>
      </c>
      <c r="Q484" t="n">
        <v>5052645.64</v>
      </c>
      <c r="R484" t="n">
        <v>0.2226567466148288</v>
      </c>
      <c r="S484" t="n">
        <v>0</v>
      </c>
      <c r="T484" t="n">
        <v>1</v>
      </c>
      <c r="U484" t="n">
        <v>1</v>
      </c>
      <c r="V484" t="n">
        <v>1</v>
      </c>
      <c r="W484" t="n">
        <v>0</v>
      </c>
      <c r="X484" t="n">
        <v>0</v>
      </c>
      <c r="Y484" t="n">
        <v>0</v>
      </c>
      <c r="Z484" t="n">
        <v>0</v>
      </c>
      <c r="AA484" t="n">
        <v>0</v>
      </c>
      <c r="AB484" t="n">
        <v>0</v>
      </c>
      <c r="AC484" t="n">
        <v>0</v>
      </c>
      <c r="AD484" t="n">
        <v>0</v>
      </c>
      <c r="AE484" t="n">
        <v>1</v>
      </c>
      <c r="AF484" t="inlineStr">
        <is>
          <t>IPS CONLESTE LTDA:Demais</t>
        </is>
      </c>
      <c r="AH484" t="inlineStr">
        <is>
          <t>indefinido</t>
        </is>
      </c>
      <c r="AJ484" t="n">
        <v>0</v>
      </c>
      <c r="AK484" t="n">
        <v>0</v>
      </c>
      <c r="AL484" t="n">
        <v>0</v>
      </c>
      <c r="AM484" t="n">
        <v>0</v>
      </c>
      <c r="AN484" t="n">
        <v>0</v>
      </c>
      <c r="AQ484" t="n">
        <v>0</v>
      </c>
      <c r="AR484" t="inlineStr">
        <is>
          <t>obra_grande</t>
        </is>
      </c>
      <c r="AS484" t="inlineStr">
        <is>
          <t>Objeto sugere implantação/ampliação de rede e valor estimado ultrapassa R$ 1,5 milhão.</t>
        </is>
      </c>
      <c r="AT484" t="n">
        <v>0</v>
      </c>
      <c r="AU484" t="n">
        <v>0</v>
      </c>
    </row>
    <row r="485">
      <c r="A485" t="inlineStr">
        <is>
          <t>25107657000183_2025_41</t>
        </is>
      </c>
      <c r="B485" s="2" t="inlineStr">
        <is>
          <t>https://pncp.gov.br/app/editais/25107657000183/2025/41</t>
        </is>
      </c>
      <c r="C485" t="inlineStr">
        <is>
          <t>2026-09-27T04:43:49.190964+00:00</t>
        </is>
      </c>
      <c r="D485" t="inlineStr">
        <is>
          <t>GO</t>
        </is>
      </c>
      <c r="E485" t="inlineStr">
        <is>
          <t>GO</t>
        </is>
      </c>
      <c r="F485" t="inlineStr">
        <is>
          <t>Turvelândia</t>
        </is>
      </c>
      <c r="G485" t="inlineStr">
        <is>
          <t>MUNICIPIO DE TURVELANDIA</t>
        </is>
      </c>
      <c r="H485" t="inlineStr">
        <is>
          <t>Municipal</t>
        </is>
      </c>
      <c r="I485" t="inlineStr">
        <is>
          <t>2025-12-03T10:40:11</t>
        </is>
      </c>
      <c r="J485" t="inlineStr">
        <is>
          <t>Pregão - Eletrônico</t>
        </is>
      </c>
      <c r="K485" t="inlineStr">
        <is>
          <t>CONTRATAÇÃO DE EMPRESA ESPECIALIZADA NA PRESTAÇÃO DE SERVIÇOS DE LOCAÇÃO DE ESTRUTURAS TIPO: PALCO, SOM, ILUMINAÇÃO, PAINÉIS DE LED, CAMARINS, GERADORES DE ENERGIA, SEGURANÇA DESARMADA(NOTURNO) E OUTROS, PARA REALIZAÇÃO DO RÉVEILLON 2025/2026 QUE SERÁ REALIZADO NOS DIAS 30 E 31 DE DEZEMBRO NO MUNICÍPIO DE TURVELÂNDIA/GOIÁS.</t>
        </is>
      </c>
      <c r="L485" t="b">
        <v>0</v>
      </c>
      <c r="M485" t="inlineStr">
        <is>
          <t>iluminacao_publica</t>
        </is>
      </c>
      <c r="N485" t="inlineStr">
        <is>
          <t>iluminacao_publica</t>
        </is>
      </c>
      <c r="O485" t="n">
        <v>399310.1</v>
      </c>
      <c r="P485" t="n">
        <v>250000</v>
      </c>
      <c r="Q485" t="n">
        <v>399310.1</v>
      </c>
      <c r="R485" t="n">
        <v>0.373920168811157</v>
      </c>
      <c r="S485" t="n">
        <v>0</v>
      </c>
      <c r="T485" t="n">
        <v>18</v>
      </c>
      <c r="U485" t="n">
        <v>18</v>
      </c>
      <c r="V485" t="n">
        <v>18</v>
      </c>
      <c r="W485" t="n">
        <v>0</v>
      </c>
      <c r="X485" t="n">
        <v>0</v>
      </c>
      <c r="Y485" t="n">
        <v>0</v>
      </c>
      <c r="Z485" t="n">
        <v>0</v>
      </c>
      <c r="AA485" t="n">
        <v>0</v>
      </c>
      <c r="AB485" t="n">
        <v>0</v>
      </c>
      <c r="AC485" t="n">
        <v>0</v>
      </c>
      <c r="AD485" t="n">
        <v>0</v>
      </c>
      <c r="AE485" t="n">
        <v>1</v>
      </c>
      <c r="AF485" t="inlineStr">
        <is>
          <t>M &amp; Q7 EVENTOS LTDA:ME</t>
        </is>
      </c>
      <c r="AH485" t="inlineStr">
        <is>
          <t>indefinido</t>
        </is>
      </c>
      <c r="AJ485" t="n">
        <v>0</v>
      </c>
      <c r="AK485" t="n">
        <v>0</v>
      </c>
      <c r="AL485" t="n">
        <v>0</v>
      </c>
      <c r="AM485" t="n">
        <v>0</v>
      </c>
      <c r="AN485" t="n">
        <v>0</v>
      </c>
      <c r="AQ485" t="n">
        <v>0</v>
      </c>
      <c r="AR485" t="inlineStr">
        <is>
          <t>equipamento_alto</t>
        </is>
      </c>
      <c r="AS485" t="inlineStr">
        <is>
          <t>Objeto envolve gerador/estrutura de evento ou fração de material &gt; 40% associada a equipamentos de grande porte.</t>
        </is>
      </c>
      <c r="AT485" t="n">
        <v>0</v>
      </c>
      <c r="AU485" t="n">
        <v>0</v>
      </c>
    </row>
    <row r="486">
      <c r="A486" t="inlineStr">
        <is>
          <t>25107657000183_2026_60</t>
        </is>
      </c>
      <c r="B486" s="2" t="inlineStr">
        <is>
          <t>https://pncp.gov.br/app/editais/25107657000183/2026/60</t>
        </is>
      </c>
      <c r="C486" t="inlineStr">
        <is>
          <t>2026-09-27T04:30:41.248435+00:00</t>
        </is>
      </c>
      <c r="D486" t="inlineStr">
        <is>
          <t>GO</t>
        </is>
      </c>
      <c r="E486" t="inlineStr">
        <is>
          <t>GO</t>
        </is>
      </c>
      <c r="F486" t="inlineStr">
        <is>
          <t>Turvelândia</t>
        </is>
      </c>
      <c r="G486" t="inlineStr">
        <is>
          <t>MUNICIPIO DE TURVELANDIA</t>
        </is>
      </c>
      <c r="H486" t="inlineStr">
        <is>
          <t>Municipal</t>
        </is>
      </c>
      <c r="I486" t="inlineStr">
        <is>
          <t>2026-06-03T10:48:03</t>
        </is>
      </c>
      <c r="J486" t="inlineStr">
        <is>
          <t>Pregão - Eletrônico</t>
        </is>
      </c>
      <c r="K486" t="inlineStr">
        <is>
          <t>Contratação de empresa especializada para locação de estrutura completa para realização de evento, contemplando som, iluminação, palco, banheiros, fechamentos, geradores, estrutura completa para a realização de rodeio e shows e demais serviços especificados no Termo de Referência – Anexo I do Edital, para realização da 17º Expotur promovida pelo Município de Turvelândia/Go.</t>
        </is>
      </c>
      <c r="L486" t="b">
        <v>0</v>
      </c>
      <c r="M486" t="inlineStr">
        <is>
          <t>iluminacao_publica</t>
        </is>
      </c>
      <c r="N486" t="inlineStr">
        <is>
          <t>iluminacao_publica</t>
        </is>
      </c>
      <c r="O486" t="n">
        <v>2477950.79</v>
      </c>
      <c r="P486" t="n">
        <v>730314</v>
      </c>
      <c r="Q486" t="n">
        <v>1699968.9631</v>
      </c>
      <c r="R486" t="n">
        <v>0.5703956861258065</v>
      </c>
      <c r="S486" t="n">
        <v>0</v>
      </c>
      <c r="T486" t="n">
        <v>50</v>
      </c>
      <c r="U486" t="n">
        <v>40</v>
      </c>
      <c r="V486" t="n">
        <v>50</v>
      </c>
      <c r="W486" t="n">
        <v>0</v>
      </c>
      <c r="X486" t="n">
        <v>0</v>
      </c>
      <c r="Y486" t="n">
        <v>0</v>
      </c>
      <c r="Z486" t="n">
        <v>0</v>
      </c>
      <c r="AA486" t="n">
        <v>0</v>
      </c>
      <c r="AB486" t="n">
        <v>0</v>
      </c>
      <c r="AC486" t="n">
        <v>0</v>
      </c>
      <c r="AD486" t="n">
        <v>0</v>
      </c>
      <c r="AE486" t="n">
        <v>1</v>
      </c>
      <c r="AF486" t="inlineStr">
        <is>
          <t>SOMAR PRODUCOES E EVENTOS LTDA:ME</t>
        </is>
      </c>
      <c r="AH486" t="inlineStr">
        <is>
          <t>indefinido</t>
        </is>
      </c>
      <c r="AJ486" t="n">
        <v>0</v>
      </c>
      <c r="AK486" t="n">
        <v>0</v>
      </c>
      <c r="AL486" t="n">
        <v>0</v>
      </c>
      <c r="AM486" t="n">
        <v>0</v>
      </c>
      <c r="AN486" t="n">
        <v>0</v>
      </c>
      <c r="AQ486" t="n">
        <v>1</v>
      </c>
      <c r="AR486" t="inlineStr">
        <is>
          <t>mencao_passagem</t>
        </is>
      </c>
      <c r="AS486" t="inlineStr">
        <is>
          <t>Locação de estrutura completa para rodeio/shows (som, iluminação, palco); evento, não manutenção de IP.</t>
        </is>
      </c>
      <c r="AT486" t="n">
        <v>1</v>
      </c>
      <c r="AU486" t="n">
        <v>0</v>
      </c>
    </row>
    <row r="487">
      <c r="A487" t="inlineStr">
        <is>
          <t>25141524000123_2025_100</t>
        </is>
      </c>
      <c r="B487" s="2" t="inlineStr">
        <is>
          <t>https://pncp.gov.br/app/editais/25141524000123/2025/100</t>
        </is>
      </c>
      <c r="C487" t="inlineStr">
        <is>
          <t>2026-09-27T02:46:00.797044+00:00</t>
        </is>
      </c>
      <c r="D487" t="inlineStr">
        <is>
          <t>GO</t>
        </is>
      </c>
      <c r="E487" t="inlineStr">
        <is>
          <t>GO</t>
        </is>
      </c>
      <c r="F487" t="inlineStr">
        <is>
          <t>Goiânia</t>
        </is>
      </c>
      <c r="G487" t="inlineStr">
        <is>
          <t>SECRETARIA MUNICIPAL DE SAUDE</t>
        </is>
      </c>
      <c r="H487" t="inlineStr">
        <is>
          <t>Municipal</t>
        </is>
      </c>
      <c r="I487" t="inlineStr">
        <is>
          <t>2025-10-10T07:19:12</t>
        </is>
      </c>
      <c r="J487" t="inlineStr">
        <is>
          <t>Pregão - Eletrônico</t>
        </is>
      </c>
      <c r="K487" t="inlineStr">
        <is>
          <t>Contratação de empresa, por meio de SRPREÇOS, para realização de serviços técnicos especializados em processos de planejamento, especificação, programação e execução de manutenção preventiva e corretiva, de equipamentos de climatização, purificadores de água, e refrigeradores com aplicação de PMOC, com fornecimento de peças, componentes e acessórios necessários ao perfeito funcionamento, além de desinstalação e reinstalação de equipamentos de climatização</t>
        </is>
      </c>
      <c r="L487" t="b">
        <v>1</v>
      </c>
      <c r="M487" t="inlineStr">
        <is>
          <t>climatizacao</t>
        </is>
      </c>
      <c r="N487" t="inlineStr">
        <is>
          <t>climatizacao</t>
        </is>
      </c>
      <c r="O487" t="n">
        <v>9204961</v>
      </c>
      <c r="P487" t="n">
        <v>7360520</v>
      </c>
      <c r="Q487" t="n">
        <v>9204961</v>
      </c>
      <c r="R487" t="n">
        <v>0.2003746675298244</v>
      </c>
      <c r="S487" t="n">
        <v>0</v>
      </c>
      <c r="T487" t="n">
        <v>6</v>
      </c>
      <c r="U487" t="n">
        <v>6</v>
      </c>
      <c r="V487" t="n">
        <v>6</v>
      </c>
      <c r="W487" t="n">
        <v>0</v>
      </c>
      <c r="X487" t="n">
        <v>0</v>
      </c>
      <c r="Y487" t="n">
        <v>0</v>
      </c>
      <c r="Z487" t="n">
        <v>0</v>
      </c>
      <c r="AA487" t="n">
        <v>0</v>
      </c>
      <c r="AB487" t="n">
        <v>0</v>
      </c>
      <c r="AC487" t="n">
        <v>0</v>
      </c>
      <c r="AD487" t="n">
        <v>0</v>
      </c>
      <c r="AE487" t="n">
        <v>1</v>
      </c>
      <c r="AF487" t="inlineStr">
        <is>
          <t>HEBROM COMERCIO E SERVICOS LTDA:ME</t>
        </is>
      </c>
      <c r="AH487" t="inlineStr">
        <is>
          <t>pontual</t>
        </is>
      </c>
      <c r="AJ487" t="n">
        <v>0</v>
      </c>
      <c r="AK487" t="n">
        <v>0</v>
      </c>
      <c r="AL487" t="n">
        <v>0</v>
      </c>
      <c r="AM487" t="n">
        <v>0</v>
      </c>
      <c r="AN487" t="n">
        <v>0</v>
      </c>
      <c r="AQ487" t="n">
        <v>0</v>
      </c>
      <c r="AS487" t="inlineStr">
        <is>
          <t>heuristica automatica confirmada: servico real de climatizacao, sem sinais de exclusao.</t>
        </is>
      </c>
      <c r="AT487" t="n">
        <v>0</v>
      </c>
      <c r="AU487" t="n">
        <v>1</v>
      </c>
    </row>
    <row r="488">
      <c r="A488" t="inlineStr">
        <is>
          <t>25269069000146_2026_37</t>
        </is>
      </c>
      <c r="B488" s="2" t="inlineStr">
        <is>
          <t>https://pncp.gov.br/app/editais/25269069000146/2026/37</t>
        </is>
      </c>
      <c r="C488" t="inlineStr">
        <is>
          <t>2026-09-27T05:55:18.629273+00:00</t>
        </is>
      </c>
      <c r="D488" t="inlineStr">
        <is>
          <t>MG</t>
        </is>
      </c>
      <c r="E488" t="inlineStr">
        <is>
          <t>vizinhos</t>
        </is>
      </c>
      <c r="F488" t="inlineStr">
        <is>
          <t>Três Pontas</t>
        </is>
      </c>
      <c r="G488" t="inlineStr">
        <is>
          <t>SERVICO AUTONOMO DE AGUA E ESGOTO</t>
        </is>
      </c>
      <c r="H488" t="inlineStr">
        <is>
          <t>Municipal</t>
        </is>
      </c>
      <c r="I488" t="inlineStr">
        <is>
          <t>2026-07-09T09:50:46</t>
        </is>
      </c>
      <c r="J488" t="inlineStr">
        <is>
          <t>Pregão - Eletrônico</t>
        </is>
      </c>
      <c r="K488" t="inlineStr">
        <is>
          <t>Registro de Preços para futura e eventual locação de escavadeira, retroescavadeira e caminhão munck para atender as demandas da autarquia.</t>
        </is>
      </c>
      <c r="L488" t="b">
        <v>1</v>
      </c>
      <c r="M488" t="inlineStr">
        <is>
          <t>munck</t>
        </is>
      </c>
      <c r="N488" t="inlineStr">
        <is>
          <t>munck</t>
        </is>
      </c>
      <c r="O488" t="n">
        <v>248500</v>
      </c>
      <c r="P488" t="n">
        <v>218300</v>
      </c>
      <c r="Q488" t="n">
        <v>248500</v>
      </c>
      <c r="R488" t="n">
        <v>0.1215291750503018</v>
      </c>
      <c r="S488" t="n">
        <v>0</v>
      </c>
      <c r="T488" t="n">
        <v>3</v>
      </c>
      <c r="U488" t="n">
        <v>3</v>
      </c>
      <c r="V488" t="n">
        <v>3</v>
      </c>
      <c r="W488" t="n">
        <v>0</v>
      </c>
      <c r="X488" t="n">
        <v>0</v>
      </c>
      <c r="Y488" t="n">
        <v>0</v>
      </c>
      <c r="Z488" t="n">
        <v>0</v>
      </c>
      <c r="AA488" t="n">
        <v>0</v>
      </c>
      <c r="AB488" t="n">
        <v>1</v>
      </c>
      <c r="AC488" t="n">
        <v>0</v>
      </c>
      <c r="AD488" t="n">
        <v>0</v>
      </c>
      <c r="AE488" t="n">
        <v>3</v>
      </c>
      <c r="AF488" t="inlineStr">
        <is>
          <t>JF LOCADORA DE MAQUINAS LTDA:ME; ADAIR CONSTRUCTION LTDA:ME; GM LOCACOES E SERVICOS LTDA:ME</t>
        </is>
      </c>
      <c r="AH488" t="inlineStr">
        <is>
          <t>pontual</t>
        </is>
      </c>
      <c r="AJ488" t="n">
        <v>0</v>
      </c>
      <c r="AK488" t="n">
        <v>0</v>
      </c>
      <c r="AL488" t="n">
        <v>0</v>
      </c>
      <c r="AM488" t="n">
        <v>0</v>
      </c>
      <c r="AN488" t="n">
        <v>0</v>
      </c>
      <c r="AQ488" t="n">
        <v>1</v>
      </c>
      <c r="AS488" t="inlineStr">
        <is>
          <t>RECLASSIFICADO parcialmente de fornecimento_puro: RP de locação de frota mista (escavadeira+retroescavadeira+munck), mas o item 3 é especificamente 'LOCAÇÃO DE CAMINHÃO MUNCK' por hora, com vencedor e preço próprios (100h, R$290,00/h estimado -&gt; R$288,00/h homologado) -- disputável isoladamente; itens mal codificados como material pelo órgão.</t>
        </is>
      </c>
      <c r="AT488" t="n">
        <v>0</v>
      </c>
      <c r="AU488" t="n">
        <v>1</v>
      </c>
    </row>
    <row r="489">
      <c r="A489" t="inlineStr">
        <is>
          <t>25269069000146_2026_47</t>
        </is>
      </c>
      <c r="B489" s="2" t="inlineStr">
        <is>
          <t>https://pncp.gov.br/app/editais/25269069000146/2026/47</t>
        </is>
      </c>
      <c r="C489" t="inlineStr">
        <is>
          <t>2026-09-27T05:51:10.532570+00:00</t>
        </is>
      </c>
      <c r="D489" t="inlineStr">
        <is>
          <t>MG</t>
        </is>
      </c>
      <c r="E489" t="inlineStr">
        <is>
          <t>vizinhos</t>
        </is>
      </c>
      <c r="F489" t="inlineStr">
        <is>
          <t>Três Pontas</t>
        </is>
      </c>
      <c r="G489" t="inlineStr">
        <is>
          <t>SERVICO AUTONOMO DE AGUA E ESGOTO</t>
        </is>
      </c>
      <c r="H489" t="inlineStr">
        <is>
          <t>Municipal</t>
        </is>
      </c>
      <c r="I489" t="inlineStr">
        <is>
          <t>2026-08-21T13:57:45</t>
        </is>
      </c>
      <c r="J489" t="inlineStr">
        <is>
          <t>Pregão - Eletrônico</t>
        </is>
      </c>
      <c r="K489" t="inlineStr">
        <is>
          <t>Aquisição de ferramentas elétricas, motorizadas, manuais e demais materiais de consumo para atender as demandas da autarquia.</t>
        </is>
      </c>
      <c r="L489" t="b">
        <v>0</v>
      </c>
      <c r="M489" t="inlineStr">
        <is>
          <t>eletrica_predial</t>
        </is>
      </c>
      <c r="N489" t="inlineStr">
        <is>
          <t>eletrica_predial</t>
        </is>
      </c>
      <c r="O489" t="n">
        <v>128480.26</v>
      </c>
      <c r="P489" t="n">
        <v>35146.53</v>
      </c>
      <c r="Q489" t="n">
        <v>50516.17</v>
      </c>
      <c r="R489" t="n">
        <v>0.3042518860792495</v>
      </c>
      <c r="S489" t="n">
        <v>0</v>
      </c>
      <c r="T489" t="n">
        <v>63</v>
      </c>
      <c r="U489" t="n">
        <v>40</v>
      </c>
      <c r="V489" t="n">
        <v>58</v>
      </c>
      <c r="W489" t="n">
        <v>0</v>
      </c>
      <c r="X489" t="n">
        <v>5</v>
      </c>
      <c r="Y489" t="n">
        <v>0</v>
      </c>
      <c r="Z489" t="n">
        <v>1</v>
      </c>
      <c r="AA489" t="n">
        <v>0</v>
      </c>
      <c r="AB489" t="n">
        <v>0</v>
      </c>
      <c r="AC489" t="n">
        <v>0</v>
      </c>
      <c r="AD489" t="n">
        <v>0</v>
      </c>
      <c r="AE489" t="n">
        <v>8</v>
      </c>
      <c r="AF489" t="inlineStr">
        <is>
          <t>FABRICA DE PRE MOLDADOS NOSSA SENHORA DE FATIMA LTDA:Demais; COMPRE BEM DISTRIBUIDORA LTDA:Demais; GRM MAQUINAS E LOCACOES LTDA:Demais; RENATO ISIDORO ME:ME; CASA 500 MATERIAIS DE CONSTRUÇÃO LTDA:Demais; MCA ASSESSORIA, IMPORTACAO E COMERCIO LTDA:Demais; DIXINI COMERCIO E SUPRIMENTOS LTDA:Demais; A FRENTE SOLUCOES INTEGRADAS LTDA:Demais</t>
        </is>
      </c>
      <c r="AH489" t="inlineStr">
        <is>
          <t>pontual</t>
        </is>
      </c>
      <c r="AJ489" t="n">
        <v>0</v>
      </c>
      <c r="AK489" t="n">
        <v>0</v>
      </c>
      <c r="AL489" t="n">
        <v>0</v>
      </c>
      <c r="AM489" t="n">
        <v>0</v>
      </c>
      <c r="AN489" t="n">
        <v>0</v>
      </c>
      <c r="AQ489" t="n">
        <v>1</v>
      </c>
      <c r="AR489" t="inlineStr">
        <is>
          <t>fornecimento_puro</t>
        </is>
      </c>
      <c r="AS489" t="inlineStr">
        <is>
          <t>Confirmada exclusao automatica (fornecimento_puro): 63 item(ns), todos classificados como material (sem servico).</t>
        </is>
      </c>
      <c r="AT489" t="n">
        <v>0</v>
      </c>
      <c r="AU489" t="n">
        <v>0</v>
      </c>
    </row>
    <row r="490">
      <c r="A490" t="inlineStr">
        <is>
          <t>25437484000161_2026_64</t>
        </is>
      </c>
      <c r="B490" s="2" t="inlineStr">
        <is>
          <t>https://pncp.gov.br/app/editais/25437484000161/2026/64</t>
        </is>
      </c>
      <c r="C490" t="inlineStr">
        <is>
          <t>2026-09-27T05:52:42.963343+00:00</t>
        </is>
      </c>
      <c r="D490" t="inlineStr">
        <is>
          <t>MG</t>
        </is>
      </c>
      <c r="E490" t="inlineStr">
        <is>
          <t>vizinhos</t>
        </is>
      </c>
      <c r="F490" t="inlineStr">
        <is>
          <t>Uberaba</t>
        </is>
      </c>
      <c r="G490" t="inlineStr">
        <is>
          <t>UNIVERSIDADE FEDERAL DO TRIANGULO MINEIRO</t>
        </is>
      </c>
      <c r="H490" t="inlineStr">
        <is>
          <t>Federal</t>
        </is>
      </c>
      <c r="I490" t="inlineStr">
        <is>
          <t>2026-07-08T04:00:58</t>
        </is>
      </c>
      <c r="J490" t="inlineStr">
        <is>
          <t>Pregão - Eletrônico</t>
        </is>
      </c>
      <c r="K490" t="inlineStr">
        <is>
          <t>A contratação de serviços contínuos para operação e manutenção predial preventiva e corretiva, com dedicação exclusiva de mão de obra e fornecimento de peças e insumos. Esses serviços são necessários para garantir a conservação e manutenção do Campus Universitário de Iturama. A necessidade da contratação decorre do encerramento da vigência do contrato nº 36/2020.</t>
        </is>
      </c>
      <c r="L490" t="b">
        <v>0</v>
      </c>
      <c r="M490" t="inlineStr">
        <is>
          <t>manutencao_predial</t>
        </is>
      </c>
      <c r="N490" t="inlineStr">
        <is>
          <t>manutencao_predial</t>
        </is>
      </c>
      <c r="O490" t="n">
        <v>1311252.88</v>
      </c>
      <c r="P490" t="n">
        <v>1173229.17</v>
      </c>
      <c r="Q490" t="n">
        <v>1311252.88</v>
      </c>
      <c r="R490" t="n">
        <v>0.1052609394459443</v>
      </c>
      <c r="S490" t="n">
        <v>0</v>
      </c>
      <c r="T490" t="n">
        <v>1</v>
      </c>
      <c r="U490" t="n">
        <v>1</v>
      </c>
      <c r="V490" t="n">
        <v>1</v>
      </c>
      <c r="W490" t="n">
        <v>0</v>
      </c>
      <c r="X490" t="n">
        <v>0</v>
      </c>
      <c r="Y490" t="n">
        <v>0</v>
      </c>
      <c r="Z490" t="n">
        <v>0</v>
      </c>
      <c r="AA490" t="n">
        <v>0</v>
      </c>
      <c r="AB490" t="n">
        <v>0</v>
      </c>
      <c r="AC490" t="n">
        <v>0</v>
      </c>
      <c r="AD490" t="n">
        <v>0</v>
      </c>
      <c r="AE490" t="n">
        <v>1</v>
      </c>
      <c r="AF490" t="inlineStr">
        <is>
          <t>K8.COM ENGENHARIA E SERVICOS LTDA:Demais</t>
        </is>
      </c>
      <c r="AH490" t="inlineStr">
        <is>
          <t>pontual</t>
        </is>
      </c>
      <c r="AJ490" t="n">
        <v>0</v>
      </c>
      <c r="AK490" t="n">
        <v>0</v>
      </c>
      <c r="AL490" t="n">
        <v>0</v>
      </c>
      <c r="AM490" t="n">
        <v>0</v>
      </c>
      <c r="AN490" t="n">
        <v>0</v>
      </c>
      <c r="AQ490" t="n">
        <v>0</v>
      </c>
      <c r="AT490" t="n">
        <v>0</v>
      </c>
      <c r="AU490" t="n">
        <v>1</v>
      </c>
    </row>
    <row r="491">
      <c r="A491" t="inlineStr">
        <is>
          <t>26040238000134_2026_29</t>
        </is>
      </c>
      <c r="B491" s="2" t="inlineStr">
        <is>
          <t>https://pncp.gov.br/app/editais/26040238000134/2026/29</t>
        </is>
      </c>
      <c r="C491" t="inlineStr">
        <is>
          <t>2026-09-27T05:53:45.986378+00:00</t>
        </is>
      </c>
      <c r="D491" t="inlineStr">
        <is>
          <t>MG</t>
        </is>
      </c>
      <c r="E491" t="inlineStr">
        <is>
          <t>vizinhos</t>
        </is>
      </c>
      <c r="F491" t="inlineStr">
        <is>
          <t>Iturama</t>
        </is>
      </c>
      <c r="G491" t="inlineStr">
        <is>
          <t>ITURAMA CAMARA MUNICIPAL</t>
        </is>
      </c>
      <c r="H491" t="inlineStr">
        <is>
          <t>Municipal</t>
        </is>
      </c>
      <c r="I491" t="inlineStr">
        <is>
          <t>2026-06-26T17:14:48</t>
        </is>
      </c>
      <c r="J491" t="inlineStr">
        <is>
          <t>Pregão - Eletrônico</t>
        </is>
      </c>
      <c r="K491" t="inlineStr">
        <is>
          <t>Escolha da proposta mais vantajosa Registro de Preços para futura e eventual aquisição de materiais de consumo diversos, destinados ao uso em serviços de manutenção predial, hidráulica, elétrica, de segurança e reparos em gesso, incluindo insumos para pintura, reparos em calhas e telhados, instalações elétricas e hidraulicas, além de equipamentos de proteção individual para uso dos servidores da Camara Municipal, pelo período de 12 (doze) meses, conforme artigo 84 da Lei Federal n° 14.133, de 2021, especificacões quantidades e condições gerais constantes no Anexo I - Termo de Referência.</t>
        </is>
      </c>
      <c r="L491" t="b">
        <v>1</v>
      </c>
      <c r="M491" t="inlineStr">
        <is>
          <t>eletrica_predial</t>
        </is>
      </c>
      <c r="N491" t="inlineStr">
        <is>
          <t>eletrica_predial</t>
        </is>
      </c>
      <c r="O491" t="n">
        <v>41300.94</v>
      </c>
      <c r="P491" t="n">
        <v>14660.13</v>
      </c>
      <c r="Q491" t="n">
        <v>19094.04</v>
      </c>
      <c r="R491" t="n">
        <v>0.2322143454187799</v>
      </c>
      <c r="S491" t="n">
        <v>0</v>
      </c>
      <c r="T491" t="n">
        <v>55</v>
      </c>
      <c r="U491" t="n">
        <v>40</v>
      </c>
      <c r="V491" t="n">
        <v>55</v>
      </c>
      <c r="W491" t="n">
        <v>0</v>
      </c>
      <c r="X491" t="n">
        <v>0</v>
      </c>
      <c r="Y491" t="n">
        <v>0</v>
      </c>
      <c r="Z491" t="n">
        <v>0</v>
      </c>
      <c r="AA491" t="n">
        <v>0</v>
      </c>
      <c r="AB491" t="n">
        <v>0</v>
      </c>
      <c r="AC491" t="n">
        <v>0</v>
      </c>
      <c r="AD491" t="n">
        <v>0</v>
      </c>
      <c r="AE491" t="n">
        <v>3</v>
      </c>
      <c r="AF491" t="inlineStr">
        <is>
          <t>COMERCIO DE TINTAS ITURAMA LTDA TÍTULO DO ESTABELECIMENTO (NOME DE FANTASIA):Não Informado; POTENCIA DINIZ MATERIAIS DE CONSTRUCAO LTDA.:Não Informado; SAO BENEDITO MATERIAIS PARA CONSTRUCAO LTDA:Não Informado</t>
        </is>
      </c>
      <c r="AH491" t="inlineStr">
        <is>
          <t>pontual</t>
        </is>
      </c>
      <c r="AI491" t="n">
        <v>12</v>
      </c>
      <c r="AJ491" t="n">
        <v>0</v>
      </c>
      <c r="AK491" t="n">
        <v>0</v>
      </c>
      <c r="AL491" t="n">
        <v>0</v>
      </c>
      <c r="AM491" t="n">
        <v>0</v>
      </c>
      <c r="AN491" t="n">
        <v>0</v>
      </c>
      <c r="AQ491" t="n">
        <v>1</v>
      </c>
      <c r="AR491" t="inlineStr">
        <is>
          <t>fornecimento_puro</t>
        </is>
      </c>
      <c r="AS491" t="inlineStr">
        <is>
          <t>Confirmada exclusao automatica (fornecimento_puro): 55 item(ns), todos classificados como material (sem servico).</t>
        </is>
      </c>
      <c r="AT491" t="n">
        <v>1</v>
      </c>
      <c r="AU491" t="n">
        <v>0</v>
      </c>
    </row>
    <row r="492">
      <c r="A492" t="inlineStr">
        <is>
          <t>26867770000120_2026_172</t>
        </is>
      </c>
      <c r="B492" s="2" t="inlineStr">
        <is>
          <t>https://pncp.gov.br/app/editais/26867770000120/2026/172</t>
        </is>
      </c>
      <c r="C492" t="inlineStr">
        <is>
          <t>2026-09-27T03:32:30.973242+00:00</t>
        </is>
      </c>
      <c r="D492" t="inlineStr">
        <is>
          <t>GO</t>
        </is>
      </c>
      <c r="E492" t="inlineStr">
        <is>
          <t>GO</t>
        </is>
      </c>
      <c r="F492" t="inlineStr">
        <is>
          <t>Buriti de Goiás</t>
        </is>
      </c>
      <c r="G492" t="inlineStr">
        <is>
          <t>MUNICIPIO DE BURITI DE GOIAS</t>
        </is>
      </c>
      <c r="H492" t="inlineStr">
        <is>
          <t>Municipal</t>
        </is>
      </c>
      <c r="I492" t="inlineStr">
        <is>
          <t>2026-08-18T15:39:39</t>
        </is>
      </c>
      <c r="J492" t="inlineStr">
        <is>
          <t>Pregão - Eletrônico</t>
        </is>
      </c>
      <c r="K492" t="inlineStr">
        <is>
          <t>Adesão à ata de registro de preços nº 042/2025, derivado do Pregão Eletrônico nº 042/2025, derivado do processo administrativo nº 24660/2025, do município de Abadia de Goiás – Goiás, Contratação de empresa para fornecimento de equipamentos e materiais elétricos em geral para manutenção e reparos da rede de iluminação e prédios públicos do Poder Executivo e demais órgãos da administração do Município de Buriti de Goiás - GO.</t>
        </is>
      </c>
      <c r="L492" t="b">
        <v>1</v>
      </c>
      <c r="M492" t="inlineStr">
        <is>
          <t>iluminacao_publica</t>
        </is>
      </c>
      <c r="N492" t="inlineStr">
        <is>
          <t>iluminacao_publica</t>
        </is>
      </c>
      <c r="O492" t="n">
        <v>610111.41</v>
      </c>
      <c r="P492" t="n">
        <v>158629.43</v>
      </c>
      <c r="Q492" t="n">
        <v>211176.11</v>
      </c>
      <c r="R492" t="n">
        <v>0.2488287145738218</v>
      </c>
      <c r="S492" t="n">
        <v>0</v>
      </c>
      <c r="T492" t="n">
        <v>120</v>
      </c>
      <c r="U492" t="n">
        <v>40</v>
      </c>
      <c r="V492" t="n">
        <v>120</v>
      </c>
      <c r="W492" t="n">
        <v>0</v>
      </c>
      <c r="X492" t="n">
        <v>0</v>
      </c>
      <c r="Y492" t="n">
        <v>0</v>
      </c>
      <c r="Z492" t="n">
        <v>0</v>
      </c>
      <c r="AA492" t="n">
        <v>0</v>
      </c>
      <c r="AB492" t="n">
        <v>0</v>
      </c>
      <c r="AC492" t="n">
        <v>0</v>
      </c>
      <c r="AD492" t="n">
        <v>0</v>
      </c>
      <c r="AE492" t="n">
        <v>1</v>
      </c>
      <c r="AF492" t="inlineStr">
        <is>
          <t>BRASIL ILUMINAÇÃO E CONSTRUÇÃO EIRELI-ME:ME</t>
        </is>
      </c>
      <c r="AH492" t="inlineStr">
        <is>
          <t>pontual</t>
        </is>
      </c>
      <c r="AI492" t="n">
        <v>2</v>
      </c>
      <c r="AJ492" t="n">
        <v>0</v>
      </c>
      <c r="AK492" t="n">
        <v>0</v>
      </c>
      <c r="AL492" t="n">
        <v>0</v>
      </c>
      <c r="AM492" t="n">
        <v>1</v>
      </c>
      <c r="AN492" t="n">
        <v>1</v>
      </c>
      <c r="AQ492" t="n">
        <v>1</v>
      </c>
      <c r="AR492" t="inlineStr">
        <is>
          <t>fornecimento_puro</t>
        </is>
      </c>
      <c r="AS492" t="inlineStr">
        <is>
          <t>Registro de preços/contratação de fornecimento de materiais, sem mão de obra de manutenção contratada.</t>
        </is>
      </c>
      <c r="AT492" t="n">
        <v>1</v>
      </c>
      <c r="AU492" t="n">
        <v>0</v>
      </c>
    </row>
    <row r="493">
      <c r="A493" t="inlineStr">
        <is>
          <t>26867770000120_2026_67</t>
        </is>
      </c>
      <c r="B493" s="2" t="inlineStr">
        <is>
          <t>https://pncp.gov.br/app/editais/26867770000120/2026/67</t>
        </is>
      </c>
      <c r="C493" t="inlineStr">
        <is>
          <t>2026-09-27T04:36:16.540595+00:00</t>
        </is>
      </c>
      <c r="D493" t="inlineStr">
        <is>
          <t>GO</t>
        </is>
      </c>
      <c r="E493" t="inlineStr">
        <is>
          <t>GO</t>
        </is>
      </c>
      <c r="F493" t="inlineStr">
        <is>
          <t>Buriti de Goiás</t>
        </is>
      </c>
      <c r="G493" t="inlineStr">
        <is>
          <t>MUNICIPIO DE BURITI DE GOIAS</t>
        </is>
      </c>
      <c r="H493" t="inlineStr">
        <is>
          <t>Municipal</t>
        </is>
      </c>
      <c r="I493" t="inlineStr">
        <is>
          <t>2026-03-31T17:05:01</t>
        </is>
      </c>
      <c r="J493" t="inlineStr">
        <is>
          <t>Pregão - Eletrônico</t>
        </is>
      </c>
      <c r="K493" t="inlineStr">
        <is>
          <t>Contratação de empresa especializada para locação de estrutura completa para realização de eventos, contemplando som, iluminação palco, banheiros, fechamentos; estrutura completa para rodeio; fornecimento de serviços de segurança e correlatos, conforme especificações constantes nas planilhas e no Termo de Referência – Anexo I do Edital.</t>
        </is>
      </c>
      <c r="L493" t="b">
        <v>0</v>
      </c>
      <c r="M493" t="inlineStr">
        <is>
          <t>iluminacao_publica</t>
        </is>
      </c>
      <c r="N493" t="inlineStr">
        <is>
          <t>iluminacao_publica</t>
        </is>
      </c>
      <c r="O493" t="n">
        <v>1844896.67</v>
      </c>
      <c r="P493" t="n">
        <v>1344814.5</v>
      </c>
      <c r="Q493" t="n">
        <v>1458500.0002</v>
      </c>
      <c r="R493" t="n">
        <v>0.07794686334207107</v>
      </c>
      <c r="S493" t="n">
        <v>0</v>
      </c>
      <c r="T493" t="n">
        <v>51</v>
      </c>
      <c r="U493" t="n">
        <v>40</v>
      </c>
      <c r="V493" t="n">
        <v>51</v>
      </c>
      <c r="W493" t="n">
        <v>0</v>
      </c>
      <c r="X493" t="n">
        <v>0</v>
      </c>
      <c r="Y493" t="n">
        <v>0</v>
      </c>
      <c r="Z493" t="n">
        <v>0</v>
      </c>
      <c r="AA493" t="n">
        <v>0</v>
      </c>
      <c r="AB493" t="n">
        <v>0</v>
      </c>
      <c r="AC493" t="n">
        <v>0</v>
      </c>
      <c r="AD493" t="n">
        <v>0</v>
      </c>
      <c r="AE493" t="n">
        <v>1</v>
      </c>
      <c r="AF493" t="inlineStr">
        <is>
          <t>SOMAR PRODUCOES E EVENTOS LTDA:ME</t>
        </is>
      </c>
      <c r="AH493" t="inlineStr">
        <is>
          <t>pontual</t>
        </is>
      </c>
      <c r="AJ493" t="n">
        <v>0</v>
      </c>
      <c r="AK493" t="n">
        <v>0</v>
      </c>
      <c r="AL493" t="n">
        <v>0</v>
      </c>
      <c r="AM493" t="n">
        <v>0</v>
      </c>
      <c r="AN493" t="n">
        <v>0</v>
      </c>
      <c r="AQ493" t="n">
        <v>0</v>
      </c>
      <c r="AR493" t="inlineStr">
        <is>
          <t>mencao_passagem</t>
        </is>
      </c>
      <c r="AS493" t="inlineStr">
        <is>
          <t>Locação de estrutura completa para eventos/rodeio (som, iluminação palco, banheiros); não é manutenção de IP.</t>
        </is>
      </c>
      <c r="AT493" t="n">
        <v>0</v>
      </c>
      <c r="AU493" t="n">
        <v>0</v>
      </c>
    </row>
    <row r="494">
      <c r="A494" t="inlineStr">
        <is>
          <t>26989350000116_2026_65</t>
        </is>
      </c>
      <c r="B494" s="2" t="inlineStr">
        <is>
          <t>https://pncp.gov.br/app/editais/26989350000116/2026/65</t>
        </is>
      </c>
      <c r="C494" t="inlineStr">
        <is>
          <t>2026-09-27T04:53:50.854560+00:00</t>
        </is>
      </c>
      <c r="D494" t="inlineStr">
        <is>
          <t>DF</t>
        </is>
      </c>
      <c r="E494" t="inlineStr">
        <is>
          <t>vizinhos</t>
        </is>
      </c>
      <c r="F494" t="inlineStr">
        <is>
          <t>Brasília</t>
        </is>
      </c>
      <c r="G494" t="inlineStr">
        <is>
          <t>FUNDACAO NACIONAL DE SAUDE</t>
        </is>
      </c>
      <c r="H494" t="inlineStr">
        <is>
          <t>Federal</t>
        </is>
      </c>
      <c r="I494" t="inlineStr">
        <is>
          <t>2026-08-12T04:00:09</t>
        </is>
      </c>
      <c r="J494" t="inlineStr">
        <is>
          <t>Pregão - Eletrônico</t>
        </is>
      </c>
      <c r="K494" t="inlineStr">
        <is>
          <t>Contratação de serviços contínuos de manutenção preventiva e corretiva em aparelhos de ares condicionados e bebedouros, incluindo o fornecimento de materiais e peças originais, bem como, a utilização de equipamentos adequados e necessários para a execução dos serviços sem regime de dedicação exclusiva de mão de obra, nas dependências da Superintendência Estadual da Funasa, localizada na Prof. Geraldo Von Shosten, 285 – Jaguaribe – João Pessoa/PB.</t>
        </is>
      </c>
      <c r="L494" t="b">
        <v>0</v>
      </c>
      <c r="M494" t="inlineStr">
        <is>
          <t>refrigeracao</t>
        </is>
      </c>
      <c r="N494" t="inlineStr">
        <is>
          <t>refrigeracao</t>
        </is>
      </c>
      <c r="O494" t="n">
        <v>164885.68</v>
      </c>
      <c r="P494" t="n">
        <v>138956</v>
      </c>
      <c r="Q494" t="n">
        <v>164885.68</v>
      </c>
      <c r="R494" t="n">
        <v>0.157258532093266</v>
      </c>
      <c r="S494" t="n">
        <v>0</v>
      </c>
      <c r="T494" t="n">
        <v>8</v>
      </c>
      <c r="U494" t="n">
        <v>8</v>
      </c>
      <c r="V494" t="n">
        <v>8</v>
      </c>
      <c r="W494" t="n">
        <v>0</v>
      </c>
      <c r="X494" t="n">
        <v>0</v>
      </c>
      <c r="Y494" t="n">
        <v>0</v>
      </c>
      <c r="Z494" t="n">
        <v>0</v>
      </c>
      <c r="AA494" t="n">
        <v>0</v>
      </c>
      <c r="AB494" t="n">
        <v>0</v>
      </c>
      <c r="AC494" t="n">
        <v>0</v>
      </c>
      <c r="AD494" t="n">
        <v>0</v>
      </c>
      <c r="AE494" t="n">
        <v>1</v>
      </c>
      <c r="AF494" t="inlineStr">
        <is>
          <t>H A F EMPREENDIMENTOS LTDA:ME</t>
        </is>
      </c>
      <c r="AH494" t="inlineStr">
        <is>
          <t>pontual</t>
        </is>
      </c>
      <c r="AJ494" t="n">
        <v>0</v>
      </c>
      <c r="AK494" t="n">
        <v>0</v>
      </c>
      <c r="AL494" t="n">
        <v>0</v>
      </c>
      <c r="AM494" t="n">
        <v>0</v>
      </c>
      <c r="AN494" t="n">
        <v>0</v>
      </c>
      <c r="AQ494" t="n">
        <v>0</v>
      </c>
      <c r="AR494" t="inlineStr">
        <is>
          <t>fora_do_nucleo</t>
        </is>
      </c>
      <c r="AS494" t="inlineStr">
        <is>
          <t>~92% do valor em manutencao/instalacao de ar-condicionado; bebedouros aparecem como item marginal (~4%).</t>
        </is>
      </c>
      <c r="AT494" t="n">
        <v>0</v>
      </c>
      <c r="AU494" t="n">
        <v>0</v>
      </c>
    </row>
    <row r="495">
      <c r="A495" t="inlineStr">
        <is>
          <t>26989715000102_2025_2471</t>
        </is>
      </c>
      <c r="B495" s="2" t="inlineStr">
        <is>
          <t>https://pncp.gov.br/app/editais/26989715000102/2025/2471</t>
        </is>
      </c>
      <c r="C495" t="inlineStr">
        <is>
          <t>2026-09-27T05:28:00.664033+00:00</t>
        </is>
      </c>
      <c r="D495" t="inlineStr">
        <is>
          <t>MS</t>
        </is>
      </c>
      <c r="E495" t="inlineStr">
        <is>
          <t>vizinhos</t>
        </is>
      </c>
      <c r="F495" t="inlineStr">
        <is>
          <t>Campo Grande</t>
        </is>
      </c>
      <c r="G495" t="inlineStr">
        <is>
          <t>MINISTERIO PUBLICO DA UNIAO</t>
        </is>
      </c>
      <c r="H495" t="inlineStr">
        <is>
          <t>Federal</t>
        </is>
      </c>
      <c r="I495" t="inlineStr">
        <is>
          <t>2025-11-19T07:15:31</t>
        </is>
      </c>
      <c r="J495" t="inlineStr">
        <is>
          <t>Pregão - Eletrônico</t>
        </is>
      </c>
      <c r="K495" t="inlineStr">
        <is>
          <t>Registro de Preços para aquisição de materiais para manutenção predial diversos (materiais elétricos, hidráulicos, ferramentas, EPIs e afins), para atender às necessidades da Procuradoria Regional do Trabalho da 24ª Região</t>
        </is>
      </c>
      <c r="L495" t="b">
        <v>1</v>
      </c>
      <c r="M495" t="inlineStr">
        <is>
          <t>manutencao_predial</t>
        </is>
      </c>
      <c r="N495" t="inlineStr">
        <is>
          <t>manutencao_predial</t>
        </is>
      </c>
      <c r="O495" t="n">
        <v>241144.81</v>
      </c>
      <c r="P495" t="n">
        <v>91019.10000000001</v>
      </c>
      <c r="Q495" t="n">
        <v>109209.95</v>
      </c>
      <c r="R495" t="n">
        <v>0.1665676982729138</v>
      </c>
      <c r="S495" t="n">
        <v>0</v>
      </c>
      <c r="T495" t="n">
        <v>151</v>
      </c>
      <c r="U495" t="n">
        <v>40</v>
      </c>
      <c r="V495" t="n">
        <v>150</v>
      </c>
      <c r="W495" t="n">
        <v>0</v>
      </c>
      <c r="X495" t="n">
        <v>1</v>
      </c>
      <c r="Y495" t="n">
        <v>0</v>
      </c>
      <c r="Z495" t="n">
        <v>1</v>
      </c>
      <c r="AA495" t="n">
        <v>0</v>
      </c>
      <c r="AB495" t="n">
        <v>1</v>
      </c>
      <c r="AC495" t="n">
        <v>0</v>
      </c>
      <c r="AD495" t="n">
        <v>0</v>
      </c>
      <c r="AE495" t="n">
        <v>5</v>
      </c>
      <c r="AF495" t="inlineStr">
        <is>
          <t>DIACO COMERCIO DE MATERIAIS DE CONSTRUCAO E UTILIDADES LTDA:ME; RPF COMERCIAL LTDA:ME; FACILITA LICITA COMERCIO E SERVICO LTDA:ME; N S C COMERCIO E SERVICOS LTDA:ME; SOUL DISTRIBUIDORA DE PRODUTOS E EQUIPAMENTOS INDUSTRIAIS LTDA:ME</t>
        </is>
      </c>
      <c r="AH495" t="inlineStr">
        <is>
          <t>pontual</t>
        </is>
      </c>
      <c r="AJ495" t="n">
        <v>0</v>
      </c>
      <c r="AK495" t="n">
        <v>0</v>
      </c>
      <c r="AL495" t="n">
        <v>0</v>
      </c>
      <c r="AM495" t="n">
        <v>0</v>
      </c>
      <c r="AN495" t="n">
        <v>0</v>
      </c>
      <c r="AQ495" t="n">
        <v>1</v>
      </c>
      <c r="AR495" t="inlineStr">
        <is>
          <t>fornecimento_puro</t>
        </is>
      </c>
      <c r="AS495" t="inlineStr">
        <is>
          <t>151 item(ns), todos classificados como material (sem servico).</t>
        </is>
      </c>
      <c r="AT495" t="n">
        <v>1</v>
      </c>
      <c r="AU495" t="n">
        <v>0</v>
      </c>
    </row>
    <row r="496">
      <c r="A496" t="inlineStr">
        <is>
          <t>26989715000102_2025_606</t>
        </is>
      </c>
      <c r="B496" s="2" t="inlineStr">
        <is>
          <t>https://pncp.gov.br/app/editais/26989715000102/2025/606</t>
        </is>
      </c>
      <c r="C496" t="inlineStr">
        <is>
          <t>2026-09-27T03:26:47.874478+00:00</t>
        </is>
      </c>
      <c r="D496" t="inlineStr">
        <is>
          <t>GO</t>
        </is>
      </c>
      <c r="E496" t="inlineStr">
        <is>
          <t>GO</t>
        </is>
      </c>
      <c r="F496" t="inlineStr">
        <is>
          <t>Goiânia</t>
        </is>
      </c>
      <c r="G496" t="inlineStr">
        <is>
          <t>MINISTERIO PUBLICO DA UNIAO</t>
        </is>
      </c>
      <c r="H496" t="inlineStr">
        <is>
          <t>Federal</t>
        </is>
      </c>
      <c r="I496" t="inlineStr">
        <is>
          <t>2025-04-23T07:38:50</t>
        </is>
      </c>
      <c r="J496" t="inlineStr">
        <is>
          <t>Pregão - Eletrônico</t>
        </is>
      </c>
      <c r="K496" t="inlineStr">
        <is>
          <t>Contratação de empresa especializada na prestação de serviços de manutenção predial integrada, de natureza continuada, a serem executados nas edificações da Procuradoria da República em Goiás – PR-GO (Goiânia, Anápolis e Luziânia), conforme condições e especificações contidas neste Edital e seus anexos.</t>
        </is>
      </c>
      <c r="L496" t="b">
        <v>0</v>
      </c>
      <c r="M496" t="inlineStr">
        <is>
          <t>manutencao_predial</t>
        </is>
      </c>
      <c r="N496" t="inlineStr">
        <is>
          <t>manutencao_predial</t>
        </is>
      </c>
      <c r="O496" t="n">
        <v>1405354.88</v>
      </c>
      <c r="P496" t="n">
        <v>1348796.12</v>
      </c>
      <c r="Q496" t="n">
        <v>1405354.88</v>
      </c>
      <c r="R496" t="n">
        <v>0.04024517992209897</v>
      </c>
      <c r="S496" t="n">
        <v>0</v>
      </c>
      <c r="T496" t="n">
        <v>1</v>
      </c>
      <c r="U496" t="n">
        <v>1</v>
      </c>
      <c r="V496" t="n">
        <v>1</v>
      </c>
      <c r="W496" t="n">
        <v>0</v>
      </c>
      <c r="X496" t="n">
        <v>0</v>
      </c>
      <c r="Y496" t="n">
        <v>0</v>
      </c>
      <c r="Z496" t="n">
        <v>0</v>
      </c>
      <c r="AA496" t="n">
        <v>0</v>
      </c>
      <c r="AB496" t="n">
        <v>0</v>
      </c>
      <c r="AC496" t="n">
        <v>0</v>
      </c>
      <c r="AD496" t="n">
        <v>0</v>
      </c>
      <c r="AE496" t="n">
        <v>1</v>
      </c>
      <c r="AF496" t="inlineStr">
        <is>
          <t>TAFA ENGENHARIA LTDA:Demais</t>
        </is>
      </c>
      <c r="AH496" t="inlineStr">
        <is>
          <t>continuado</t>
        </is>
      </c>
      <c r="AJ496" t="n">
        <v>0</v>
      </c>
      <c r="AK496" t="n">
        <v>0</v>
      </c>
      <c r="AL496" t="n">
        <v>0</v>
      </c>
      <c r="AM496" t="n">
        <v>0</v>
      </c>
      <c r="AN496" t="n">
        <v>0</v>
      </c>
      <c r="AQ496" t="n">
        <v>0</v>
      </c>
      <c r="AT496" t="n">
        <v>0</v>
      </c>
      <c r="AU496" t="n">
        <v>1</v>
      </c>
    </row>
    <row r="497">
      <c r="A497" t="inlineStr">
        <is>
          <t>26989715000102_2026_1070</t>
        </is>
      </c>
      <c r="B497" s="2" t="inlineStr">
        <is>
          <t>https://pncp.gov.br/app/editais/26989715000102/2026/1070</t>
        </is>
      </c>
      <c r="C497" t="inlineStr">
        <is>
          <t>2026-09-27T04:52:38.569132+00:00</t>
        </is>
      </c>
      <c r="D497" t="inlineStr">
        <is>
          <t>DF</t>
        </is>
      </c>
      <c r="E497" t="inlineStr">
        <is>
          <t>vizinhos</t>
        </is>
      </c>
      <c r="F497" t="inlineStr">
        <is>
          <t>Brasília</t>
        </is>
      </c>
      <c r="G497" t="inlineStr">
        <is>
          <t>MINISTERIO PUBLICO DA UNIAO</t>
        </is>
      </c>
      <c r="H497" t="inlineStr">
        <is>
          <t>Federal</t>
        </is>
      </c>
      <c r="I497" t="inlineStr">
        <is>
          <t>2026-07-21T04:03:03</t>
        </is>
      </c>
      <c r="J497" t="inlineStr">
        <is>
          <t>Pregão - Eletrônico</t>
        </is>
      </c>
      <c r="K497" t="inlineStr">
        <is>
          <t>Contratação de pessoa jurídica especializada no ramo de engenharia para prestação de serviços de manutenção do sistema de climatização a serem realizados na Procuradoria de Justiça Militar em Salvador/BA, localizada na Av. Luis Viana Filho (Av. Paralela), 1600 – Setor Militar Urbano, CEP 41720-200 – Salvador – BA, incluindo mão de obra, ferramentas, equipamentos e materiais de consumo, conforme especificações e condições do Edital e seus anexos.</t>
        </is>
      </c>
      <c r="L497" t="b">
        <v>0</v>
      </c>
      <c r="M497" t="inlineStr">
        <is>
          <t>climatizacao</t>
        </is>
      </c>
      <c r="N497" t="inlineStr">
        <is>
          <t>climatizacao</t>
        </is>
      </c>
      <c r="O497" t="n">
        <v>20283.3</v>
      </c>
      <c r="P497" t="n">
        <v>19994.37</v>
      </c>
      <c r="Q497" t="n">
        <v>20283.3</v>
      </c>
      <c r="R497" t="n">
        <v>0.01424472349173955</v>
      </c>
      <c r="S497" t="n">
        <v>0</v>
      </c>
      <c r="T497" t="n">
        <v>1</v>
      </c>
      <c r="U497" t="n">
        <v>1</v>
      </c>
      <c r="V497" t="n">
        <v>1</v>
      </c>
      <c r="W497" t="n">
        <v>0</v>
      </c>
      <c r="X497" t="n">
        <v>0</v>
      </c>
      <c r="Y497" t="n">
        <v>0</v>
      </c>
      <c r="Z497" t="n">
        <v>0</v>
      </c>
      <c r="AA497" t="n">
        <v>1</v>
      </c>
      <c r="AB497" t="n">
        <v>0</v>
      </c>
      <c r="AC497" t="n">
        <v>0</v>
      </c>
      <c r="AD497" t="n">
        <v>0</v>
      </c>
      <c r="AE497" t="n">
        <v>1</v>
      </c>
      <c r="AF497" t="inlineStr">
        <is>
          <t>3R COMERCIO E SERVICOS DE MAQUINAS LTDA:ME</t>
        </is>
      </c>
      <c r="AH497" t="inlineStr">
        <is>
          <t>indefinido</t>
        </is>
      </c>
      <c r="AJ497" t="n">
        <v>0</v>
      </c>
      <c r="AK497" t="n">
        <v>0</v>
      </c>
      <c r="AL497" t="n">
        <v>0</v>
      </c>
      <c r="AM497" t="n">
        <v>0</v>
      </c>
      <c r="AN497" t="n">
        <v>0</v>
      </c>
      <c r="AQ497" t="n">
        <v>0</v>
      </c>
      <c r="AS497" t="inlineStr">
        <is>
          <t>heuristica automatica confirmada: servico real de climatizacao, sem sinais de exclusao.</t>
        </is>
      </c>
      <c r="AT497" t="n">
        <v>0</v>
      </c>
      <c r="AU497" t="n">
        <v>1</v>
      </c>
    </row>
    <row r="498">
      <c r="A498" t="inlineStr">
        <is>
          <t>26989715000102_2026_1206</t>
        </is>
      </c>
      <c r="B498" s="2" t="inlineStr">
        <is>
          <t>https://pncp.gov.br/app/editais/26989715000102/2026/1206</t>
        </is>
      </c>
      <c r="C498" t="inlineStr">
        <is>
          <t>2026-09-27T04:52:01.914063+00:00</t>
        </is>
      </c>
      <c r="D498" t="inlineStr">
        <is>
          <t>DF</t>
        </is>
      </c>
      <c r="E498" t="inlineStr">
        <is>
          <t>vizinhos</t>
        </is>
      </c>
      <c r="F498" t="inlineStr">
        <is>
          <t>Brasília</t>
        </is>
      </c>
      <c r="G498" t="inlineStr">
        <is>
          <t>MINISTERIO PUBLICO DA UNIAO</t>
        </is>
      </c>
      <c r="H498" t="inlineStr">
        <is>
          <t>Federal</t>
        </is>
      </c>
      <c r="I498" t="inlineStr">
        <is>
          <t>2026-08-12T04:00:11</t>
        </is>
      </c>
      <c r="J498" t="inlineStr">
        <is>
          <t>Pregão - Eletrônico</t>
        </is>
      </c>
      <c r="K498" t="inlineStr">
        <is>
          <t>Contratação de empresa especializada para prestação de serviços técnicos continuados de manutenção predial, com disponibilização de mão de obra de dedicação exclusiva e fornecimento de insumos (materiais, ferramentas, equipamentos, serviços e mão de obra) por demanda, compreendendo os serviços de manutenção preventiva, corretiva e preditiva (quando aplicável) dos sistemas prediais (eletricidade, rede estruturada de dados, hidrossanitário, climatização e exaustão, rede de hidrantes, prevenção e alarme contra incêndio, grupo motor-gerador, nobreaks, subestação de energia), além da prestação de serviços de reparos e melhorias relacionados à conservação e adequação das instalações prediais, para atender às necessidades relacionadas ao funcionamento e segurança das instalações, sistemas e equipamentos prediais da Escola Superior do Ministério Público da União (ESMPU), situada no Setor de Grandes Áreas Sul, Quadra 603, Lote 22, Brasília DF, conforme condições, quantidades e exigências estabelecidas neste Edital e seus anexos.</t>
        </is>
      </c>
      <c r="L498" t="b">
        <v>0</v>
      </c>
      <c r="M498" t="inlineStr">
        <is>
          <t>eletrica_predial</t>
        </is>
      </c>
      <c r="N498" t="inlineStr">
        <is>
          <t>eletrica_predial</t>
        </is>
      </c>
      <c r="O498" t="n">
        <v>1325894.76</v>
      </c>
      <c r="P498" t="n">
        <v>1121374.65</v>
      </c>
      <c r="Q498" t="n">
        <v>1325894.76</v>
      </c>
      <c r="R498" t="n">
        <v>0.1542506360007034</v>
      </c>
      <c r="S498" t="n">
        <v>0</v>
      </c>
      <c r="T498" t="n">
        <v>1</v>
      </c>
      <c r="U498" t="n">
        <v>1</v>
      </c>
      <c r="V498" t="n">
        <v>1</v>
      </c>
      <c r="W498" t="n">
        <v>0</v>
      </c>
      <c r="X498" t="n">
        <v>0</v>
      </c>
      <c r="Y498" t="n">
        <v>0</v>
      </c>
      <c r="Z498" t="n">
        <v>0</v>
      </c>
      <c r="AA498" t="n">
        <v>0</v>
      </c>
      <c r="AB498" t="n">
        <v>0</v>
      </c>
      <c r="AC498" t="n">
        <v>0</v>
      </c>
      <c r="AD498" t="n">
        <v>0</v>
      </c>
      <c r="AE498" t="n">
        <v>1</v>
      </c>
      <c r="AF498" t="inlineStr">
        <is>
          <t>TECNICALL ENGENHARIA LTDA:Demais</t>
        </is>
      </c>
      <c r="AH498" t="inlineStr">
        <is>
          <t>continuado</t>
        </is>
      </c>
      <c r="AJ498" t="n">
        <v>0</v>
      </c>
      <c r="AK498" t="n">
        <v>0</v>
      </c>
      <c r="AL498" t="n">
        <v>0</v>
      </c>
      <c r="AM498" t="n">
        <v>0</v>
      </c>
      <c r="AN498" t="n">
        <v>0</v>
      </c>
      <c r="AQ498" t="n">
        <v>0</v>
      </c>
      <c r="AS498" t="inlineStr">
        <is>
          <t>Servicos tecnicos continuados de manutencao predial com mao de obra dedicada e fornecimento por demanda, cobrindo eletricidade, climatizacao, hidrossanitario, grupo motor-gerador, nobreaks e SUBESTACAO DE ENERGIA EXISTENTES (sem implantacao) -- servico real por medicao, dentro do escopo; vencedora e empresa de engenharia.</t>
        </is>
      </c>
      <c r="AT498" t="n">
        <v>0</v>
      </c>
      <c r="AU498" t="n">
        <v>1</v>
      </c>
    </row>
    <row r="499">
      <c r="A499" t="inlineStr">
        <is>
          <t>26989715000102_2026_1341</t>
        </is>
      </c>
      <c r="B499" s="2" t="inlineStr">
        <is>
          <t>https://pncp.gov.br/app/editais/26989715000102/2026/1341</t>
        </is>
      </c>
      <c r="C499" t="inlineStr">
        <is>
          <t>2026-09-27T04:51:53.793649+00:00</t>
        </is>
      </c>
      <c r="D499" t="inlineStr">
        <is>
          <t>DF</t>
        </is>
      </c>
      <c r="E499" t="inlineStr">
        <is>
          <t>vizinhos</t>
        </is>
      </c>
      <c r="F499" t="inlineStr">
        <is>
          <t>Brasília</t>
        </is>
      </c>
      <c r="G499" t="inlineStr">
        <is>
          <t>MINISTERIO PUBLICO DA UNIAO</t>
        </is>
      </c>
      <c r="H499" t="inlineStr">
        <is>
          <t>Federal</t>
        </is>
      </c>
      <c r="I499" t="inlineStr">
        <is>
          <t>2026-09-01T04:00:11</t>
        </is>
      </c>
      <c r="J499" t="inlineStr">
        <is>
          <t>Pregão - Eletrônico</t>
        </is>
      </c>
      <c r="K499" t="inlineStr">
        <is>
          <t>Contratação de pessoa jurídica especializada no ramo de engenharia para prestação de serviços de desinstalação, fornecimento e instalação de 5 (cinco) equipamentos de climatização quente/frio, split com compressor inverter, sendo 1 (um) com potência de 12.000BTU/h e 4 (quatro) com potência de 18.000BTU/h na PJM / Curitiba-PR, incluindo mão-de-obra, ferramentas, equipamentos e materiais de consumo, conforme condições e exigências estabelecidas no Edital.</t>
        </is>
      </c>
      <c r="L499" t="b">
        <v>0</v>
      </c>
      <c r="M499" t="inlineStr">
        <is>
          <t>climatizacao</t>
        </is>
      </c>
      <c r="N499" t="inlineStr">
        <is>
          <t>climatizacao</t>
        </is>
      </c>
      <c r="O499" t="n">
        <v>52954.97</v>
      </c>
      <c r="P499" t="n">
        <v>44675</v>
      </c>
      <c r="Q499" t="n">
        <v>52954.97</v>
      </c>
      <c r="R499" t="n">
        <v>0.1563586949440251</v>
      </c>
      <c r="S499" t="n">
        <v>0</v>
      </c>
      <c r="T499" t="n">
        <v>1</v>
      </c>
      <c r="U499" t="n">
        <v>1</v>
      </c>
      <c r="V499" t="n">
        <v>1</v>
      </c>
      <c r="W499" t="n">
        <v>0</v>
      </c>
      <c r="X499" t="n">
        <v>0</v>
      </c>
      <c r="Y499" t="n">
        <v>0</v>
      </c>
      <c r="Z499" t="n">
        <v>0</v>
      </c>
      <c r="AA499" t="n">
        <v>1</v>
      </c>
      <c r="AB499" t="n">
        <v>0</v>
      </c>
      <c r="AC499" t="n">
        <v>0</v>
      </c>
      <c r="AD499" t="n">
        <v>0</v>
      </c>
      <c r="AE499" t="n">
        <v>1</v>
      </c>
      <c r="AF499" t="inlineStr">
        <is>
          <t>MUNDIAL REFRIGERACAO LTDA:ME</t>
        </is>
      </c>
      <c r="AH499" t="inlineStr">
        <is>
          <t>pontual</t>
        </is>
      </c>
      <c r="AJ499" t="n">
        <v>0</v>
      </c>
      <c r="AK499" t="n">
        <v>0</v>
      </c>
      <c r="AL499" t="n">
        <v>0</v>
      </c>
      <c r="AM499" t="n">
        <v>0</v>
      </c>
      <c r="AN499" t="n">
        <v>0</v>
      </c>
      <c r="AQ499" t="n">
        <v>0</v>
      </c>
      <c r="AS499" t="inlineStr">
        <is>
          <t>heuristica automatica confirmada: servico real de climatizacao, sem sinais de exclusao.</t>
        </is>
      </c>
      <c r="AT499" t="n">
        <v>0</v>
      </c>
      <c r="AU499" t="n">
        <v>1</v>
      </c>
    </row>
    <row r="500">
      <c r="A500" t="inlineStr">
        <is>
          <t>26989715000102_2026_347</t>
        </is>
      </c>
      <c r="B500" s="2" t="inlineStr">
        <is>
          <t>https://pncp.gov.br/app/editais/26989715000102/2026/347</t>
        </is>
      </c>
      <c r="C500" t="inlineStr">
        <is>
          <t>2026-09-27T05:13:03.136522+00:00</t>
        </is>
      </c>
      <c r="D500" t="inlineStr">
        <is>
          <t>MT</t>
        </is>
      </c>
      <c r="E500" t="inlineStr">
        <is>
          <t>vizinhos</t>
        </is>
      </c>
      <c r="F500" t="inlineStr">
        <is>
          <t>Cuiabá</t>
        </is>
      </c>
      <c r="G500" t="inlineStr">
        <is>
          <t>MINISTERIO PUBLICO DA UNIAO</t>
        </is>
      </c>
      <c r="H500" t="inlineStr">
        <is>
          <t>Federal</t>
        </is>
      </c>
      <c r="I500" t="inlineStr">
        <is>
          <t>2026-03-26T07:10:16</t>
        </is>
      </c>
      <c r="J500" t="inlineStr">
        <is>
          <t>Pregão - Eletrônico</t>
        </is>
      </c>
      <c r="K500" t="inlineStr">
        <is>
          <t>Prestação de serviços continuados com dedicação exclusiva de mão de obra, na categoria MANUTENÇÃO PREVENTIVA E CORRETIVA PREDIAL para a Procuradoria da República em Mato Grosso e PRM’s vinculadas, conforme condições, quantidades e exigências estabelecidas neste Edital e seus anexos.</t>
        </is>
      </c>
      <c r="L500" t="b">
        <v>0</v>
      </c>
      <c r="M500" t="inlineStr">
        <is>
          <t>manutencao_predial</t>
        </is>
      </c>
      <c r="N500" t="inlineStr">
        <is>
          <t>manutencao_predial</t>
        </is>
      </c>
      <c r="O500" t="n">
        <v>82013.89999999999</v>
      </c>
      <c r="P500" t="n">
        <v>74981.64</v>
      </c>
      <c r="Q500" t="n">
        <v>82013.90000000001</v>
      </c>
      <c r="R500" t="n">
        <v>0.08574473351468472</v>
      </c>
      <c r="S500" t="n">
        <v>0</v>
      </c>
      <c r="T500" t="n">
        <v>5</v>
      </c>
      <c r="U500" t="n">
        <v>5</v>
      </c>
      <c r="V500" t="n">
        <v>5</v>
      </c>
      <c r="W500" t="n">
        <v>0</v>
      </c>
      <c r="X500" t="n">
        <v>0</v>
      </c>
      <c r="Y500" t="n">
        <v>0</v>
      </c>
      <c r="Z500" t="n">
        <v>0</v>
      </c>
      <c r="AA500" t="n">
        <v>0</v>
      </c>
      <c r="AB500" t="n">
        <v>0</v>
      </c>
      <c r="AC500" t="n">
        <v>0</v>
      </c>
      <c r="AD500" t="n">
        <v>0</v>
      </c>
      <c r="AE500" t="n">
        <v>1</v>
      </c>
      <c r="AF500" t="inlineStr">
        <is>
          <t>DM CONSTRUCOES, LAUDOS E MANUTENCOES LTDA:ME</t>
        </is>
      </c>
      <c r="AH500" t="inlineStr">
        <is>
          <t>continuado</t>
        </is>
      </c>
      <c r="AJ500" t="n">
        <v>0</v>
      </c>
      <c r="AK500" t="n">
        <v>0</v>
      </c>
      <c r="AL500" t="n">
        <v>0</v>
      </c>
      <c r="AM500" t="n">
        <v>0</v>
      </c>
      <c r="AN500" t="n">
        <v>0</v>
      </c>
      <c r="AQ500" t="n">
        <v>0</v>
      </c>
      <c r="AT500" t="n">
        <v>0</v>
      </c>
      <c r="AU500" t="n">
        <v>1</v>
      </c>
    </row>
    <row r="501">
      <c r="A501" t="inlineStr">
        <is>
          <t>26989715000102_2026_451</t>
        </is>
      </c>
      <c r="B501" s="2" t="inlineStr">
        <is>
          <t>https://pncp.gov.br/app/editais/26989715000102/2026/451</t>
        </is>
      </c>
      <c r="C501" t="inlineStr">
        <is>
          <t>2026-09-27T04:53:54.838674+00:00</t>
        </is>
      </c>
      <c r="D501" t="inlineStr">
        <is>
          <t>DF</t>
        </is>
      </c>
      <c r="E501" t="inlineStr">
        <is>
          <t>vizinhos</t>
        </is>
      </c>
      <c r="F501" t="inlineStr">
        <is>
          <t>Brasília</t>
        </is>
      </c>
      <c r="G501" t="inlineStr">
        <is>
          <t>MINISTERIO PUBLICO DA UNIAO</t>
        </is>
      </c>
      <c r="H501" t="inlineStr">
        <is>
          <t>Federal</t>
        </is>
      </c>
      <c r="I501" t="inlineStr">
        <is>
          <t>2026-04-16T07:01:34</t>
        </is>
      </c>
      <c r="J501" t="inlineStr">
        <is>
          <t>Pregão - Eletrônico</t>
        </is>
      </c>
      <c r="K501" t="inlineStr">
        <is>
          <t>Contratação de empresa especializada na prestação de serviços técnicos continuados de adequação e manutenção nos sistemas de ar-condicionado, automação predial, sistema de detecção, alarme e combate de incêndio, refrigeração, portões automáticos e manuais, plataforma elevatória, aquecimento de água, ventilação mecânica, exaustão e ar comprimido, com fornecimento de mão de obra, materiais e equipamentos.</t>
        </is>
      </c>
      <c r="L501" t="b">
        <v>0</v>
      </c>
      <c r="M501" t="inlineStr">
        <is>
          <t>munck</t>
        </is>
      </c>
      <c r="N501" t="inlineStr">
        <is>
          <t>munck</t>
        </is>
      </c>
      <c r="O501" t="n">
        <v>4528970.31</v>
      </c>
      <c r="P501" t="n">
        <v>4336335.36</v>
      </c>
      <c r="Q501" t="n">
        <v>4528970.31</v>
      </c>
      <c r="R501" t="n">
        <v>0.0425339396848462</v>
      </c>
      <c r="S501" t="n">
        <v>0</v>
      </c>
      <c r="T501" t="n">
        <v>1</v>
      </c>
      <c r="U501" t="n">
        <v>1</v>
      </c>
      <c r="V501" t="n">
        <v>1</v>
      </c>
      <c r="W501" t="n">
        <v>0</v>
      </c>
      <c r="X501" t="n">
        <v>0</v>
      </c>
      <c r="Y501" t="n">
        <v>0</v>
      </c>
      <c r="Z501" t="n">
        <v>0</v>
      </c>
      <c r="AA501" t="n">
        <v>0</v>
      </c>
      <c r="AB501" t="n">
        <v>0</v>
      </c>
      <c r="AC501" t="n">
        <v>0</v>
      </c>
      <c r="AD501" t="n">
        <v>0</v>
      </c>
      <c r="AE501" t="n">
        <v>1</v>
      </c>
      <c r="AF501" t="inlineStr">
        <is>
          <t>PROCLIMA ENGENHARIA LTDA:Demais</t>
        </is>
      </c>
      <c r="AH501" t="inlineStr">
        <is>
          <t>continuado</t>
        </is>
      </c>
      <c r="AJ501" t="n">
        <v>0</v>
      </c>
      <c r="AK501" t="n">
        <v>0</v>
      </c>
      <c r="AL501" t="n">
        <v>0</v>
      </c>
      <c r="AM501" t="n">
        <v>0</v>
      </c>
      <c r="AN501" t="n">
        <v>0</v>
      </c>
      <c r="AQ501" t="n">
        <v>0</v>
      </c>
      <c r="AR501" t="inlineStr">
        <is>
          <t>fora_escopo</t>
        </is>
      </c>
      <c r="AS501" t="inlineStr">
        <is>
          <t>Contrato de manutenção predial contínua de grande porte (ar-condicionado, alarme, plataforma elevatória predial, ventilação); item único homologado é 'Ar Condicionado - Manutenção Sistema Central' -- não há munck/guindauto real; falso positivo provavelmente por 'plataforma elevatória'.</t>
        </is>
      </c>
      <c r="AT501" t="n">
        <v>0</v>
      </c>
      <c r="AU501" t="n">
        <v>0</v>
      </c>
    </row>
    <row r="502">
      <c r="A502" t="inlineStr">
        <is>
          <t>26994558000123_2026_126</t>
        </is>
      </c>
      <c r="B502" s="2" t="inlineStr">
        <is>
          <t>https://pncp.gov.br/app/editais/26994558000123/2026/126</t>
        </is>
      </c>
      <c r="C502" t="inlineStr">
        <is>
          <t>2026-09-27T04:52:43.311467+00:00</t>
        </is>
      </c>
      <c r="D502" t="inlineStr">
        <is>
          <t>DF</t>
        </is>
      </c>
      <c r="E502" t="inlineStr">
        <is>
          <t>vizinhos</t>
        </is>
      </c>
      <c r="F502" t="inlineStr">
        <is>
          <t>Brasília</t>
        </is>
      </c>
      <c r="G502" t="inlineStr">
        <is>
          <t>ADVOCACIA GERAL DA UNIAO</t>
        </is>
      </c>
      <c r="H502" t="inlineStr">
        <is>
          <t>Federal</t>
        </is>
      </c>
      <c r="I502" t="inlineStr">
        <is>
          <t>2026-07-16T04:00:10</t>
        </is>
      </c>
      <c r="J502" t="inlineStr">
        <is>
          <t>Pregão - Eletrônico</t>
        </is>
      </c>
      <c r="K502" t="inlineStr">
        <is>
          <t>Contratação de serviços de engenharia, contínuos, de manutenção preventiva e corretiva e Instalação/Desinstalação nos equipamentos de refrigeração, climatização e ventilação, com fornecimento de mão de obra, materiais de consumo e reposição de peças (inclusive compressor), de 67 equipamentos de ar-condicionado, a serem executados no edifício sede da AGU em Manaus/AM, conforme condições, quantidades e exigências estabelecidas neste Edital e seus anexos.</t>
        </is>
      </c>
      <c r="L502" t="b">
        <v>0</v>
      </c>
      <c r="M502" t="inlineStr">
        <is>
          <t>refrigeracao</t>
        </is>
      </c>
      <c r="N502" t="inlineStr">
        <is>
          <t>refrigeracao</t>
        </is>
      </c>
      <c r="O502" t="n">
        <v>887917.5</v>
      </c>
      <c r="P502" t="n">
        <v>665913</v>
      </c>
      <c r="Q502" t="n">
        <v>887917.5</v>
      </c>
      <c r="R502" t="n">
        <v>0.2500282965478211</v>
      </c>
      <c r="S502" t="n">
        <v>0</v>
      </c>
      <c r="T502" t="n">
        <v>2</v>
      </c>
      <c r="U502" t="n">
        <v>2</v>
      </c>
      <c r="V502" t="n">
        <v>2</v>
      </c>
      <c r="W502" t="n">
        <v>0</v>
      </c>
      <c r="X502" t="n">
        <v>0</v>
      </c>
      <c r="Y502" t="n">
        <v>0</v>
      </c>
      <c r="Z502" t="n">
        <v>0</v>
      </c>
      <c r="AA502" t="n">
        <v>0</v>
      </c>
      <c r="AB502" t="n">
        <v>0</v>
      </c>
      <c r="AC502" t="n">
        <v>0</v>
      </c>
      <c r="AD502" t="n">
        <v>0</v>
      </c>
      <c r="AE502" t="n">
        <v>1</v>
      </c>
      <c r="AF502" t="inlineStr">
        <is>
          <t>CAPUCHE TECNOCLIMA LTDA:ME</t>
        </is>
      </c>
      <c r="AH502" t="inlineStr">
        <is>
          <t>pontual</t>
        </is>
      </c>
      <c r="AJ502" t="n">
        <v>0</v>
      </c>
      <c r="AK502" t="n">
        <v>0</v>
      </c>
      <c r="AL502" t="n">
        <v>0</v>
      </c>
      <c r="AM502" t="n">
        <v>0</v>
      </c>
      <c r="AN502" t="n">
        <v>0</v>
      </c>
      <c r="AQ502" t="n">
        <v>0</v>
      </c>
      <c r="AS502" t="inlineStr">
        <is>
          <t>Itens descrevem manutencao conjunta e indivisivel de 'equipamentos de refrigeracao, climatizacao e ventilacao', sem discriminacao de valor por sistema; refrigeracao e citada em primeiro lugar em ambos os itens. Mantido incluido como caso misto de servicos de engenharia continuados.</t>
        </is>
      </c>
      <c r="AT502" t="n">
        <v>0</v>
      </c>
      <c r="AU502" t="n">
        <v>1</v>
      </c>
    </row>
    <row r="503">
      <c r="A503" t="inlineStr">
        <is>
          <t>27136980000100_2026_35</t>
        </is>
      </c>
      <c r="B503" s="2" t="inlineStr">
        <is>
          <t>https://pncp.gov.br/app/editais/27136980000100/2026/35</t>
        </is>
      </c>
      <c r="C503" t="inlineStr">
        <is>
          <t>2026-09-27T04:51:57.315177+00:00</t>
        </is>
      </c>
      <c r="D503" t="inlineStr">
        <is>
          <t>DF</t>
        </is>
      </c>
      <c r="E503" t="inlineStr">
        <is>
          <t>vizinhos</t>
        </is>
      </c>
      <c r="F503" t="inlineStr">
        <is>
          <t>Brasília</t>
        </is>
      </c>
      <c r="G503" t="inlineStr">
        <is>
          <t>MINISTERIO DA MULHER, DA FAMILIA E DOS DIREITOS HUMANOS</t>
        </is>
      </c>
      <c r="H503" t="inlineStr">
        <is>
          <t>Federal</t>
        </is>
      </c>
      <c r="I503" t="inlineStr">
        <is>
          <t>2026-08-17T04:00:16</t>
        </is>
      </c>
      <c r="J503" t="inlineStr">
        <is>
          <t>Pregão - Eletrônico</t>
        </is>
      </c>
      <c r="K503" t="inlineStr">
        <is>
          <t xml:space="preserve">Contratação de serviços contínuos de manutenção preventiva, corretiva e preditiva dos Sistemas de Energia Elétrica, Eletrônicos Complementares, de Climatização e Hidrossanitários além do Sistema Predial, com  fornecimento de materiais de consumo, peças e equipamentos, sem dedicação exclusiva de mão de obra, conforme condições, quantidades, exigências e estimativas estabelecidas no Edital e seus anexos.
</t>
        </is>
      </c>
      <c r="L503" t="b">
        <v>0</v>
      </c>
      <c r="M503" t="inlineStr">
        <is>
          <t>eletrica_predial</t>
        </is>
      </c>
      <c r="N503" t="inlineStr">
        <is>
          <t>eletrica_predial</t>
        </is>
      </c>
      <c r="O503" t="n">
        <v>6275338.39</v>
      </c>
      <c r="P503" t="n">
        <v>4455490.2569</v>
      </c>
      <c r="Q503" t="n">
        <v>6275338.39</v>
      </c>
      <c r="R503" t="n">
        <v>0.2899999999999999</v>
      </c>
      <c r="S503" t="n">
        <v>0</v>
      </c>
      <c r="T503" t="n">
        <v>1</v>
      </c>
      <c r="U503" t="n">
        <v>1</v>
      </c>
      <c r="V503" t="n">
        <v>1</v>
      </c>
      <c r="W503" t="n">
        <v>0</v>
      </c>
      <c r="X503" t="n">
        <v>0</v>
      </c>
      <c r="Y503" t="n">
        <v>0</v>
      </c>
      <c r="Z503" t="n">
        <v>0</v>
      </c>
      <c r="AA503" t="n">
        <v>0</v>
      </c>
      <c r="AB503" t="n">
        <v>0</v>
      </c>
      <c r="AC503" t="n">
        <v>0</v>
      </c>
      <c r="AD503" t="n">
        <v>0</v>
      </c>
      <c r="AE503" t="n">
        <v>1</v>
      </c>
      <c r="AF503" t="inlineStr">
        <is>
          <t>SMARTER ENGENHARIA LTDA:Demais</t>
        </is>
      </c>
      <c r="AH503" t="inlineStr">
        <is>
          <t>pontual</t>
        </is>
      </c>
      <c r="AJ503" t="n">
        <v>0</v>
      </c>
      <c r="AK503" t="n">
        <v>0</v>
      </c>
      <c r="AL503" t="n">
        <v>0</v>
      </c>
      <c r="AM503" t="n">
        <v>0</v>
      </c>
      <c r="AN503" t="n">
        <v>0</v>
      </c>
      <c r="AQ503" t="n">
        <v>0</v>
      </c>
      <c r="AS503" t="inlineStr">
        <is>
          <t>Manutencao continua de sistemas de energia eletrica, eletronicos, climatizacao e hidrossanitarios de edificio do DF, sem dedicacao exclusiva de mao de obra, com fornecimento de materiais -- exatamente o modelo de contrato (medicao mensal) que a empresa busca.</t>
        </is>
      </c>
      <c r="AT503" t="n">
        <v>0</v>
      </c>
      <c r="AU503" t="n">
        <v>1</v>
      </c>
    </row>
    <row r="504">
      <c r="A504" t="inlineStr">
        <is>
          <t>33618570000107_2026_31</t>
        </is>
      </c>
      <c r="B504" s="2" t="inlineStr">
        <is>
          <t>https://pncp.gov.br/app/editais/33618570000107/2026/31</t>
        </is>
      </c>
      <c r="C504" t="inlineStr">
        <is>
          <t>2026-09-27T04:52:52.843702+00:00</t>
        </is>
      </c>
      <c r="D504" t="inlineStr">
        <is>
          <t>DF</t>
        </is>
      </c>
      <c r="E504" t="inlineStr">
        <is>
          <t>vizinhos</t>
        </is>
      </c>
      <c r="F504" t="inlineStr">
        <is>
          <t>Brasília</t>
        </is>
      </c>
      <c r="G504" t="inlineStr">
        <is>
          <t>CONSELHO FEDERAL DE CONTABILIDADE</t>
        </is>
      </c>
      <c r="H504" t="inlineStr">
        <is>
          <t>Federal</t>
        </is>
      </c>
      <c r="I504" t="inlineStr">
        <is>
          <t>2026-07-27T09:38:57</t>
        </is>
      </c>
      <c r="J504" t="inlineStr">
        <is>
          <t>Pregão - Eletrônico</t>
        </is>
      </c>
      <c r="K504" t="inlineStr">
        <is>
          <t>Contratação de empresa especializada para o fornecimento de serviços em 3 itens distintos, sendo o item 1 a prestação de serviços contínuos de manutenção predial preventiva e corretiva das instalações elétricas, o item 2 para fornecimento e instalação de luminárias de emergência, inclusive adequação dos circuitos, e por fim, o item 3 para fornecimento e instalação de guardacorpo e corrimão de inox na entrada do plenário do 13º andar, nas dependências do edifício sede do CFC, em Brasília/DF.</t>
        </is>
      </c>
      <c r="L504" t="b">
        <v>0</v>
      </c>
      <c r="M504" t="inlineStr">
        <is>
          <t>eletrica_predial</t>
        </is>
      </c>
      <c r="N504" t="inlineStr">
        <is>
          <t>eletrica_predial</t>
        </is>
      </c>
      <c r="O504" t="n">
        <v>205402.61</v>
      </c>
      <c r="P504" t="n">
        <v>191299.6</v>
      </c>
      <c r="Q504" t="n">
        <v>205402.61</v>
      </c>
      <c r="R504" t="n">
        <v>0.06866032520229411</v>
      </c>
      <c r="S504" t="n">
        <v>0</v>
      </c>
      <c r="T504" t="n">
        <v>3</v>
      </c>
      <c r="U504" t="n">
        <v>3</v>
      </c>
      <c r="V504" t="n">
        <v>3</v>
      </c>
      <c r="W504" t="n">
        <v>0</v>
      </c>
      <c r="X504" t="n">
        <v>0</v>
      </c>
      <c r="Y504" t="n">
        <v>0</v>
      </c>
      <c r="Z504" t="n">
        <v>0</v>
      </c>
      <c r="AA504" t="n">
        <v>0</v>
      </c>
      <c r="AB504" t="n">
        <v>1</v>
      </c>
      <c r="AC504" t="n">
        <v>0</v>
      </c>
      <c r="AD504" t="n">
        <v>0</v>
      </c>
      <c r="AE504" t="n">
        <v>1</v>
      </c>
      <c r="AF504" t="inlineStr">
        <is>
          <t>FLANTEL SERVICOS DE ENGENHARIA LTDA:ME</t>
        </is>
      </c>
      <c r="AH504" t="inlineStr">
        <is>
          <t>pontual</t>
        </is>
      </c>
      <c r="AJ504" t="n">
        <v>0</v>
      </c>
      <c r="AK504" t="n">
        <v>0</v>
      </c>
      <c r="AL504" t="n">
        <v>0</v>
      </c>
      <c r="AM504" t="n">
        <v>0</v>
      </c>
      <c r="AN504" t="n">
        <v>0</v>
      </c>
      <c r="AQ504" t="n">
        <v>0</v>
      </c>
      <c r="AS504" t="inlineStr">
        <is>
          <t>Manutencao predial continua das instalacoes eletricas do CFC em Brasilia (item 1), mais luminarias de emergencia (item 2) e um item pontual de serralheria (item 3, menor) -- predominantemente eletrica continua.</t>
        </is>
      </c>
      <c r="AT504" t="n">
        <v>0</v>
      </c>
      <c r="AU504" t="n">
        <v>1</v>
      </c>
    </row>
    <row r="505">
      <c r="A505" t="inlineStr">
        <is>
          <t>33683822000173_2026_26</t>
        </is>
      </c>
      <c r="B505" s="2" t="inlineStr">
        <is>
          <t>https://pncp.gov.br/app/editais/33683822000173/2026/26</t>
        </is>
      </c>
      <c r="C505" t="inlineStr">
        <is>
          <t>2026-09-27T05:07:17.674596+00:00</t>
        </is>
      </c>
      <c r="D505" t="inlineStr">
        <is>
          <t>MT</t>
        </is>
      </c>
      <c r="E505" t="inlineStr">
        <is>
          <t>vizinhos</t>
        </is>
      </c>
      <c r="F505" t="inlineStr">
        <is>
          <t>Nova Bandeirantes</t>
        </is>
      </c>
      <c r="G505" t="inlineStr">
        <is>
          <t>MUNICIPIO DE NOVA BANDEIRANTES</t>
        </is>
      </c>
      <c r="H505" t="inlineStr">
        <is>
          <t>Municipal</t>
        </is>
      </c>
      <c r="I505" t="inlineStr">
        <is>
          <t>2026-06-24T09:29:50</t>
        </is>
      </c>
      <c r="J505" t="inlineStr">
        <is>
          <t>Pregão - Eletrônico</t>
        </is>
      </c>
      <c r="K505" t="inlineStr">
        <is>
          <t>REGISTRO DE PREÇOS PARA FUTURA E EVENTUAL AQUISIÇÃO DE MATERIAIS ELÉTRICOS E MATERIAIS DESTINADOS À MANUTENÇÃO DA ILUMINAÇÃO PÚBLICA, OBJETIVANDO ATENDER ÀS DEMANDAS DE MANUTENÇÃO PREVENTIVA E CORRETIVA DAS DIVERSAS SECRETARIAS MUNICIPAIS DO MUNICÍPIO DE NOVA BANDEIRANTES – MT</t>
        </is>
      </c>
      <c r="L505" t="b">
        <v>1</v>
      </c>
      <c r="M505" t="inlineStr">
        <is>
          <t>eletrica_predial</t>
        </is>
      </c>
      <c r="N505" t="inlineStr">
        <is>
          <t>eletrica_predial</t>
        </is>
      </c>
      <c r="O505" t="n">
        <v>1721276.37</v>
      </c>
      <c r="P505" t="n">
        <v>216030.14</v>
      </c>
      <c r="Q505" t="n">
        <v>388984.9300000002</v>
      </c>
      <c r="R505" t="n">
        <v>0.4446310812092383</v>
      </c>
      <c r="S505" t="n">
        <v>0</v>
      </c>
      <c r="T505" t="n">
        <v>107</v>
      </c>
      <c r="U505" t="n">
        <v>40</v>
      </c>
      <c r="V505" t="n">
        <v>104</v>
      </c>
      <c r="W505" t="n">
        <v>0</v>
      </c>
      <c r="X505" t="n">
        <v>3</v>
      </c>
      <c r="Y505" t="n">
        <v>0</v>
      </c>
      <c r="Z505" t="n">
        <v>1</v>
      </c>
      <c r="AA505" t="n">
        <v>0</v>
      </c>
      <c r="AB505" t="n">
        <v>0</v>
      </c>
      <c r="AC505" t="n">
        <v>0</v>
      </c>
      <c r="AD505" t="n">
        <v>1</v>
      </c>
      <c r="AE505" t="n">
        <v>9</v>
      </c>
      <c r="AF505" t="inlineStr">
        <is>
          <t>VIA SERVLOC LTDA:Demais; DX DISTRIBUIDORA LTDA:ME; COTOPOSTES POSTES E TRANSFORMADORES ELETRICOS LTDA:Demais; TRIUNFO ILUMINACAO LTDA:EPP; JL COMERCIO E SERVICOS LTDA:EPP; DGA COMERCIO DE MATERIAIS ELETRICOS LTDA:EPP; ONIX COMERCIO E DISTRIBUIDORA DE MATERIAIS PARA CONSTRUCAO LTDA:ME; KP MATERIAIS ELETRICO E CONSTRUCAO LTDA:ME; VEAR TECNOLOGIA LTDA:ME</t>
        </is>
      </c>
      <c r="AH505" t="inlineStr">
        <is>
          <t>pontual</t>
        </is>
      </c>
      <c r="AJ505" t="n">
        <v>0</v>
      </c>
      <c r="AK505" t="n">
        <v>0</v>
      </c>
      <c r="AL505" t="n">
        <v>0</v>
      </c>
      <c r="AM505" t="n">
        <v>0</v>
      </c>
      <c r="AN505" t="n">
        <v>0</v>
      </c>
      <c r="AQ505" t="n">
        <v>0.9920687460549986</v>
      </c>
      <c r="AR505" t="inlineStr">
        <is>
          <t>equipamento_alto</t>
        </is>
      </c>
      <c r="AS505" t="inlineStr">
        <is>
          <t>Confirmada exclusao automatica (equipamento_alto): fracao estimada em itens de material = 99% (&gt; 40%).</t>
        </is>
      </c>
      <c r="AT505" t="n">
        <v>0</v>
      </c>
      <c r="AU505" t="n">
        <v>0</v>
      </c>
    </row>
    <row r="506">
      <c r="A506" t="inlineStr">
        <is>
          <t>33683822000173_2026_44</t>
        </is>
      </c>
      <c r="B506" s="2" t="inlineStr">
        <is>
          <t>https://pncp.gov.br/app/editais/33683822000173/2026/44</t>
        </is>
      </c>
      <c r="C506" t="inlineStr">
        <is>
          <t>2026-09-27T05:03:05.801963+00:00</t>
        </is>
      </c>
      <c r="D506" t="inlineStr">
        <is>
          <t>MT</t>
        </is>
      </c>
      <c r="E506" t="inlineStr">
        <is>
          <t>vizinhos</t>
        </is>
      </c>
      <c r="F506" t="inlineStr">
        <is>
          <t>Nova Bandeirantes</t>
        </is>
      </c>
      <c r="G506" t="inlineStr">
        <is>
          <t>MUNICIPIO DE NOVA BANDEIRANTES</t>
        </is>
      </c>
      <c r="H506" t="inlineStr">
        <is>
          <t>Municipal</t>
        </is>
      </c>
      <c r="I506" t="inlineStr">
        <is>
          <t>2026-06-24T09:47:32</t>
        </is>
      </c>
      <c r="J506" t="inlineStr">
        <is>
          <t>Pregão - Eletrônico</t>
        </is>
      </c>
      <c r="K506" t="inlineStr">
        <is>
          <t>REGISTRO DE PREÇOS PARA FUTURA E EVENTUAL AQUISIÇÃO DE EQUIPAMENTOS E MATERIAIS PERMANENTES, DESTINADOS À MELHORIA DAS CONDIÇÕES OPERACIONAIS DO HOSPITAL MUNICIPAL DE NOVA BANDEIRANTES/MT, COMPREENDENDO ESTANTE, BALDE A PEDAL, COMPUTADOR (DESKTOP BÁSICO), APARELHO DE AR CONDICIONADO E CADEIRA, EM ATENDIMENTO À PROPOSTA DE EMENDA Nº 12102434000125011, CONFORME CONDIÇÕES, QUANTIDADES E EXIGÊNCIAS ESTABELECIDAS NESTE TERMO DE REFERÊNCIA</t>
        </is>
      </c>
      <c r="L506" t="b">
        <v>1</v>
      </c>
      <c r="M506" t="inlineStr">
        <is>
          <t>climatizacao</t>
        </is>
      </c>
      <c r="N506" t="inlineStr">
        <is>
          <t>climatizacao</t>
        </is>
      </c>
      <c r="O506" t="n">
        <v>14852.33</v>
      </c>
      <c r="P506" t="n">
        <v>9441.849999999999</v>
      </c>
      <c r="Q506" t="n">
        <v>14852.33</v>
      </c>
      <c r="R506" t="n">
        <v>0.3642849303779272</v>
      </c>
      <c r="S506" t="n">
        <v>0</v>
      </c>
      <c r="T506" t="n">
        <v>5</v>
      </c>
      <c r="U506" t="n">
        <v>5</v>
      </c>
      <c r="V506" t="n">
        <v>5</v>
      </c>
      <c r="W506" t="n">
        <v>0</v>
      </c>
      <c r="X506" t="n">
        <v>0</v>
      </c>
      <c r="Y506" t="n">
        <v>0</v>
      </c>
      <c r="Z506" t="n">
        <v>0</v>
      </c>
      <c r="AA506" t="n">
        <v>0</v>
      </c>
      <c r="AB506" t="n">
        <v>0</v>
      </c>
      <c r="AC506" t="n">
        <v>0</v>
      </c>
      <c r="AD506" t="n">
        <v>1</v>
      </c>
      <c r="AE506" t="n">
        <v>5</v>
      </c>
      <c r="AF506" t="inlineStr">
        <is>
          <t>SANDRO VILMAR PIRES - ME:Demais; OLMI ELETRODOMÉSTICOS:Demais; MULTISOLUCOES FE LTDA:ME; SALVI LOPES &amp; CIA. LTDA - ME:Demais; WANDA MOVEIS E EQUIPAMENTOS LTDA:Demais</t>
        </is>
      </c>
      <c r="AH506" t="inlineStr">
        <is>
          <t>pontual</t>
        </is>
      </c>
      <c r="AJ506" t="n">
        <v>0</v>
      </c>
      <c r="AK506" t="n">
        <v>0</v>
      </c>
      <c r="AL506" t="n">
        <v>0</v>
      </c>
      <c r="AM506" t="n">
        <v>0</v>
      </c>
      <c r="AN506" t="n">
        <v>0</v>
      </c>
      <c r="AQ506" t="n">
        <v>0.7697714769332489</v>
      </c>
      <c r="AR506" t="inlineStr">
        <is>
          <t>equipamento_alto</t>
        </is>
      </c>
      <c r="AS506" t="inlineStr">
        <is>
          <t>heuristica automatica confirmada (equipamento_alto): fracao estimada em itens de material = 77% (&gt; 40%).</t>
        </is>
      </c>
      <c r="AT506" t="n">
        <v>0</v>
      </c>
      <c r="AU506" t="n">
        <v>0</v>
      </c>
    </row>
    <row r="507">
      <c r="A507" t="inlineStr">
        <is>
          <t>33683822000173_2026_45</t>
        </is>
      </c>
      <c r="B507" s="2" t="inlineStr">
        <is>
          <t>https://pncp.gov.br/app/editais/33683822000173/2026/45</t>
        </is>
      </c>
      <c r="C507" t="inlineStr">
        <is>
          <t>2026-09-27T05:06:33.231561+00:00</t>
        </is>
      </c>
      <c r="D507" t="inlineStr">
        <is>
          <t>MT</t>
        </is>
      </c>
      <c r="E507" t="inlineStr">
        <is>
          <t>vizinhos</t>
        </is>
      </c>
      <c r="F507" t="inlineStr">
        <is>
          <t>Nova Bandeirantes</t>
        </is>
      </c>
      <c r="G507" t="inlineStr">
        <is>
          <t>MUNICIPIO DE NOVA BANDEIRANTES</t>
        </is>
      </c>
      <c r="H507" t="inlineStr">
        <is>
          <t>Municipal</t>
        </is>
      </c>
      <c r="I507" t="inlineStr">
        <is>
          <t>2026-06-24T09:47:55</t>
        </is>
      </c>
      <c r="J507" t="inlineStr">
        <is>
          <t>Pregão - Presencial</t>
        </is>
      </c>
      <c r="K507" t="inlineStr">
        <is>
          <t>CONTRATAÇÃO DE EMPRESA ESPECIALIZADA NA PRESTAÇÃO DE SERVIÇOS CONTÍNUOS DE MANUTENÇÃO PREDIAL, COM DISPONIBILIZAÇÃO DE MÃO DE OBRA EXCLUSIVA DE ELETRICISTA, PARA EXECUÇÃO DE ATIVIDADES PREVENTIVAS, CORRETIVAS E PREDITIVAS NAS INSTALAÇÕES ELÉTRICAS E HIDRÁULICAS, COM CARGA HORÁRIA DE 44 (QUARENTA E QUATRO) HORAS SEMANAIS, INCLUINDO REGIME DE SOBREAVISO/ATENDIMENTO DE URGÊNCIAS AOS FINAIS DE SEMANA E FERIADOS, A FIM DE SUPRIR AS DEMANDAS DAS SECRETARIAS DO MUNICÍPIO DE NOVA BANDEIRANTES – MT</t>
        </is>
      </c>
      <c r="L507" t="b">
        <v>0</v>
      </c>
      <c r="M507" t="inlineStr">
        <is>
          <t>eletrica_predial</t>
        </is>
      </c>
      <c r="N507" t="inlineStr">
        <is>
          <t>eletrica_predial</t>
        </is>
      </c>
      <c r="O507" t="n">
        <v>82800</v>
      </c>
      <c r="P507" t="n">
        <v>78000</v>
      </c>
      <c r="Q507" t="n">
        <v>82800</v>
      </c>
      <c r="R507" t="n">
        <v>0.05797101449275366</v>
      </c>
      <c r="S507" t="n">
        <v>0</v>
      </c>
      <c r="T507" t="n">
        <v>1</v>
      </c>
      <c r="U507" t="n">
        <v>1</v>
      </c>
      <c r="V507" t="n">
        <v>1</v>
      </c>
      <c r="W507" t="n">
        <v>0</v>
      </c>
      <c r="X507" t="n">
        <v>0</v>
      </c>
      <c r="Y507" t="n">
        <v>0</v>
      </c>
      <c r="Z507" t="n">
        <v>0</v>
      </c>
      <c r="AA507" t="n">
        <v>0</v>
      </c>
      <c r="AB507" t="n">
        <v>0</v>
      </c>
      <c r="AC507" t="n">
        <v>0</v>
      </c>
      <c r="AD507" t="n">
        <v>1</v>
      </c>
      <c r="AE507" t="n">
        <v>1</v>
      </c>
      <c r="AF507" t="inlineStr">
        <is>
          <t>CILSON ANTONIO PIRES 39701662920:ME</t>
        </is>
      </c>
      <c r="AH507" t="inlineStr">
        <is>
          <t>continuado</t>
        </is>
      </c>
      <c r="AJ507" t="n">
        <v>0</v>
      </c>
      <c r="AK507" t="n">
        <v>0</v>
      </c>
      <c r="AL507" t="n">
        <v>0</v>
      </c>
      <c r="AM507" t="n">
        <v>0</v>
      </c>
      <c r="AN507" t="n">
        <v>0</v>
      </c>
      <c r="AQ507" t="n">
        <v>0</v>
      </c>
      <c r="AS507" t="inlineStr">
        <is>
          <t>Mao de obra exclusiva de eletricista (44h/semana + sobreaviso) para manutencao predial eletrica e hidraulica continua, medicao mensal (12 parcelas de R$6.900) -- modelo ideal de contrato para a empresa.</t>
        </is>
      </c>
      <c r="AT507" t="n">
        <v>0</v>
      </c>
      <c r="AU507" t="n">
        <v>1</v>
      </c>
    </row>
    <row r="508">
      <c r="A508" t="inlineStr">
        <is>
          <t>35834377000120_2025_69</t>
        </is>
      </c>
      <c r="B508" s="2" t="inlineStr">
        <is>
          <t>https://pncp.gov.br/app/editais/35834377000120/2025/69</t>
        </is>
      </c>
      <c r="C508" t="inlineStr">
        <is>
          <t>2026-09-27T04:47:09.570844+00:00</t>
        </is>
      </c>
      <c r="D508" t="inlineStr">
        <is>
          <t>GO</t>
        </is>
      </c>
      <c r="E508" t="inlineStr">
        <is>
          <t>GO</t>
        </is>
      </c>
      <c r="F508" t="inlineStr">
        <is>
          <t>Catalão</t>
        </is>
      </c>
      <c r="G508" t="inlineStr">
        <is>
          <t>UNIVERSIDADE FEDERAL DE CATALAO</t>
        </is>
      </c>
      <c r="H508" t="inlineStr">
        <is>
          <t>Federal</t>
        </is>
      </c>
      <c r="I508" t="inlineStr">
        <is>
          <t>2025-09-08T07:17:24</t>
        </is>
      </c>
      <c r="J508" t="inlineStr">
        <is>
          <t>Pregão - Eletrônico</t>
        </is>
      </c>
      <c r="K508" t="inlineStr">
        <is>
          <t>Serviços de Assistente de Engenharia, Encarregado de Manutenção Predial, Mecânico de Refrigeração, Encanador, Marceneiro, Eletricista, Pintor, Pedreiro e Auxiliar de, Manutenção Predial.</t>
        </is>
      </c>
      <c r="L508" t="b">
        <v>0</v>
      </c>
      <c r="M508" t="inlineStr">
        <is>
          <t>refrigeracao</t>
        </is>
      </c>
      <c r="N508" t="inlineStr">
        <is>
          <t>refrigeracao</t>
        </is>
      </c>
      <c r="O508" t="n">
        <v>1682056.49</v>
      </c>
      <c r="P508" t="n">
        <v>1436865.24</v>
      </c>
      <c r="Q508" t="n">
        <v>1682056.49</v>
      </c>
      <c r="R508" t="n">
        <v>0.1457685290644965</v>
      </c>
      <c r="S508" t="n">
        <v>0</v>
      </c>
      <c r="T508" t="n">
        <v>9</v>
      </c>
      <c r="U508" t="n">
        <v>9</v>
      </c>
      <c r="V508" t="n">
        <v>9</v>
      </c>
      <c r="W508" t="n">
        <v>0</v>
      </c>
      <c r="X508" t="n">
        <v>0</v>
      </c>
      <c r="Y508" t="n">
        <v>0</v>
      </c>
      <c r="Z508" t="n">
        <v>0</v>
      </c>
      <c r="AA508" t="n">
        <v>0</v>
      </c>
      <c r="AB508" t="n">
        <v>0</v>
      </c>
      <c r="AC508" t="n">
        <v>0</v>
      </c>
      <c r="AD508" t="n">
        <v>0</v>
      </c>
      <c r="AE508" t="n">
        <v>1</v>
      </c>
      <c r="AF508" t="inlineStr">
        <is>
          <t>PRESTA CONSTRUTORA E SERVICOS GERAIS LTDA:Demais</t>
        </is>
      </c>
      <c r="AH508" t="inlineStr">
        <is>
          <t>indefinido</t>
        </is>
      </c>
      <c r="AJ508" t="n">
        <v>0</v>
      </c>
      <c r="AK508" t="n">
        <v>0</v>
      </c>
      <c r="AL508" t="n">
        <v>0</v>
      </c>
      <c r="AM508" t="n">
        <v>0</v>
      </c>
      <c r="AN508" t="n">
        <v>0</v>
      </c>
      <c r="AQ508" t="n">
        <v>0</v>
      </c>
      <c r="AR508" t="inlineStr">
        <is>
          <t>fora_do_nucleo</t>
        </is>
      </c>
      <c r="AS508" t="inlineStr">
        <is>
          <t>Contrato de postos de mao de obra multidisciplinar predial (eletricista, pintor, pedreiro, marceneiro, planejamento de manutencao); nenhum item de refrigeracao no orcamento, apesar de o objeto citar 'Mecanico de Refrigeracao' como um dos oficios contratados.</t>
        </is>
      </c>
      <c r="AT508" t="n">
        <v>0</v>
      </c>
      <c r="AU508" t="n">
        <v>0</v>
      </c>
    </row>
    <row r="509">
      <c r="A509" t="inlineStr">
        <is>
          <t>35840659000130_2024_48</t>
        </is>
      </c>
      <c r="B509" s="2" t="inlineStr">
        <is>
          <t>https://pncp.gov.br/app/editais/35840659000130/2024/48</t>
        </is>
      </c>
      <c r="C509" t="inlineStr">
        <is>
          <t>2026-09-27T03:29:20.912969+00:00</t>
        </is>
      </c>
      <c r="D509" t="inlineStr">
        <is>
          <t>GO</t>
        </is>
      </c>
      <c r="E509" t="inlineStr">
        <is>
          <t>GO</t>
        </is>
      </c>
      <c r="F509" t="inlineStr">
        <is>
          <t>Jataí</t>
        </is>
      </c>
      <c r="G509" t="inlineStr">
        <is>
          <t>UNIVERSIDADE FEDERAL DE JATAI</t>
        </is>
      </c>
      <c r="H509" t="inlineStr">
        <is>
          <t>Federal</t>
        </is>
      </c>
      <c r="I509" t="inlineStr">
        <is>
          <t>2024-10-11T07:13:33</t>
        </is>
      </c>
      <c r="J509" t="inlineStr">
        <is>
          <t>Pregão - Eletrônico</t>
        </is>
      </c>
      <c r="K509" t="inlineStr">
        <is>
          <t xml:space="preserve">Contratação de serviços de prestação de serviços de manutenção preventiva e corretiva predial e atividades  operacionais/administrativas para apoio a secretaria de infraestrutura/SEINFRA.   </t>
        </is>
      </c>
      <c r="L509" t="b">
        <v>0</v>
      </c>
      <c r="M509" t="inlineStr">
        <is>
          <t>manutencao_predial</t>
        </is>
      </c>
      <c r="N509" t="inlineStr">
        <is>
          <t>manutencao_predial</t>
        </is>
      </c>
      <c r="O509" t="n">
        <v>1931783.11</v>
      </c>
      <c r="P509" t="n">
        <v>3170487.95</v>
      </c>
      <c r="Q509" t="n">
        <v>1931783.11</v>
      </c>
      <c r="R509" t="n">
        <v>0.1381019674748999</v>
      </c>
      <c r="S509" t="n">
        <v>0</v>
      </c>
      <c r="T509" t="n">
        <v>5</v>
      </c>
      <c r="U509" t="n">
        <v>5</v>
      </c>
      <c r="V509" t="n">
        <v>5</v>
      </c>
      <c r="W509" t="n">
        <v>0</v>
      </c>
      <c r="X509" t="n">
        <v>0</v>
      </c>
      <c r="Y509" t="n">
        <v>0</v>
      </c>
      <c r="Z509" t="n">
        <v>0</v>
      </c>
      <c r="AA509" t="n">
        <v>0</v>
      </c>
      <c r="AB509" t="n">
        <v>0</v>
      </c>
      <c r="AC509" t="n">
        <v>0</v>
      </c>
      <c r="AD509" t="n">
        <v>0</v>
      </c>
      <c r="AE509" t="n">
        <v>2</v>
      </c>
      <c r="AF509" t="inlineStr">
        <is>
          <t>ENGEPROM ENGENHARIA LTDA:Demais; BM SERVICOS DE APOIO ADMINISTRATIVO LTDA:Demais</t>
        </is>
      </c>
      <c r="AH509" t="inlineStr">
        <is>
          <t>indefinido</t>
        </is>
      </c>
      <c r="AJ509" t="n">
        <v>0</v>
      </c>
      <c r="AK509" t="n">
        <v>0</v>
      </c>
      <c r="AL509" t="n">
        <v>0</v>
      </c>
      <c r="AM509" t="n">
        <v>0</v>
      </c>
      <c r="AN509" t="n">
        <v>0</v>
      </c>
      <c r="AQ509" t="n">
        <v>0</v>
      </c>
      <c r="AT509" t="n">
        <v>0</v>
      </c>
      <c r="AU509" t="n">
        <v>1</v>
      </c>
    </row>
    <row r="510">
      <c r="A510" t="inlineStr">
        <is>
          <t>35840659000130_2025_13</t>
        </is>
      </c>
      <c r="B510" s="2" t="inlineStr">
        <is>
          <t>https://pncp.gov.br/app/editais/35840659000130/2025/13</t>
        </is>
      </c>
      <c r="C510" t="inlineStr">
        <is>
          <t>2026-09-27T04:16:19.907018+00:00</t>
        </is>
      </c>
      <c r="D510" t="inlineStr">
        <is>
          <t>GO</t>
        </is>
      </c>
      <c r="E510" t="inlineStr">
        <is>
          <t>GO</t>
        </is>
      </c>
      <c r="F510" t="inlineStr">
        <is>
          <t>Jataí</t>
        </is>
      </c>
      <c r="G510" t="inlineStr">
        <is>
          <t>UNIVERSIDADE FEDERAL DE JATAI</t>
        </is>
      </c>
      <c r="H510" t="inlineStr">
        <is>
          <t>Federal</t>
        </is>
      </c>
      <c r="I510" t="inlineStr">
        <is>
          <t>2025-06-23T07:15:16</t>
        </is>
      </c>
      <c r="J510" t="inlineStr">
        <is>
          <t>Pregão - Eletrônico</t>
        </is>
      </c>
      <c r="K510" t="inlineStr">
        <is>
          <t>Contratação de serviços contínuos de MANUTENÇÃO PREVENTIVA E CORRETIVA DE REDE ELÉTRICA DE MÉDIA TENSÃO E ILUMINAÇÃO PÚBLICA</t>
        </is>
      </c>
      <c r="L510" t="b">
        <v>0</v>
      </c>
      <c r="M510" t="inlineStr">
        <is>
          <t>eletrica_predial</t>
        </is>
      </c>
      <c r="N510" t="inlineStr">
        <is>
          <t>eletrica_predial</t>
        </is>
      </c>
      <c r="O510" t="n">
        <v>1757581.52</v>
      </c>
      <c r="P510" t="n">
        <v>1625205.6552</v>
      </c>
      <c r="Q510" t="n">
        <v>1757581.52</v>
      </c>
      <c r="R510" t="n">
        <v>0.07526941109172432</v>
      </c>
      <c r="S510" t="n">
        <v>0</v>
      </c>
      <c r="T510" t="n">
        <v>2</v>
      </c>
      <c r="U510" t="n">
        <v>2</v>
      </c>
      <c r="V510" t="n">
        <v>2</v>
      </c>
      <c r="W510" t="n">
        <v>0</v>
      </c>
      <c r="X510" t="n">
        <v>0</v>
      </c>
      <c r="Y510" t="n">
        <v>0</v>
      </c>
      <c r="Z510" t="n">
        <v>0</v>
      </c>
      <c r="AA510" t="n">
        <v>0</v>
      </c>
      <c r="AB510" t="n">
        <v>0</v>
      </c>
      <c r="AC510" t="n">
        <v>0</v>
      </c>
      <c r="AD510" t="n">
        <v>0</v>
      </c>
      <c r="AE510" t="n">
        <v>1</v>
      </c>
      <c r="AF510" t="inlineStr">
        <is>
          <t>ELETROCONTROLE ENGENHARIA COMERCIO E REPRESENTACAO LTDA:Demais</t>
        </is>
      </c>
      <c r="AH510" t="inlineStr">
        <is>
          <t>indefinido</t>
        </is>
      </c>
      <c r="AJ510" t="n">
        <v>0</v>
      </c>
      <c r="AK510" t="n">
        <v>0</v>
      </c>
      <c r="AL510" t="n">
        <v>0</v>
      </c>
      <c r="AM510" t="n">
        <v>0</v>
      </c>
      <c r="AN510" t="n">
        <v>0</v>
      </c>
      <c r="AQ510" t="n">
        <v>0</v>
      </c>
      <c r="AS510" t="inlineStr">
        <is>
          <t>Manutencao continua de rede eletrica de media tensao e iluminacao publica, 2 itens de servico (posto fixo + manutencao unitaria); vencedora e empresa de eletrica/engenharia -- toca equipamentos tipo subestacao/rede de distribuicao.</t>
        </is>
      </c>
      <c r="AT510" t="n">
        <v>0</v>
      </c>
      <c r="AU510" t="n">
        <v>1</v>
      </c>
    </row>
    <row r="511">
      <c r="A511" t="inlineStr">
        <is>
          <t>35840659000130_2026_27</t>
        </is>
      </c>
      <c r="B511" s="2" t="inlineStr">
        <is>
          <t>https://pncp.gov.br/app/editais/35840659000130/2026/27</t>
        </is>
      </c>
      <c r="C511" t="inlineStr">
        <is>
          <t>2026-09-27T03:14:21.399255+00:00</t>
        </is>
      </c>
      <c r="D511" t="inlineStr">
        <is>
          <t>GO</t>
        </is>
      </c>
      <c r="E511" t="inlineStr">
        <is>
          <t>GO</t>
        </is>
      </c>
      <c r="F511" t="inlineStr">
        <is>
          <t>Jataí</t>
        </is>
      </c>
      <c r="G511" t="inlineStr">
        <is>
          <t>UNIVERSIDADE FEDERAL DE JATAI</t>
        </is>
      </c>
      <c r="H511" t="inlineStr">
        <is>
          <t>Federal</t>
        </is>
      </c>
      <c r="I511" t="inlineStr">
        <is>
          <t>2026-04-14T07:05:39</t>
        </is>
      </c>
      <c r="J511" t="inlineStr">
        <is>
          <t>Pregão - Eletrônico</t>
        </is>
      </c>
      <c r="K511" t="inlineStr">
        <is>
          <t>Contratação de  serviços  contínuos e eventuais, de manutenção preventiva e corretiva predial, serviços de  manutenção e conservação de áreas urbanas e rurais, apoio técnico-operacional, com o fornecimento de mão de  obra, ferramentas, equipamentos, instrumentos e insumos necessários para a execução dos serviços, a serem  executados com regime de dedicação exclusiva de mão de obra.</t>
        </is>
      </c>
      <c r="L511" t="b">
        <v>0</v>
      </c>
      <c r="M511" t="inlineStr">
        <is>
          <t>manutencao_predial</t>
        </is>
      </c>
      <c r="N511" t="inlineStr">
        <is>
          <t>manutencao_predial</t>
        </is>
      </c>
      <c r="O511" t="n">
        <v>3663619.8</v>
      </c>
      <c r="P511" t="n">
        <v>3352838.16</v>
      </c>
      <c r="Q511" t="n">
        <v>3663619.799999999</v>
      </c>
      <c r="R511" t="n">
        <v>0.08482911900410631</v>
      </c>
      <c r="S511" t="n">
        <v>0</v>
      </c>
      <c r="T511" t="n">
        <v>17</v>
      </c>
      <c r="U511" t="n">
        <v>17</v>
      </c>
      <c r="V511" t="n">
        <v>17</v>
      </c>
      <c r="W511" t="n">
        <v>0</v>
      </c>
      <c r="X511" t="n">
        <v>0</v>
      </c>
      <c r="Y511" t="n">
        <v>0</v>
      </c>
      <c r="Z511" t="n">
        <v>0</v>
      </c>
      <c r="AA511" t="n">
        <v>0</v>
      </c>
      <c r="AB511" t="n">
        <v>0</v>
      </c>
      <c r="AC511" t="n">
        <v>0</v>
      </c>
      <c r="AD511" t="n">
        <v>0</v>
      </c>
      <c r="AE511" t="n">
        <v>1</v>
      </c>
      <c r="AF511" t="inlineStr">
        <is>
          <t>EMBRAED EMPREENDIMENTOS LTDA:Demais</t>
        </is>
      </c>
      <c r="AH511" t="inlineStr">
        <is>
          <t>pontual</t>
        </is>
      </c>
      <c r="AI511" t="n">
        <v>12</v>
      </c>
      <c r="AJ511" t="n">
        <v>0</v>
      </c>
      <c r="AK511" t="n">
        <v>0</v>
      </c>
      <c r="AL511" t="n">
        <v>0</v>
      </c>
      <c r="AM511" t="n">
        <v>1</v>
      </c>
      <c r="AN511" t="n">
        <v>1</v>
      </c>
      <c r="AP511" t="inlineStr">
        <is>
          <t>s aos exigidos ou com atribuições superiores; 9.34.1.4 Serão admitidos, para fins de comprovação de quantitativo mínimo de serviço, a apresentação e o somatório de diferentes atestados de serviços executados de forma concomitante, pois essa situação equivale, para fins de comprovação de capacidade t…</t>
        </is>
      </c>
      <c r="AQ511" t="n">
        <v>0</v>
      </c>
      <c r="AT511" t="n">
        <v>0</v>
      </c>
      <c r="AU511" t="n">
        <v>1</v>
      </c>
    </row>
    <row r="512">
      <c r="A512" t="inlineStr">
        <is>
          <t>36975571000199_2025_866</t>
        </is>
      </c>
      <c r="B512" s="2" t="inlineStr">
        <is>
          <t>https://pncp.gov.br/app/editais/36975571000199/2025/866</t>
        </is>
      </c>
      <c r="C512" t="inlineStr">
        <is>
          <t>2026-09-27T02:47:50.606842+00:00</t>
        </is>
      </c>
      <c r="D512" t="inlineStr">
        <is>
          <t>GO</t>
        </is>
      </c>
      <c r="E512" t="inlineStr">
        <is>
          <t>GO</t>
        </is>
      </c>
      <c r="F512" t="inlineStr">
        <is>
          <t>Goianésia</t>
        </is>
      </c>
      <c r="G512" t="inlineStr">
        <is>
          <t>FUNDO MUNICIPAL DE SAUDE</t>
        </is>
      </c>
      <c r="H512" t="inlineStr">
        <is>
          <t>Municipal</t>
        </is>
      </c>
      <c r="I512" t="inlineStr">
        <is>
          <t>2025-10-02T09:13:33</t>
        </is>
      </c>
      <c r="J512" t="inlineStr">
        <is>
          <t>Pregão - Eletrônico</t>
        </is>
      </c>
      <c r="K512" t="inlineStr">
        <is>
          <t>REGISTRO DE PREÇOS PARA A CONTRATAÇÃO DE EMPRESA PARA O FORNECIMENTO DE TABLETS E APARELHOS DE AR CONDICIONADO E MOBILIÁRIO PARA A SECRETARIA MUNICIPAL DE SAÚDE NO MUNÍCIPIO DE GOIANÉSIA/GO.</t>
        </is>
      </c>
      <c r="L512" t="b">
        <v>1</v>
      </c>
      <c r="M512" t="inlineStr">
        <is>
          <t>climatizacao</t>
        </is>
      </c>
      <c r="N512" t="inlineStr">
        <is>
          <t>climatizacao</t>
        </is>
      </c>
      <c r="O512" t="n">
        <v>196282.66</v>
      </c>
      <c r="P512" t="n">
        <v>183666.3</v>
      </c>
      <c r="Q512" t="n">
        <v>196282.66</v>
      </c>
      <c r="R512" t="n">
        <v>0.06427649198728146</v>
      </c>
      <c r="S512" t="n">
        <v>0</v>
      </c>
      <c r="T512" t="n">
        <v>2</v>
      </c>
      <c r="U512" t="n">
        <v>2</v>
      </c>
      <c r="V512" t="n">
        <v>2</v>
      </c>
      <c r="W512" t="n">
        <v>0</v>
      </c>
      <c r="X512" t="n">
        <v>0</v>
      </c>
      <c r="Y512" t="n">
        <v>0</v>
      </c>
      <c r="Z512" t="n">
        <v>0</v>
      </c>
      <c r="AA512" t="n">
        <v>0</v>
      </c>
      <c r="AB512" t="n">
        <v>0</v>
      </c>
      <c r="AC512" t="n">
        <v>0</v>
      </c>
      <c r="AD512" t="n">
        <v>0</v>
      </c>
      <c r="AE512" t="n">
        <v>2</v>
      </c>
      <c r="AF512" t="inlineStr">
        <is>
          <t>F A O MELO COMERCIO E SERVICOS:Demais; WEBMAIS DISTRIBUIDORA LTDA:ME</t>
        </is>
      </c>
      <c r="AH512" t="inlineStr">
        <is>
          <t>pontual</t>
        </is>
      </c>
      <c r="AJ512" t="n">
        <v>0</v>
      </c>
      <c r="AK512" t="n">
        <v>0</v>
      </c>
      <c r="AL512" t="n">
        <v>0</v>
      </c>
      <c r="AM512" t="n">
        <v>0</v>
      </c>
      <c r="AN512" t="n">
        <v>0</v>
      </c>
      <c r="AQ512" t="n">
        <v>0</v>
      </c>
      <c r="AS512" t="inlineStr">
        <is>
          <t>heuristica automatica confirmada: servico real de climatizacao, sem sinais de exclusao.</t>
        </is>
      </c>
      <c r="AT512" t="n">
        <v>0</v>
      </c>
      <c r="AU512" t="n">
        <v>1</v>
      </c>
    </row>
    <row r="513">
      <c r="A513" t="inlineStr">
        <is>
          <t>36975571000199_2026_132</t>
        </is>
      </c>
      <c r="B513" s="2" t="inlineStr">
        <is>
          <t>https://pncp.gov.br/app/editais/36975571000199/2026/132</t>
        </is>
      </c>
      <c r="C513" t="inlineStr">
        <is>
          <t>2026-09-27T04:37:30.559941+00:00</t>
        </is>
      </c>
      <c r="D513" t="inlineStr">
        <is>
          <t>GO</t>
        </is>
      </c>
      <c r="E513" t="inlineStr">
        <is>
          <t>GO</t>
        </is>
      </c>
      <c r="F513" t="inlineStr">
        <is>
          <t>Goianésia</t>
        </is>
      </c>
      <c r="G513" t="inlineStr">
        <is>
          <t>FUNDO MUNICIPAL DE SAUDE</t>
        </is>
      </c>
      <c r="H513" t="inlineStr">
        <is>
          <t>Municipal</t>
        </is>
      </c>
      <c r="I513" t="inlineStr">
        <is>
          <t>2026-03-16T09:14:30</t>
        </is>
      </c>
      <c r="J513" t="inlineStr">
        <is>
          <t>Pregão - Eletrônico</t>
        </is>
      </c>
      <c r="K513" t="inlineStr">
        <is>
          <t>ADESÃO À ATA DE REGISTRO DE PREÇOS PARA A AQUISIÇÃO DE MATERIAIS DESTINADOS À ILUMINAÇÃO PÚBLICA E À MANUTENÇÃO PREDIAL, COM A FINALIDADE DE ATENDER ÀS DEMANDAS DO NOVO HOSPITAL MUNICIPAL, VINCULADO À SECRETARIA MUNICIPAL DE SAÚDE, CONFORME ESPECIFICAÇÕES, QUANTITATIVOS E CONDIÇÕES ESTABELECIDAS NA RESPECTIVA ATA.</t>
        </is>
      </c>
      <c r="L513" t="b">
        <v>1</v>
      </c>
      <c r="M513" t="inlineStr">
        <is>
          <t>iluminacao_publica</t>
        </is>
      </c>
      <c r="N513" t="inlineStr">
        <is>
          <t>iluminacao_publica</t>
        </is>
      </c>
      <c r="O513" t="n">
        <v>374790.23</v>
      </c>
      <c r="P513" t="n">
        <v>374790.23</v>
      </c>
      <c r="Q513" t="n">
        <v>374790.23</v>
      </c>
      <c r="R513" t="n">
        <v>0</v>
      </c>
      <c r="S513" t="n">
        <v>0</v>
      </c>
      <c r="T513" t="n">
        <v>28</v>
      </c>
      <c r="U513" t="n">
        <v>28</v>
      </c>
      <c r="V513" t="n">
        <v>28</v>
      </c>
      <c r="W513" t="n">
        <v>0</v>
      </c>
      <c r="X513" t="n">
        <v>0</v>
      </c>
      <c r="Y513" t="n">
        <v>0</v>
      </c>
      <c r="Z513" t="n">
        <v>0</v>
      </c>
      <c r="AA513" t="n">
        <v>0</v>
      </c>
      <c r="AB513" t="n">
        <v>0</v>
      </c>
      <c r="AC513" t="n">
        <v>0</v>
      </c>
      <c r="AD513" t="n">
        <v>0</v>
      </c>
      <c r="AE513" t="n">
        <v>1</v>
      </c>
      <c r="AF513" t="inlineStr">
        <is>
          <t>DOUGLAS ALVES P. BARBOSA:Demais</t>
        </is>
      </c>
      <c r="AH513" t="inlineStr">
        <is>
          <t>pontual</t>
        </is>
      </c>
      <c r="AJ513" t="n">
        <v>0</v>
      </c>
      <c r="AK513" t="n">
        <v>0</v>
      </c>
      <c r="AL513" t="n">
        <v>0</v>
      </c>
      <c r="AM513" t="n">
        <v>0</v>
      </c>
      <c r="AN513" t="n">
        <v>0</v>
      </c>
      <c r="AQ513" t="n">
        <v>1</v>
      </c>
      <c r="AR513" t="inlineStr">
        <is>
          <t>fornecimento_puro</t>
        </is>
      </c>
      <c r="AS513" t="inlineStr">
        <is>
          <t>Registro de preços/contratação de fornecimento de materiais, sem mão de obra de manutenção contratada.</t>
        </is>
      </c>
      <c r="AT513" t="n">
        <v>1</v>
      </c>
      <c r="AU513" t="n">
        <v>0</v>
      </c>
    </row>
    <row r="514">
      <c r="A514" t="inlineStr">
        <is>
          <t>36975571000199_2026_200</t>
        </is>
      </c>
      <c r="B514" s="2" t="inlineStr">
        <is>
          <t>https://pncp.gov.br/app/editais/36975571000199/2026/200</t>
        </is>
      </c>
      <c r="C514" t="inlineStr">
        <is>
          <t>2026-09-27T02:37:04.353937+00:00</t>
        </is>
      </c>
      <c r="D514" t="inlineStr">
        <is>
          <t>GO</t>
        </is>
      </c>
      <c r="E514" t="inlineStr">
        <is>
          <t>GO</t>
        </is>
      </c>
      <c r="F514" t="inlineStr">
        <is>
          <t>Goianésia</t>
        </is>
      </c>
      <c r="G514" t="inlineStr">
        <is>
          <t>FUNDO MUNICIPAL DE SAUDE</t>
        </is>
      </c>
      <c r="H514" t="inlineStr">
        <is>
          <t>Municipal</t>
        </is>
      </c>
      <c r="I514" t="inlineStr">
        <is>
          <t>2026-04-30T16:53:00</t>
        </is>
      </c>
      <c r="J514" t="inlineStr">
        <is>
          <t>Pregão - Eletrônico</t>
        </is>
      </c>
      <c r="K514" t="inlineStr">
        <is>
          <t>PROCESSO LICITATORIO MODALIDADE REGISTRO DE PREÇO PARA CONTRATAÇÃO DE EMPRESA ESPECIALIZADA NA PRESTAÇÃO DE SERVIÇOS POR EMPREITADA GLOBAL DE MANUTENÇÃO PREVENTIVA E CORRETIVA DOS CONDICIONADORES DE AR DE TODAS AS UNIDADES ABASTECIDAS PELA SECRETARIA MUNICIPAL DE SAÚDE.</t>
        </is>
      </c>
      <c r="L514" t="b">
        <v>1</v>
      </c>
      <c r="M514" t="inlineStr">
        <is>
          <t>climatizacao</t>
        </is>
      </c>
      <c r="N514" t="inlineStr">
        <is>
          <t>climatizacao</t>
        </is>
      </c>
      <c r="O514" t="n">
        <v>3295521.5</v>
      </c>
      <c r="P514" t="n">
        <v>1144000</v>
      </c>
      <c r="Q514" t="n">
        <v>3295521.5</v>
      </c>
      <c r="R514" t="n">
        <v>0.6528622252957537</v>
      </c>
      <c r="S514" t="n">
        <v>0</v>
      </c>
      <c r="T514" t="n">
        <v>20</v>
      </c>
      <c r="U514" t="n">
        <v>20</v>
      </c>
      <c r="V514" t="n">
        <v>20</v>
      </c>
      <c r="W514" t="n">
        <v>0</v>
      </c>
      <c r="X514" t="n">
        <v>0</v>
      </c>
      <c r="Y514" t="n">
        <v>0</v>
      </c>
      <c r="Z514" t="n">
        <v>0</v>
      </c>
      <c r="AA514" t="n">
        <v>0</v>
      </c>
      <c r="AB514" t="n">
        <v>0</v>
      </c>
      <c r="AC514" t="n">
        <v>0</v>
      </c>
      <c r="AD514" t="n">
        <v>0</v>
      </c>
      <c r="AE514" t="n">
        <v>1</v>
      </c>
      <c r="AF514" t="inlineStr">
        <is>
          <t>RENOVE SEGURANCA LTDA:Demais</t>
        </is>
      </c>
      <c r="AH514" t="inlineStr">
        <is>
          <t>pontual</t>
        </is>
      </c>
      <c r="AI514" t="n">
        <v>3</v>
      </c>
      <c r="AJ514" t="n">
        <v>0</v>
      </c>
      <c r="AK514" t="n">
        <v>0</v>
      </c>
      <c r="AL514" t="n">
        <v>0</v>
      </c>
      <c r="AM514" t="n">
        <v>0</v>
      </c>
      <c r="AN514" t="n">
        <v>1</v>
      </c>
      <c r="AP514" t="inlineStr">
        <is>
          <t>a, têm-se os seguintes requisitos: 2.1.1. Certidão de registro da empresa no CREA; 2.1.2. Atestados de Capacidade Técnica-Operacional, comprovando que a empresa tenha executado, satisfatoriamente, para órgão ou entidade da Administração Pública direta ou indireta, Federal, Municipal ou do Distrito F…</t>
        </is>
      </c>
      <c r="AQ514" t="n">
        <v>0</v>
      </c>
      <c r="AS514" t="inlineStr">
        <is>
          <t>heuristica automatica confirmada: servico real de climatizacao, sem sinais de exclusao.</t>
        </is>
      </c>
      <c r="AT514" t="n">
        <v>0</v>
      </c>
      <c r="AU514" t="n">
        <v>1</v>
      </c>
    </row>
    <row r="515">
      <c r="A515" t="inlineStr">
        <is>
          <t>36985463000105_2026_19</t>
        </is>
      </c>
      <c r="B515" s="2" t="inlineStr">
        <is>
          <t>https://pncp.gov.br/app/editais/36985463000105/2026/19</t>
        </is>
      </c>
      <c r="C515" t="inlineStr">
        <is>
          <t>2026-09-27T04:40:28.785031+00:00</t>
        </is>
      </c>
      <c r="D515" t="inlineStr">
        <is>
          <t>GO</t>
        </is>
      </c>
      <c r="E515" t="inlineStr">
        <is>
          <t>GO</t>
        </is>
      </c>
      <c r="F515" t="inlineStr">
        <is>
          <t>Cocalzinho de Goiás</t>
        </is>
      </c>
      <c r="G515" t="inlineStr">
        <is>
          <t>MUNICIPIO DE COCALZINHO DE GOIAS</t>
        </is>
      </c>
      <c r="H515" t="inlineStr">
        <is>
          <t>Municipal</t>
        </is>
      </c>
      <c r="I515" t="inlineStr">
        <is>
          <t>2026-01-16T11:20:00</t>
        </is>
      </c>
      <c r="J515" t="inlineStr">
        <is>
          <t>Concorrência - Eletrônica</t>
        </is>
      </c>
      <c r="K515" t="inlineStr">
        <is>
          <t>EXECUÇÃO DE ILUMINAÇÃO PÚBLICA NO DISTRITO DE EDILÂNDIA, MUNICÍPIO DE COCALZINHO DE GOIÁS, REFERENTE AO PROCESSO N° 202300042000314.</t>
        </is>
      </c>
      <c r="L515" t="b">
        <v>0</v>
      </c>
      <c r="M515" t="inlineStr">
        <is>
          <t>iluminacao_publica</t>
        </is>
      </c>
      <c r="N515" t="inlineStr">
        <is>
          <t>iluminacao_publica</t>
        </is>
      </c>
      <c r="O515" t="n">
        <v>534849.05</v>
      </c>
      <c r="P515" t="n">
        <v>400000</v>
      </c>
      <c r="Q515" t="n">
        <v>534849.05</v>
      </c>
      <c r="R515" t="n">
        <v>0.2521254361394117</v>
      </c>
      <c r="S515" t="n">
        <v>0</v>
      </c>
      <c r="T515" t="n">
        <v>1</v>
      </c>
      <c r="U515" t="n">
        <v>1</v>
      </c>
      <c r="V515" t="n">
        <v>1</v>
      </c>
      <c r="W515" t="n">
        <v>0</v>
      </c>
      <c r="X515" t="n">
        <v>0</v>
      </c>
      <c r="Y515" t="n">
        <v>0</v>
      </c>
      <c r="Z515" t="n">
        <v>0</v>
      </c>
      <c r="AA515" t="n">
        <v>0</v>
      </c>
      <c r="AB515" t="n">
        <v>0</v>
      </c>
      <c r="AC515" t="n">
        <v>0</v>
      </c>
      <c r="AD515" t="n">
        <v>0</v>
      </c>
      <c r="AE515" t="n">
        <v>1</v>
      </c>
      <c r="AF515" t="inlineStr">
        <is>
          <t>DOUGLAS ALVES P. BARBOSA:Demais</t>
        </is>
      </c>
      <c r="AH515" t="inlineStr">
        <is>
          <t>indefinido</t>
        </is>
      </c>
      <c r="AJ515" t="n">
        <v>0</v>
      </c>
      <c r="AK515" t="n">
        <v>0</v>
      </c>
      <c r="AL515" t="n">
        <v>0</v>
      </c>
      <c r="AM515" t="n">
        <v>0</v>
      </c>
      <c r="AN515" t="n">
        <v>0</v>
      </c>
      <c r="AQ515" t="n">
        <v>0</v>
      </c>
      <c r="AS515" t="inlineStr">
        <is>
          <t>Nenhum dos 4 critérios de exclusão se aplica; objeto compatível com manutenção/pequena extensão de IP.</t>
        </is>
      </c>
      <c r="AT515" t="n">
        <v>0</v>
      </c>
      <c r="AU515" t="n">
        <v>1</v>
      </c>
    </row>
    <row r="516">
      <c r="A516" t="inlineStr">
        <is>
          <t>37115342000167_2026_57</t>
        </is>
      </c>
      <c r="B516" s="2" t="inlineStr">
        <is>
          <t>https://pncp.gov.br/app/editais/37115342000167/2026/57</t>
        </is>
      </c>
      <c r="C516" t="inlineStr">
        <is>
          <t>2026-09-27T04:52:07.472911+00:00</t>
        </is>
      </c>
      <c r="D516" t="inlineStr">
        <is>
          <t>DF</t>
        </is>
      </c>
      <c r="E516" t="inlineStr">
        <is>
          <t>vizinhos</t>
        </is>
      </c>
      <c r="F516" t="inlineStr">
        <is>
          <t>Brasília</t>
        </is>
      </c>
      <c r="G516" t="inlineStr">
        <is>
          <t>MINISTERIO DOS TRANSPORTES</t>
        </is>
      </c>
      <c r="H516" t="inlineStr">
        <is>
          <t>Federal</t>
        </is>
      </c>
      <c r="I516" t="inlineStr">
        <is>
          <t>2026-08-05T04:00:14</t>
        </is>
      </c>
      <c r="J516" t="inlineStr">
        <is>
          <t>Pregão - Eletrônico</t>
        </is>
      </c>
      <c r="K516" t="inlineStr">
        <is>
          <t>Contratação de serviços continuados de engenharia, com dedicação exclusiva de mão de obra, para a realização de manutenção preventiva, preditiva e corretiva dos sistemas de climatização das edificações sob gestão do Ministério dos Transportes em Brasília/DF, incluindo tratamento químico da água, execução de serviços eventuais sob demanda, fornecimento de material, peças e componentes de reposição, instalação, substituição, integração e comissionamento de componentes e sistemas, abrangendo o Sistema de Água Gelada com Chiller, os Sistemas de expansão direta  (ACJ e Split ) e o Sistema de Ar com Controle de Vazão de Ar Variável (VAV), bem como a distribuição, tratamento de ar e automação predial.</t>
        </is>
      </c>
      <c r="L516" t="b">
        <v>0</v>
      </c>
      <c r="M516" t="inlineStr">
        <is>
          <t>climatizacao</t>
        </is>
      </c>
      <c r="N516" t="inlineStr">
        <is>
          <t>climatizacao</t>
        </is>
      </c>
      <c r="O516" t="n">
        <v>5033508.82</v>
      </c>
      <c r="P516" t="n">
        <v>3786385.81</v>
      </c>
      <c r="Q516" t="n">
        <v>5033508.82</v>
      </c>
      <c r="R516" t="n">
        <v>0.2477641451713995</v>
      </c>
      <c r="S516" t="n">
        <v>0</v>
      </c>
      <c r="T516" t="n">
        <v>3</v>
      </c>
      <c r="U516" t="n">
        <v>3</v>
      </c>
      <c r="V516" t="n">
        <v>3</v>
      </c>
      <c r="W516" t="n">
        <v>0</v>
      </c>
      <c r="X516" t="n">
        <v>0</v>
      </c>
      <c r="Y516" t="n">
        <v>0</v>
      </c>
      <c r="Z516" t="n">
        <v>0</v>
      </c>
      <c r="AA516" t="n">
        <v>0</v>
      </c>
      <c r="AB516" t="n">
        <v>0</v>
      </c>
      <c r="AC516" t="n">
        <v>0</v>
      </c>
      <c r="AD516" t="n">
        <v>0</v>
      </c>
      <c r="AE516" t="n">
        <v>1</v>
      </c>
      <c r="AF516" t="inlineStr">
        <is>
          <t>TEMPER ENGENHARIA E COMERCIO LTDA:Demais</t>
        </is>
      </c>
      <c r="AH516" t="inlineStr">
        <is>
          <t>continuado</t>
        </is>
      </c>
      <c r="AJ516" t="n">
        <v>0</v>
      </c>
      <c r="AK516" t="n">
        <v>0</v>
      </c>
      <c r="AL516" t="n">
        <v>0</v>
      </c>
      <c r="AM516" t="n">
        <v>0</v>
      </c>
      <c r="AN516" t="n">
        <v>0</v>
      </c>
      <c r="AQ516" t="n">
        <v>0</v>
      </c>
      <c r="AS516" t="inlineStr">
        <is>
          <t>servico continuado de manutencao de sistemas de climatizacao existentes (incl. chiller) do Ministerio dos Transportes; nao e fornecimento de chiller novo.</t>
        </is>
      </c>
      <c r="AT516" t="n">
        <v>0</v>
      </c>
      <c r="AU516" t="n">
        <v>1</v>
      </c>
    </row>
    <row r="517">
      <c r="A517" t="inlineStr">
        <is>
          <t>37226644000102_2026_15</t>
        </is>
      </c>
      <c r="B517" s="2" t="inlineStr">
        <is>
          <t>https://pncp.gov.br/app/editais/37226644000102/2026/15</t>
        </is>
      </c>
      <c r="C517" t="inlineStr">
        <is>
          <t>2026-09-27T05:24:54.241165+00:00</t>
        </is>
      </c>
      <c r="D517" t="inlineStr">
        <is>
          <t>MS</t>
        </is>
      </c>
      <c r="E517" t="inlineStr">
        <is>
          <t>vizinhos</t>
        </is>
      </c>
      <c r="F517" t="inlineStr">
        <is>
          <t>Novo Horizonte do Sul</t>
        </is>
      </c>
      <c r="G517" t="inlineStr">
        <is>
          <t>MUNICIPIO DE NOVO HORIZONTE DO SUL</t>
        </is>
      </c>
      <c r="H517" t="inlineStr">
        <is>
          <t>Municipal</t>
        </is>
      </c>
      <c r="I517" t="inlineStr">
        <is>
          <t>2026-02-12T15:26:23</t>
        </is>
      </c>
      <c r="J517" t="inlineStr">
        <is>
          <t>Pregão - Presencial</t>
        </is>
      </c>
      <c r="K517" t="inlineStr">
        <is>
          <t>CONTRATAÇÃO DE EMPRESA ESPECIALIZADA NA PRESTAÇÃO DE SERVIÇOS DE MANUTENÇÃO PREVENTIVA E CORRETIVA EM EQUIPAMENTOS DE CLIMATIZAÇÃO E REFRIGERAÇÃO, COMPREENDENDO APARELHOS DE AR-CONDICIONADO, CORTINAS DE AR, CLIMATIZADORES, BEBEDOUROS, GELADEIRAS, FREEZERS E CÂMARAS FRIAS, DESTINADOS AO ATENDIMENTO DAS NECESSIDADES DA ADMINISTRAÇÃO PÚBLICA DO MUNICÍPIO DE NOVO HORIZONTE DO SUL/MS, VISANDO GARANTIR O ADEQUADO FUNCIONAMENTO, A CONSERVAÇÃO DOS EQUIPAMENTOS, A EFICIÊNCIA ENERGÉTICA, A SEGURANÇA DOS USUÁRIOS E A CONTINUIDADE DOS SERVIÇOS PÚBLICOS.</t>
        </is>
      </c>
      <c r="L517" t="b">
        <v>1</v>
      </c>
      <c r="M517" t="inlineStr">
        <is>
          <t>refrigeracao</t>
        </is>
      </c>
      <c r="N517" t="inlineStr">
        <is>
          <t>refrigeracao</t>
        </is>
      </c>
      <c r="O517" t="n">
        <v>386537.28</v>
      </c>
      <c r="P517" t="n">
        <v>215357.76</v>
      </c>
      <c r="Q517" t="n">
        <v>337493.1</v>
      </c>
      <c r="R517" t="n">
        <v>0.3618898875265895</v>
      </c>
      <c r="S517" t="n">
        <v>0</v>
      </c>
      <c r="T517" t="n">
        <v>92</v>
      </c>
      <c r="U517" t="n">
        <v>40</v>
      </c>
      <c r="V517" t="n">
        <v>82</v>
      </c>
      <c r="W517" t="n">
        <v>0</v>
      </c>
      <c r="X517" t="n">
        <v>0</v>
      </c>
      <c r="Y517" t="n">
        <v>0</v>
      </c>
      <c r="Z517" t="n">
        <v>0</v>
      </c>
      <c r="AA517" t="n">
        <v>0</v>
      </c>
      <c r="AB517" t="n">
        <v>0</v>
      </c>
      <c r="AC517" t="n">
        <v>0</v>
      </c>
      <c r="AD517" t="n">
        <v>0</v>
      </c>
      <c r="AE517" t="n">
        <v>3</v>
      </c>
      <c r="AF517" t="inlineStr">
        <is>
          <t>CAMPOZANO COMERCIO E SERVICOS LTDA:ME; FABIO JUNIOR DOS SANTOS:ME; DANIEL DE SOUZA DA SILVA:ME</t>
        </is>
      </c>
      <c r="AH517" t="inlineStr">
        <is>
          <t>indefinido</t>
        </is>
      </c>
      <c r="AJ517" t="n">
        <v>0</v>
      </c>
      <c r="AK517" t="n">
        <v>0</v>
      </c>
      <c r="AL517" t="n">
        <v>0</v>
      </c>
      <c r="AM517" t="n">
        <v>0</v>
      </c>
      <c r="AN517" t="n">
        <v>0</v>
      </c>
      <c r="AQ517" t="n">
        <v>0</v>
      </c>
      <c r="AR517" t="inlineStr">
        <is>
          <t>fora_do_nucleo</t>
        </is>
      </c>
      <c r="AS517" t="inlineStr">
        <is>
          <t>~82% do valor em limpeza quimica/carga de gas/instalacao de ar-condicionado por faixa de BTU.</t>
        </is>
      </c>
      <c r="AT517" t="n">
        <v>0</v>
      </c>
      <c r="AU517" t="n">
        <v>0</v>
      </c>
    </row>
    <row r="518">
      <c r="A518" t="inlineStr">
        <is>
          <t>37226644000102_2026_69</t>
        </is>
      </c>
      <c r="B518" s="2" t="inlineStr">
        <is>
          <t>https://pncp.gov.br/app/editais/37226644000102/2026/69</t>
        </is>
      </c>
      <c r="C518" t="inlineStr">
        <is>
          <t>2026-09-27T05:21:18.674754+00:00</t>
        </is>
      </c>
      <c r="D518" t="inlineStr">
        <is>
          <t>MS</t>
        </is>
      </c>
      <c r="E518" t="inlineStr">
        <is>
          <t>vizinhos</t>
        </is>
      </c>
      <c r="F518" t="inlineStr">
        <is>
          <t>Novo Horizonte do Sul</t>
        </is>
      </c>
      <c r="G518" t="inlineStr">
        <is>
          <t>MUNICIPIO DE NOVO HORIZONTE DO SUL</t>
        </is>
      </c>
      <c r="H518" t="inlineStr">
        <is>
          <t>Municipal</t>
        </is>
      </c>
      <c r="I518" t="inlineStr">
        <is>
          <t>2026-05-29T12:46:23</t>
        </is>
      </c>
      <c r="J518" t="inlineStr">
        <is>
          <t>Pregão - Presencial</t>
        </is>
      </c>
      <c r="K518" t="inlineStr">
        <is>
          <t>REGISTRO DE PREÇOS PARA FUTURA E EVENTUAL CONTRATAÇÃO DE EMPRESA ESPECIALIZADA NA PRESTAÇÃO DE SERVIÇOS DE MANUTENÇÃO PREVENTIVA E CORRETIVA EM EQUIPAMENTOS DE CLIMATIZAÇÃO E REFRIGERAÇÃO, COMPREENDENDO APARELHOS DE AR-CONDICIONADO, CLIMATIZADORES, GELADEIRAS, FREEZERS E CÂMARAS FRIAS, DESTINADOS AO ATENDIMENTO DAS NECESSIDADES DA ADMINISTRAÇÃO PÚBLICA DO MUNICÍPIO DE NOVO HORIZONTE DO SUL/MS, VISANDO GARANTIR O ADEQUADO FUNCIONAMENTO, A CONSERVAÇÃO DOS EQUIPAMENTOS, A EFICIÊNCIA ENERGÉTICA, A SEGURANÇA DOS USUÁRIOS E A CONTINUIDADE DOS SERVIÇOS PÚBLICOS.</t>
        </is>
      </c>
      <c r="L518" t="b">
        <v>1</v>
      </c>
      <c r="M518" t="inlineStr">
        <is>
          <t>climatizacao</t>
        </is>
      </c>
      <c r="N518" t="inlineStr">
        <is>
          <t>climatizacao</t>
        </is>
      </c>
      <c r="O518" t="n">
        <v>205691.43</v>
      </c>
      <c r="P518" t="n">
        <v>129288</v>
      </c>
      <c r="Q518" t="n">
        <v>205691.43</v>
      </c>
      <c r="R518" t="n">
        <v>0.3714468317907071</v>
      </c>
      <c r="S518" t="n">
        <v>0</v>
      </c>
      <c r="T518" t="n">
        <v>10</v>
      </c>
      <c r="U518" t="n">
        <v>10</v>
      </c>
      <c r="V518" t="n">
        <v>10</v>
      </c>
      <c r="W518" t="n">
        <v>0</v>
      </c>
      <c r="X518" t="n">
        <v>0</v>
      </c>
      <c r="Y518" t="n">
        <v>0</v>
      </c>
      <c r="Z518" t="n">
        <v>0</v>
      </c>
      <c r="AA518" t="n">
        <v>0</v>
      </c>
      <c r="AB518" t="n">
        <v>0</v>
      </c>
      <c r="AC518" t="n">
        <v>0</v>
      </c>
      <c r="AD518" t="n">
        <v>0</v>
      </c>
      <c r="AE518" t="n">
        <v>1</v>
      </c>
      <c r="AF518" t="inlineStr">
        <is>
          <t>CAMPOZANO COMERCIO E SERVICOS LTDA:ME</t>
        </is>
      </c>
      <c r="AH518" t="inlineStr">
        <is>
          <t>pontual</t>
        </is>
      </c>
      <c r="AJ518" t="n">
        <v>0</v>
      </c>
      <c r="AK518" t="n">
        <v>0</v>
      </c>
      <c r="AL518" t="n">
        <v>0</v>
      </c>
      <c r="AM518" t="n">
        <v>0</v>
      </c>
      <c r="AN518" t="n">
        <v>0</v>
      </c>
      <c r="AQ518" t="n">
        <v>0</v>
      </c>
      <c r="AS518" t="inlineStr">
        <is>
          <t>heuristica automatica confirmada: servico real de climatizacao, sem sinais de exclusao.</t>
        </is>
      </c>
      <c r="AT518" t="n">
        <v>0</v>
      </c>
      <c r="AU518" t="n">
        <v>1</v>
      </c>
    </row>
    <row r="519">
      <c r="A519" t="inlineStr">
        <is>
          <t>37226644000102_2026_95</t>
        </is>
      </c>
      <c r="B519" s="2" t="inlineStr">
        <is>
          <t>https://pncp.gov.br/app/editais/37226644000102/2026/95</t>
        </is>
      </c>
      <c r="C519" t="inlineStr">
        <is>
          <t>2026-09-27T05:29:38.097709+00:00</t>
        </is>
      </c>
      <c r="D519" t="inlineStr">
        <is>
          <t>MS</t>
        </is>
      </c>
      <c r="E519" t="inlineStr">
        <is>
          <t>vizinhos</t>
        </is>
      </c>
      <c r="F519" t="inlineStr">
        <is>
          <t>Novo Horizonte do Sul</t>
        </is>
      </c>
      <c r="G519" t="inlineStr">
        <is>
          <t>MUNICIPIO DE NOVO HORIZONTE DO SUL</t>
        </is>
      </c>
      <c r="H519" t="inlineStr">
        <is>
          <t>Municipal</t>
        </is>
      </c>
      <c r="I519" t="inlineStr">
        <is>
          <t>2026-08-14T11:01:58</t>
        </is>
      </c>
      <c r="J519" t="inlineStr">
        <is>
          <t>Pregão - Eletrônico</t>
        </is>
      </c>
      <c r="K519" t="inlineStr">
        <is>
          <t>AQUISIÇÃO DE 03 (TRÊS) IMPLEMENTOS AGRÍCOLAS, SENDO 01 (UMA) CALCAREADEIRA AGRÍCOLA, 01 (UMA) CARRETA AGRÍCOLA BASCULANTE E 01 (UM) GUINCHO AGRÍCOLA HIDRÁULICO PARA BIG BAG, TODOS NOVOS, SEM USO ANTERIOR E DE FABRICAÇÃO 2026 OU POSTERIOR, DESTINADOS AO ATENDIMENTO DAS NECESSIDADES DA GERÊNCIA MUNICIPAL DE AGRICULTURA, PECUÁRIA E DESENVOLVIMENTO ECONÔMICO DO MUNICÍPIO DE NOVO HORIZONTE DO SUL/MS</t>
        </is>
      </c>
      <c r="L519" t="b">
        <v>0</v>
      </c>
      <c r="M519" t="inlineStr">
        <is>
          <t>munck</t>
        </is>
      </c>
      <c r="N519" t="inlineStr">
        <is>
          <t>munck</t>
        </is>
      </c>
      <c r="O519" t="n">
        <v>195424.63</v>
      </c>
      <c r="P519" t="n">
        <v>142390</v>
      </c>
      <c r="Q519" t="n">
        <v>195424.63</v>
      </c>
      <c r="R519" t="n">
        <v>0.2713815039588408</v>
      </c>
      <c r="S519" t="n">
        <v>0</v>
      </c>
      <c r="T519" t="n">
        <v>3</v>
      </c>
      <c r="U519" t="n">
        <v>3</v>
      </c>
      <c r="V519" t="n">
        <v>3</v>
      </c>
      <c r="W519" t="n">
        <v>0</v>
      </c>
      <c r="X519" t="n">
        <v>0</v>
      </c>
      <c r="Y519" t="n">
        <v>0</v>
      </c>
      <c r="Z519" t="n">
        <v>0</v>
      </c>
      <c r="AA519" t="n">
        <v>0</v>
      </c>
      <c r="AB519" t="n">
        <v>0</v>
      </c>
      <c r="AC519" t="n">
        <v>0</v>
      </c>
      <c r="AD519" t="n">
        <v>0</v>
      </c>
      <c r="AE519" t="n">
        <v>12</v>
      </c>
      <c r="AF519" t="inlineStr">
        <is>
          <t>DDX FORNECEDOR DO BRASIL LTDA:Demais; M A M VIDAL LTDA:EPP; MASON EQUIPAMENTOS AGRICOLAS LTDA:Demais; AGROPRATA COMÉRCIO DE EQUIPAMENTOS LTDA - EPP:Demais; AGRIMAQ COMERCIAL EIRELLI - ME:Demais; IURI RIBEIRO EIRELI ME:Demais; COMERCIAL PRZ DE MAQUINAS EIRELI - EPP:Demais; INOVA COMERCIO E SOLUCOES LTDA:Demais; TORVUS LTDA:Demais; G. L. BILL  LTDA:Demais; ALBANI MATTE INDÚSTRIA DE MÁQUINAS AGRICOLAS:Demais; BEMAQ AGRICOLA LTDA:Demais</t>
        </is>
      </c>
      <c r="AH519" t="inlineStr">
        <is>
          <t>pontual</t>
        </is>
      </c>
      <c r="AJ519" t="n">
        <v>0</v>
      </c>
      <c r="AK519" t="n">
        <v>0</v>
      </c>
      <c r="AL519" t="n">
        <v>0</v>
      </c>
      <c r="AM519" t="n">
        <v>0</v>
      </c>
      <c r="AN519" t="n">
        <v>0</v>
      </c>
      <c r="AQ519" t="n">
        <v>1</v>
      </c>
      <c r="AR519" t="inlineStr">
        <is>
          <t>fornecimento_puro</t>
        </is>
      </c>
      <c r="AS519" t="inlineStr">
        <is>
          <t>Aquisição de implementos agrícolas (calcareadeira, carreta basculante, guincho agrícola hidráulico para big bag); guincho agrícola é equipamento distinto do guindauto/munck -- fora do escopo.</t>
        </is>
      </c>
      <c r="AT519" t="n">
        <v>0</v>
      </c>
      <c r="AU519" t="n">
        <v>0</v>
      </c>
    </row>
    <row r="520">
      <c r="A520" t="inlineStr">
        <is>
          <t>37344397000149_2026_11</t>
        </is>
      </c>
      <c r="B520" s="2" t="inlineStr">
        <is>
          <t>https://pncp.gov.br/app/editais/37344397000149/2026/11</t>
        </is>
      </c>
      <c r="C520" t="inlineStr">
        <is>
          <t>2026-09-27T05:41:51.214769+00:00</t>
        </is>
      </c>
      <c r="D520" t="inlineStr">
        <is>
          <t>TO</t>
        </is>
      </c>
      <c r="E520" t="inlineStr">
        <is>
          <t>vizinhos</t>
        </is>
      </c>
      <c r="F520" t="inlineStr">
        <is>
          <t>Cariri do Tocantins</t>
        </is>
      </c>
      <c r="G520" t="inlineStr">
        <is>
          <t>MUNICIPIO DE CARIRI DO TOCANTINS</t>
        </is>
      </c>
      <c r="H520" t="inlineStr">
        <is>
          <t>Municipal</t>
        </is>
      </c>
      <c r="I520" t="inlineStr">
        <is>
          <t>2026-07-03T12:13:40</t>
        </is>
      </c>
      <c r="J520" t="inlineStr">
        <is>
          <t>Concorrência - Eletrônica</t>
        </is>
      </c>
      <c r="K520" t="inlineStr">
        <is>
          <t>[LICITANET] - CONTRATAÇÃO DE EMPRESA ESPECIALIZADA PARA A EXECUÇÃO DOS SERVIÇOS DE IMPLANTAÇÃO DE SISTEMA DE ILUMINAÇÃO PÚBLICA EM LED NA CALÇADA DE PASSEIO DO BALNEÁRIO MUNICIPAL DE CARIRI DO TOCANTINS/TO, CONFORME PLANO DE AÇÃO 09032025-077811/2025, EMENDA PARLAMENTAR 202530680010, CONDIÇÕES, QUANTIDADES E ESPECIFICAÇÕES ESTABELECIDAS NO TERMO DE REFERÊNCIA E DEMAIS ANEXOS DO EDITAL.</t>
        </is>
      </c>
      <c r="L520" t="b">
        <v>0</v>
      </c>
      <c r="M520" t="inlineStr">
        <is>
          <t>iluminacao_publica</t>
        </is>
      </c>
      <c r="N520" t="inlineStr">
        <is>
          <t>iluminacao_publica</t>
        </is>
      </c>
      <c r="O520" t="n">
        <v>555405.36</v>
      </c>
      <c r="P520" t="n">
        <v>555405.36</v>
      </c>
      <c r="Q520" t="n">
        <v>555405.36</v>
      </c>
      <c r="R520" t="n">
        <v>0</v>
      </c>
      <c r="S520" t="n">
        <v>0</v>
      </c>
      <c r="T520" t="n">
        <v>1</v>
      </c>
      <c r="U520" t="n">
        <v>1</v>
      </c>
      <c r="V520" t="n">
        <v>1</v>
      </c>
      <c r="W520" t="n">
        <v>0</v>
      </c>
      <c r="X520" t="n">
        <v>0</v>
      </c>
      <c r="Y520" t="n">
        <v>0</v>
      </c>
      <c r="Z520" t="n">
        <v>0</v>
      </c>
      <c r="AA520" t="n">
        <v>0</v>
      </c>
      <c r="AB520" t="n">
        <v>0</v>
      </c>
      <c r="AC520" t="n">
        <v>0</v>
      </c>
      <c r="AD520" t="n">
        <v>0</v>
      </c>
      <c r="AE520" t="n">
        <v>1</v>
      </c>
      <c r="AF520" t="inlineStr">
        <is>
          <t>AVANTE INCORPORAÇOES E EMPREENDIMENTOS LTDA:Demais</t>
        </is>
      </c>
      <c r="AH520" t="inlineStr">
        <is>
          <t>indefinido</t>
        </is>
      </c>
      <c r="AJ520" t="n">
        <v>0</v>
      </c>
      <c r="AK520" t="n">
        <v>0</v>
      </c>
      <c r="AL520" t="n">
        <v>0</v>
      </c>
      <c r="AM520" t="n">
        <v>0</v>
      </c>
      <c r="AN520" t="n">
        <v>0</v>
      </c>
      <c r="AQ520" t="n">
        <v>0</v>
      </c>
      <c r="AS520" t="inlineStr">
        <is>
          <t>Nenhum dos 4 critérios de exclusão se aplica; objeto compatível com manutenção/pequena extensão de IP.</t>
        </is>
      </c>
      <c r="AT520" t="n">
        <v>0</v>
      </c>
      <c r="AU520" t="n">
        <v>1</v>
      </c>
    </row>
    <row r="521">
      <c r="A521" t="inlineStr">
        <is>
          <t>37388295000125_2025_20</t>
        </is>
      </c>
      <c r="B521" s="2" t="inlineStr">
        <is>
          <t>https://pncp.gov.br/app/editais/37388295000125/2025/20</t>
        </is>
      </c>
      <c r="C521" t="inlineStr">
        <is>
          <t>2026-09-27T03:58:10.949001+00:00</t>
        </is>
      </c>
      <c r="D521" t="inlineStr">
        <is>
          <t>GO</t>
        </is>
      </c>
      <c r="E521" t="inlineStr">
        <is>
          <t>GO</t>
        </is>
      </c>
      <c r="F521" t="inlineStr">
        <is>
          <t>Professor Jamil</t>
        </is>
      </c>
      <c r="G521" t="inlineStr">
        <is>
          <t>MUNICIPIO DE PROFESSOR JAMIL</t>
        </is>
      </c>
      <c r="H521" t="inlineStr">
        <is>
          <t>Municipal</t>
        </is>
      </c>
      <c r="I521" t="inlineStr">
        <is>
          <t>2025-12-16T09:22:28</t>
        </is>
      </c>
      <c r="J521" t="inlineStr">
        <is>
          <t>Pregão - Eletrônico</t>
        </is>
      </c>
      <c r="K521" t="inlineStr">
        <is>
          <t>Aquisição de acessórios e equipamentos visando à manutenção da iluminação publica e suprimentos elétricos diversos em atendimento a demanda do Município de Professor  jamil.</t>
        </is>
      </c>
      <c r="L521" t="b">
        <v>1</v>
      </c>
      <c r="M521" t="inlineStr">
        <is>
          <t>iluminacao_publica</t>
        </is>
      </c>
      <c r="N521" t="inlineStr">
        <is>
          <t>iluminacao_publica</t>
        </is>
      </c>
      <c r="O521" t="n">
        <v>1034156.24</v>
      </c>
      <c r="P521" t="n">
        <v>698060.1299999999</v>
      </c>
      <c r="Q521" t="n">
        <v>764403.79</v>
      </c>
      <c r="R521" t="n">
        <v>0.08679138024681957</v>
      </c>
      <c r="S521" t="n">
        <v>0</v>
      </c>
      <c r="T521" t="n">
        <v>48</v>
      </c>
      <c r="U521" t="n">
        <v>40</v>
      </c>
      <c r="V521" t="n">
        <v>48</v>
      </c>
      <c r="W521" t="n">
        <v>0</v>
      </c>
      <c r="X521" t="n">
        <v>0</v>
      </c>
      <c r="Y521" t="n">
        <v>0</v>
      </c>
      <c r="Z521" t="n">
        <v>0</v>
      </c>
      <c r="AA521" t="n">
        <v>0</v>
      </c>
      <c r="AB521" t="n">
        <v>0</v>
      </c>
      <c r="AC521" t="n">
        <v>0</v>
      </c>
      <c r="AD521" t="n">
        <v>0</v>
      </c>
      <c r="AE521" t="n">
        <v>1</v>
      </c>
      <c r="AF521" t="inlineStr">
        <is>
          <t>BRASIL ILUMINAÇÃO E CONSTRUÇÃO LTDA - ME:ME</t>
        </is>
      </c>
      <c r="AH521" t="inlineStr">
        <is>
          <t>pontual</t>
        </is>
      </c>
      <c r="AJ521" t="n">
        <v>0</v>
      </c>
      <c r="AK521" t="n">
        <v>0</v>
      </c>
      <c r="AL521" t="n">
        <v>0</v>
      </c>
      <c r="AM521" t="n">
        <v>0</v>
      </c>
      <c r="AN521" t="n">
        <v>0</v>
      </c>
      <c r="AQ521" t="n">
        <v>1</v>
      </c>
      <c r="AR521" t="inlineStr">
        <is>
          <t>fornecimento_puro</t>
        </is>
      </c>
      <c r="AS521" t="inlineStr">
        <is>
          <t>Registro de preços/contratação de fornecimento de materiais, sem mão de obra de manutenção contratada.</t>
        </is>
      </c>
      <c r="AT521" t="n">
        <v>1</v>
      </c>
      <c r="AU521" t="n">
        <v>0</v>
      </c>
    </row>
    <row r="522">
      <c r="A522" t="inlineStr">
        <is>
          <t>37426889000183_2025_4</t>
        </is>
      </c>
      <c r="B522" s="2" t="inlineStr">
        <is>
          <t>https://pncp.gov.br/app/editais/37426889000183/2025/4</t>
        </is>
      </c>
      <c r="C522" t="inlineStr">
        <is>
          <t>2026-09-27T14:34:54.621354+00:00</t>
        </is>
      </c>
      <c r="D522" t="inlineStr">
        <is>
          <t>GO</t>
        </is>
      </c>
      <c r="E522" t="inlineStr">
        <is>
          <t>GO</t>
        </is>
      </c>
      <c r="F522" t="inlineStr">
        <is>
          <t>Senador Canedo</t>
        </is>
      </c>
      <c r="G522" t="inlineStr">
        <is>
          <t>AGENCIA DE SANEAMENTO DE SENADOR CANEDO - SANESC</t>
        </is>
      </c>
      <c r="H522" t="inlineStr">
        <is>
          <t>Municipal</t>
        </is>
      </c>
      <c r="I522" t="inlineStr">
        <is>
          <t>2025-04-10T16:24:22</t>
        </is>
      </c>
      <c r="J522" t="inlineStr">
        <is>
          <t>Pregão - Eletrônico</t>
        </is>
      </c>
      <c r="K522" t="inlineStr">
        <is>
          <t>Adesão de ARP interna referente a Contratação de empresa especializada para prestar serviços através de outsourcing, com a utilização de solução informatizada sob tecnologia WEB, para manutenção predial e pequenas reformas, com fornecimento de materiais, equipamentos, peças e mão de obra inclusos</t>
        </is>
      </c>
      <c r="L522" t="b">
        <v>1</v>
      </c>
      <c r="M522" t="inlineStr">
        <is>
          <t>manutencao_predial</t>
        </is>
      </c>
      <c r="N522" t="inlineStr">
        <is>
          <t>manutencao_predial</t>
        </is>
      </c>
      <c r="O522" t="n">
        <v>1500000</v>
      </c>
      <c r="P522" t="n">
        <v>1500000</v>
      </c>
      <c r="Q522" t="n">
        <v>1500000</v>
      </c>
      <c r="R522" t="n">
        <v>0</v>
      </c>
      <c r="S522" t="n">
        <v>0</v>
      </c>
      <c r="T522" t="n">
        <v>1</v>
      </c>
      <c r="U522" t="n">
        <v>1</v>
      </c>
      <c r="V522" t="n">
        <v>1</v>
      </c>
      <c r="W522" t="n">
        <v>0</v>
      </c>
      <c r="X522" t="n">
        <v>0</v>
      </c>
      <c r="Y522" t="n">
        <v>0</v>
      </c>
      <c r="Z522" t="n">
        <v>0</v>
      </c>
      <c r="AA522" t="n">
        <v>0</v>
      </c>
      <c r="AB522" t="n">
        <v>0</v>
      </c>
      <c r="AC522" t="n">
        <v>0</v>
      </c>
      <c r="AD522" t="n">
        <v>1</v>
      </c>
      <c r="AE522" t="n">
        <v>1</v>
      </c>
      <c r="AF522" t="inlineStr">
        <is>
          <t>BRASIL PREDIAL SOLUCOES E SERVICOS LTDA:ME</t>
        </is>
      </c>
      <c r="AH522" t="inlineStr">
        <is>
          <t>pontual</t>
        </is>
      </c>
      <c r="AI522" t="n">
        <v>12</v>
      </c>
      <c r="AJ522" t="n">
        <v>0</v>
      </c>
      <c r="AK522" t="n">
        <v>0</v>
      </c>
      <c r="AL522" t="n">
        <v>0</v>
      </c>
      <c r="AM522" t="n">
        <v>0</v>
      </c>
      <c r="AN522" t="n">
        <v>0</v>
      </c>
      <c r="AQ522" t="n">
        <v>0</v>
      </c>
      <c r="AT522" t="n">
        <v>0</v>
      </c>
      <c r="AU522" t="n">
        <v>1</v>
      </c>
    </row>
    <row r="523">
      <c r="A523" t="inlineStr">
        <is>
          <t>37426889000183_2026_3</t>
        </is>
      </c>
      <c r="B523" s="2" t="inlineStr">
        <is>
          <t>https://pncp.gov.br/app/editais/37426889000183/2026/3</t>
        </is>
      </c>
      <c r="C523" t="inlineStr">
        <is>
          <t>2026-09-27T02:38:02.174196+00:00</t>
        </is>
      </c>
      <c r="D523" t="inlineStr">
        <is>
          <t>GO</t>
        </is>
      </c>
      <c r="E523" t="inlineStr">
        <is>
          <t>GO</t>
        </is>
      </c>
      <c r="F523" t="inlineStr">
        <is>
          <t>Senador Canedo</t>
        </is>
      </c>
      <c r="G523" t="inlineStr">
        <is>
          <t>AGENCIA DE SANEAMENTO DE SENADOR CANEDO - SANESC</t>
        </is>
      </c>
      <c r="H523" t="inlineStr">
        <is>
          <t>Municipal</t>
        </is>
      </c>
      <c r="I523" t="inlineStr">
        <is>
          <t>2026-03-09T15:07:08</t>
        </is>
      </c>
      <c r="J523" t="inlineStr">
        <is>
          <t>Pregão - Eletrônico</t>
        </is>
      </c>
      <c r="K523" t="inlineStr">
        <is>
          <t>CONTRATAÇÃO DE EMPRESA PARA EXECUTAR SERVIÇOS DE MANUTENÇÃO PREVENTIVA, CORRETIVA, INSTALAÇÃO E DESINSTALAÇÃO DE APARELHOS DE AR CONDICIONADO, INCLUINDO O FORNECIMENTO DE PEÇAS E INSUMOS.</t>
        </is>
      </c>
      <c r="L523" t="b">
        <v>1</v>
      </c>
      <c r="M523" t="inlineStr">
        <is>
          <t>climatizacao</t>
        </is>
      </c>
      <c r="N523" t="inlineStr">
        <is>
          <t>climatizacao</t>
        </is>
      </c>
      <c r="O523" t="n">
        <v>56988.3</v>
      </c>
      <c r="P523" t="n">
        <v>56988.3</v>
      </c>
      <c r="Q523" t="n">
        <v>56988.3</v>
      </c>
      <c r="R523" t="n">
        <v>0</v>
      </c>
      <c r="S523" t="n">
        <v>0</v>
      </c>
      <c r="T523" t="n">
        <v>13</v>
      </c>
      <c r="U523" t="n">
        <v>13</v>
      </c>
      <c r="V523" t="n">
        <v>13</v>
      </c>
      <c r="W523" t="n">
        <v>0</v>
      </c>
      <c r="X523" t="n">
        <v>0</v>
      </c>
      <c r="Y523" t="n">
        <v>0</v>
      </c>
      <c r="Z523" t="n">
        <v>0</v>
      </c>
      <c r="AA523" t="n">
        <v>0</v>
      </c>
      <c r="AB523" t="n">
        <v>0</v>
      </c>
      <c r="AC523" t="n">
        <v>0</v>
      </c>
      <c r="AD523" t="n">
        <v>1</v>
      </c>
      <c r="AE523" t="n">
        <v>1</v>
      </c>
      <c r="AF523" t="inlineStr">
        <is>
          <t>MUNDO FRIO REFRIGERACAO E CLIMATIZACAO LTDA:ME</t>
        </is>
      </c>
      <c r="AH523" t="inlineStr">
        <is>
          <t>pontual</t>
        </is>
      </c>
      <c r="AI523" t="n">
        <v>12</v>
      </c>
      <c r="AJ523" t="n">
        <v>0</v>
      </c>
      <c r="AK523" t="n">
        <v>0</v>
      </c>
      <c r="AL523" t="n">
        <v>0</v>
      </c>
      <c r="AM523" t="n">
        <v>0</v>
      </c>
      <c r="AN523" t="n">
        <v>1</v>
      </c>
      <c r="AP523" t="inlineStr">
        <is>
          <t>er sido constituída há menos de 02 (dois) anos. 15.2.4. QUALIFICAÇÃO TÉCNICA: 15.2.4.1. Apresentar atestado de capacidade técnica, no quantitativo mínimo de 50% (cinquenta por cento) do total previsto, que comprove que a empresa licitante tenha fornecido ou esteja fornecendo bens pertinentes e compa…</t>
        </is>
      </c>
      <c r="AQ523" t="n">
        <v>0.6141611523768914</v>
      </c>
      <c r="AS523" t="inlineStr">
        <is>
          <t>servico de manutencao/instalacao com fornecimento de pecas por demanda (frac_material 61% e efeito de precificacao de pecas, nao fornecimento de equipamento).</t>
        </is>
      </c>
      <c r="AT523" t="n">
        <v>0</v>
      </c>
      <c r="AU523" t="n">
        <v>1</v>
      </c>
    </row>
    <row r="524">
      <c r="A524" t="inlineStr">
        <is>
          <t>37465309000167_2026_45</t>
        </is>
      </c>
      <c r="B524" s="2" t="inlineStr">
        <is>
          <t>https://pncp.gov.br/app/editais/37465309000167/2026/45</t>
        </is>
      </c>
      <c r="C524" t="inlineStr">
        <is>
          <t>2026-09-27T05:08:24.761174+00:00</t>
        </is>
      </c>
      <c r="D524" t="inlineStr">
        <is>
          <t>MT</t>
        </is>
      </c>
      <c r="E524" t="inlineStr">
        <is>
          <t>vizinhos</t>
        </is>
      </c>
      <c r="F524" t="inlineStr">
        <is>
          <t>Cotriguaçu</t>
        </is>
      </c>
      <c r="G524" t="inlineStr">
        <is>
          <t>MUNICIPIO DE COTRIGUACU</t>
        </is>
      </c>
      <c r="H524" t="inlineStr">
        <is>
          <t>Municipal</t>
        </is>
      </c>
      <c r="I524" t="inlineStr">
        <is>
          <t>2026-06-03T18:06:14</t>
        </is>
      </c>
      <c r="J524" t="inlineStr">
        <is>
          <t>Pregão - Eletrônico</t>
        </is>
      </c>
      <c r="K524" t="inlineStr">
        <is>
          <t>FUTURA E EVENTUAL AQUISIÇÃO DE MATERIAIS E PEÇAS DESTINADOS À INSTALAÇÃO E MANUTENÇÃO DE EQUIPAMENTOS DE REFRIGERAÇÃO, VISANDO ATENDER ÀS DEMANDAS DAS SECRETARIAS MUNICIPAIS DO MUNICÍPIO DE COTRIGUAÇU.</t>
        </is>
      </c>
      <c r="L524" t="b">
        <v>1</v>
      </c>
      <c r="M524" t="inlineStr">
        <is>
          <t>refrigeracao</t>
        </is>
      </c>
      <c r="N524" t="inlineStr">
        <is>
          <t>refrigeracao</t>
        </is>
      </c>
      <c r="O524" t="n">
        <v>494142.65</v>
      </c>
      <c r="P524" t="n">
        <v>467670.35</v>
      </c>
      <c r="Q524" t="n">
        <v>494142.65</v>
      </c>
      <c r="R524" t="n">
        <v>0.05357218204095517</v>
      </c>
      <c r="S524" t="n">
        <v>0</v>
      </c>
      <c r="T524" t="n">
        <v>14</v>
      </c>
      <c r="U524" t="n">
        <v>14</v>
      </c>
      <c r="V524" t="n">
        <v>14</v>
      </c>
      <c r="W524" t="n">
        <v>0</v>
      </c>
      <c r="X524" t="n">
        <v>0</v>
      </c>
      <c r="Y524" t="n">
        <v>0</v>
      </c>
      <c r="Z524" t="n">
        <v>0</v>
      </c>
      <c r="AA524" t="n">
        <v>0</v>
      </c>
      <c r="AB524" t="n">
        <v>1</v>
      </c>
      <c r="AC524" t="n">
        <v>0</v>
      </c>
      <c r="AD524" t="n">
        <v>0</v>
      </c>
      <c r="AE524" t="n">
        <v>1</v>
      </c>
      <c r="AF524" t="inlineStr">
        <is>
          <t>GEOVANE TORRENTE SILVA - 0001-89:ME</t>
        </is>
      </c>
      <c r="AH524" t="inlineStr">
        <is>
          <t>pontual</t>
        </is>
      </c>
      <c r="AJ524" t="n">
        <v>0</v>
      </c>
      <c r="AK524" t="n">
        <v>0</v>
      </c>
      <c r="AL524" t="n">
        <v>0</v>
      </c>
      <c r="AM524" t="n">
        <v>0</v>
      </c>
      <c r="AN524" t="n">
        <v>0</v>
      </c>
      <c r="AQ524" t="n">
        <v>1</v>
      </c>
      <c r="AR524" t="inlineStr">
        <is>
          <t>fornecimento_puro</t>
        </is>
      </c>
      <c r="AS524" t="inlineStr">
        <is>
          <t>14 itens, todos pecas/gases para instalacao e manutencao de ar-condicionado por terceiros (compressor rotativo, gas R32, mangueira de dreno, tubo de cobre, moto-ventilador) -- aquisicao pura de material, sem servico prestado pela empresa contratada.</t>
        </is>
      </c>
      <c r="AT524" t="n">
        <v>1</v>
      </c>
      <c r="AU524" t="n">
        <v>0</v>
      </c>
    </row>
    <row r="525">
      <c r="A525" t="inlineStr">
        <is>
          <t>45316509000186_2025_144</t>
        </is>
      </c>
      <c r="B525" s="2" t="inlineStr">
        <is>
          <t>https://pncp.gov.br/app/editais/45316509000186/2025/144</t>
        </is>
      </c>
      <c r="C525" t="inlineStr">
        <is>
          <t>2026-09-27T05:34:17.273452+00:00</t>
        </is>
      </c>
      <c r="D525" t="inlineStr">
        <is>
          <t>TO</t>
        </is>
      </c>
      <c r="E525" t="inlineStr">
        <is>
          <t>vizinhos</t>
        </is>
      </c>
      <c r="F525" t="inlineStr">
        <is>
          <t>Porto Nacional</t>
        </is>
      </c>
      <c r="G525" t="inlineStr">
        <is>
          <t>SECRETARIA MUNICIPAL DE COMPRAS E LICITAÇÕES</t>
        </is>
      </c>
      <c r="H525" t="inlineStr">
        <is>
          <t>Municipal</t>
        </is>
      </c>
      <c r="I525" t="inlineStr">
        <is>
          <t>2025-12-04T12:11:43</t>
        </is>
      </c>
      <c r="J525" t="inlineStr">
        <is>
          <t>Pregão - Eletrônico</t>
        </is>
      </c>
      <c r="K525" t="inlineStr">
        <is>
          <t>[Portal de Compras Públicas] - REGISTRO DE PREÇOS, PARA EVENTUAL E FUTURA CONTRATAÇÃO DE EMPRESA (S) ESPECIALIZADA (S) PARA PRESTAÇÃO DE SERVIÇOS DE MANUTENÇÃO E AQUISIÇÃO DE PEÇAS, COMPONENTES E ACESSÓRIOS DE APARELHOS DE AR-CONDICIONADO, FREEZERS, BEBEDOUROS E REFRIGERADORES COM A FINALIDADE DE ATENDER AS DEMANDAS PÚBLICAS, SUPRINDO AS NECESSIDADES DAS SECRETARIAS, FUNDOS E FUNDAÇÕES DO MUNICÍPIO DE PORTO NACIONAL – TO.</t>
        </is>
      </c>
      <c r="L525" t="b">
        <v>1</v>
      </c>
      <c r="M525" t="inlineStr">
        <is>
          <t>refrigeracao</t>
        </is>
      </c>
      <c r="N525" t="inlineStr">
        <is>
          <t>refrigeracao</t>
        </is>
      </c>
      <c r="O525" t="n">
        <v>3865678.12</v>
      </c>
      <c r="P525" t="n">
        <v>1813770.78</v>
      </c>
      <c r="Q525" t="n">
        <v>3568835.26</v>
      </c>
      <c r="R525" t="n">
        <v>0.4917751457095836</v>
      </c>
      <c r="S525" t="n">
        <v>0</v>
      </c>
      <c r="T525" t="n">
        <v>44</v>
      </c>
      <c r="U525" t="n">
        <v>40</v>
      </c>
      <c r="V525" t="n">
        <v>44</v>
      </c>
      <c r="W525" t="n">
        <v>0</v>
      </c>
      <c r="X525" t="n">
        <v>0</v>
      </c>
      <c r="Y525" t="n">
        <v>0</v>
      </c>
      <c r="Z525" t="n">
        <v>0</v>
      </c>
      <c r="AA525" t="n">
        <v>0</v>
      </c>
      <c r="AB525" t="n">
        <v>0</v>
      </c>
      <c r="AC525" t="n">
        <v>0</v>
      </c>
      <c r="AD525" t="n">
        <v>0</v>
      </c>
      <c r="AE525" t="n">
        <v>2</v>
      </c>
      <c r="AF525" t="inlineStr">
        <is>
          <t>JARBAS PEREIRA AIRES LTDA:ME; WCA VENDAS E SERVICOS LTDA:ME</t>
        </is>
      </c>
      <c r="AH525" t="inlineStr">
        <is>
          <t>pontual</t>
        </is>
      </c>
      <c r="AJ525" t="n">
        <v>0</v>
      </c>
      <c r="AK525" t="n">
        <v>0</v>
      </c>
      <c r="AL525" t="n">
        <v>0</v>
      </c>
      <c r="AM525" t="n">
        <v>0</v>
      </c>
      <c r="AN525" t="n">
        <v>0</v>
      </c>
      <c r="AQ525" t="n">
        <v>1</v>
      </c>
      <c r="AR525" t="inlineStr">
        <is>
          <t>fora_do_nucleo</t>
        </is>
      </c>
      <c r="AS525" t="inlineStr">
        <is>
          <t>44 itens dominados por instalacao/remanejamento de condicionadores de ar split por faixa de BTU (mal cadastrados como 'Material') -- nucleo e climatizacao, nao refrigeracao comercial.</t>
        </is>
      </c>
      <c r="AT525" t="n">
        <v>1</v>
      </c>
      <c r="AU525" t="n">
        <v>0</v>
      </c>
    </row>
    <row r="526">
      <c r="A526" t="inlineStr">
        <is>
          <t>45960936000100_2026_103</t>
        </is>
      </c>
      <c r="B526" s="2" t="inlineStr">
        <is>
          <t>https://pncp.gov.br/app/editais/45960936000100/2026/103</t>
        </is>
      </c>
      <c r="C526" t="inlineStr">
        <is>
          <t>2026-09-27T03:12:48.195006+00:00</t>
        </is>
      </c>
      <c r="D526" t="inlineStr">
        <is>
          <t>GO</t>
        </is>
      </c>
      <c r="E526" t="inlineStr">
        <is>
          <t>GO</t>
        </is>
      </c>
      <c r="F526" t="inlineStr">
        <is>
          <t>Silvânia</t>
        </is>
      </c>
      <c r="G526" t="inlineStr">
        <is>
          <t>FUNDO MUNICIPAL DE EDUCAÇÃO - FME</t>
        </is>
      </c>
      <c r="H526" t="inlineStr">
        <is>
          <t>Municipal</t>
        </is>
      </c>
      <c r="I526" t="inlineStr">
        <is>
          <t>2026-05-08T15:15:46</t>
        </is>
      </c>
      <c r="J526" t="inlineStr">
        <is>
          <t>Pregão - Eletrônico</t>
        </is>
      </c>
      <c r="K526" t="inlineStr">
        <is>
          <t>SOLICITA CONTRATAÇÃO DE EMPRESA ESPECIALIZADA PARA MANUTENÇÃO PREDIAL PREVENTIVA E CORRETIVA DAS INSTALAÇOES/DEPENDENCIAS DOS EDIFICIOS PUBLICOS</t>
        </is>
      </c>
      <c r="L526" t="b">
        <v>1</v>
      </c>
      <c r="M526" t="inlineStr">
        <is>
          <t>manutencao_predial</t>
        </is>
      </c>
      <c r="N526" t="inlineStr">
        <is>
          <t>manutencao_predial</t>
        </is>
      </c>
      <c r="O526" t="n">
        <v>1933069.36</v>
      </c>
      <c r="P526" t="n">
        <v>1799687.55</v>
      </c>
      <c r="Q526" t="n">
        <v>1933069.36</v>
      </c>
      <c r="R526" t="n">
        <v>0.06900001249825827</v>
      </c>
      <c r="S526" t="n">
        <v>0</v>
      </c>
      <c r="T526" t="n">
        <v>1</v>
      </c>
      <c r="U526" t="n">
        <v>1</v>
      </c>
      <c r="V526" t="n">
        <v>1</v>
      </c>
      <c r="W526" t="n">
        <v>0</v>
      </c>
      <c r="X526" t="n">
        <v>0</v>
      </c>
      <c r="Y526" t="n">
        <v>0</v>
      </c>
      <c r="Z526" t="n">
        <v>0</v>
      </c>
      <c r="AA526" t="n">
        <v>0</v>
      </c>
      <c r="AB526" t="n">
        <v>0</v>
      </c>
      <c r="AC526" t="n">
        <v>0</v>
      </c>
      <c r="AD526" t="n">
        <v>0</v>
      </c>
      <c r="AE526" t="n">
        <v>1</v>
      </c>
      <c r="AF526" t="inlineStr">
        <is>
          <t>CARMO SCHMIDT ENGENHARIA:Demais</t>
        </is>
      </c>
      <c r="AH526" t="inlineStr">
        <is>
          <t>pontual</t>
        </is>
      </c>
      <c r="AI526" t="n">
        <v>12</v>
      </c>
      <c r="AJ526" t="n">
        <v>0</v>
      </c>
      <c r="AK526" t="n">
        <v>0</v>
      </c>
      <c r="AL526" t="n">
        <v>0</v>
      </c>
      <c r="AM526" t="n">
        <v>1</v>
      </c>
      <c r="AN526" t="n">
        <v>1</v>
      </c>
      <c r="AP526" t="inlineStr">
        <is>
          <t>o Regional de Engenharia e Agronomia – CREA ou Conselho de Arquitetura e Urbanismo – CAU. 5.5.2. Atestado de Capacidade Técnica Operacional de comprovação de aptidão para a prestação de serviços em características, quantidades e prazos compatíveis com o objeto desta licitação, ou c om o item pertine…</t>
        </is>
      </c>
      <c r="AQ526" t="n">
        <v>0</v>
      </c>
      <c r="AT526" t="n">
        <v>0</v>
      </c>
      <c r="AU526" t="n">
        <v>1</v>
      </c>
    </row>
    <row r="527">
      <c r="A527" t="inlineStr">
        <is>
          <t>49868348000194_2026_13</t>
        </is>
      </c>
      <c r="B527" s="2" t="inlineStr">
        <is>
          <t>https://pncp.gov.br/app/editais/49868348000194/2026/13</t>
        </is>
      </c>
      <c r="C527" t="inlineStr">
        <is>
          <t>2026-09-27T05:52:38.993511+00:00</t>
        </is>
      </c>
      <c r="D527" t="inlineStr">
        <is>
          <t>MG</t>
        </is>
      </c>
      <c r="E527" t="inlineStr">
        <is>
          <t>vizinhos</t>
        </is>
      </c>
      <c r="F527" t="inlineStr">
        <is>
          <t>Itamarandiba</t>
        </is>
      </c>
      <c r="G527" t="inlineStr">
        <is>
          <t>Fundacao Hospitalar Dr. Afonso Pavie-Fhap</t>
        </is>
      </c>
      <c r="H527" t="inlineStr">
        <is>
          <t>Municipal</t>
        </is>
      </c>
      <c r="I527" t="inlineStr">
        <is>
          <t>2026-07-14T17:12:38</t>
        </is>
      </c>
      <c r="J527" t="inlineStr">
        <is>
          <t>Pregão - Eletrônico</t>
        </is>
      </c>
      <c r="K527" t="inlineStr">
        <is>
          <t>REGISTRO DE PREÇOS PARA FUTURA E EVENTUAL AQUISIÇÃO DE MATERIAIS DE CONSTRUÇÃO, POR MEIO DO CRITÉRIO DE JULGAMENTO DE MAIOR DESCONTO PERCENTUAL POR LOTE, INCIDENTE SOBRE OS VALORES CONSTANTES DA TABELA SINAPI COM DESONERAÇÃO, ABRANGÊNCIA MINAS GERAIS, VISANDO ATENDER ÀS DEMANDAS DE MANUTENÇÃO PREDIAL, CONSERVAÇÃO, REFORMAS E REPAROS DAS EDIFICAÇÕES, INSTALAÇÕES E ÁREAS PERTENCENTES À FUNDAÇÃO HOSPITALAR DR. AFONSO PAVIE.</t>
        </is>
      </c>
      <c r="L527" t="b">
        <v>1</v>
      </c>
      <c r="M527" t="inlineStr">
        <is>
          <t>manutencao_predial</t>
        </is>
      </c>
      <c r="N527" t="inlineStr">
        <is>
          <t>manutencao_predial</t>
        </is>
      </c>
      <c r="O527" t="n">
        <v>71000</v>
      </c>
      <c r="P527" t="n">
        <v>64189.6</v>
      </c>
      <c r="Q527" t="n">
        <v>67000</v>
      </c>
      <c r="R527" t="n">
        <v>0.04194626865671645</v>
      </c>
      <c r="S527" t="n">
        <v>0</v>
      </c>
      <c r="T527" t="n">
        <v>18</v>
      </c>
      <c r="U527" t="n">
        <v>17</v>
      </c>
      <c r="V527" t="n">
        <v>18</v>
      </c>
      <c r="W527" t="n">
        <v>0</v>
      </c>
      <c r="X527" t="n">
        <v>0</v>
      </c>
      <c r="Y527" t="n">
        <v>0</v>
      </c>
      <c r="Z527" t="n">
        <v>0</v>
      </c>
      <c r="AA527" t="n">
        <v>1</v>
      </c>
      <c r="AB527" t="n">
        <v>0</v>
      </c>
      <c r="AC527" t="n">
        <v>0</v>
      </c>
      <c r="AD527" t="n">
        <v>0</v>
      </c>
      <c r="AE527" t="n">
        <v>1</v>
      </c>
      <c r="AF527" t="inlineStr">
        <is>
          <t>VANDERLUCIO DE JESUS OLIVEIRA E CIA LTADA:EPP</t>
        </is>
      </c>
      <c r="AH527" t="inlineStr">
        <is>
          <t>pontual</t>
        </is>
      </c>
      <c r="AJ527" t="n">
        <v>0</v>
      </c>
      <c r="AK527" t="n">
        <v>0</v>
      </c>
      <c r="AL527" t="n">
        <v>0</v>
      </c>
      <c r="AM527" t="n">
        <v>0</v>
      </c>
      <c r="AN527" t="n">
        <v>0</v>
      </c>
      <c r="AQ527" t="n">
        <v>1</v>
      </c>
      <c r="AR527" t="inlineStr">
        <is>
          <t>fornecimento_puro</t>
        </is>
      </c>
      <c r="AS527" t="inlineStr">
        <is>
          <t>18 item(ns), todos classificados como material (sem servico).</t>
        </is>
      </c>
      <c r="AT527" t="n">
        <v>1</v>
      </c>
      <c r="AU527" t="n">
        <v>0</v>
      </c>
    </row>
    <row r="528">
      <c r="A528" t="inlineStr">
        <is>
          <t>50563382000130_2024_182</t>
        </is>
      </c>
      <c r="B528" s="2" t="inlineStr">
        <is>
          <t>https://pncp.gov.br/app/editais/50563382000130/2024/182</t>
        </is>
      </c>
      <c r="C528" t="inlineStr">
        <is>
          <t>2026-09-27T14:35:26.136928+00:00</t>
        </is>
      </c>
      <c r="D528" t="inlineStr">
        <is>
          <t>GO</t>
        </is>
      </c>
      <c r="E528" t="inlineStr">
        <is>
          <t>GO</t>
        </is>
      </c>
      <c r="F528" t="inlineStr">
        <is>
          <t>Goianésia</t>
        </is>
      </c>
      <c r="G528" t="inlineStr">
        <is>
          <t>FME-FUNDO MUNICIPAL DE EDUCACAO</t>
        </is>
      </c>
      <c r="H528" t="inlineStr">
        <is>
          <t>Municipal</t>
        </is>
      </c>
      <c r="I528" t="inlineStr">
        <is>
          <t>2024-11-14T09:21:29</t>
        </is>
      </c>
      <c r="J528" t="inlineStr">
        <is>
          <t>Pregão - Eletrônico</t>
        </is>
      </c>
      <c r="K528" t="inlineStr">
        <is>
          <t>ADESÃO À ATA DE REGISTRO DE PREÇOS, PARA CONTRATAÇÃO DE EMPRESA ESPECIALIZADA NA PRESTAÇÃO DE SERVIÇOS, SOB DEMANDA, DE REPAROS DE MANUTENÇÃO PREDIAL COM FORNECIMENTO DE MATERIAIS E MÃO-DE-OBRA, CONFORME CONDIÇÕES E EXIGÊNCIAS PREESTABELECIDAS, EM ATENDIMENTO ÀS NECESSIDADES DA SECRETARIA MUNICIPAL DE EDUCAÇÃO.</t>
        </is>
      </c>
      <c r="L528" t="b">
        <v>1</v>
      </c>
      <c r="M528" t="inlineStr">
        <is>
          <t>manutencao_predial</t>
        </is>
      </c>
      <c r="N528" t="inlineStr">
        <is>
          <t>manutencao_predial</t>
        </is>
      </c>
      <c r="O528" t="n">
        <v>331500</v>
      </c>
      <c r="P528" t="n">
        <v>331500</v>
      </c>
      <c r="Q528" t="n">
        <v>331500</v>
      </c>
      <c r="R528" t="n">
        <v>0</v>
      </c>
      <c r="S528" t="n">
        <v>0</v>
      </c>
      <c r="T528" t="n">
        <v>1</v>
      </c>
      <c r="U528" t="n">
        <v>1</v>
      </c>
      <c r="V528" t="n">
        <v>1</v>
      </c>
      <c r="W528" t="n">
        <v>0</v>
      </c>
      <c r="X528" t="n">
        <v>0</v>
      </c>
      <c r="Y528" t="n">
        <v>0</v>
      </c>
      <c r="Z528" t="n">
        <v>0</v>
      </c>
      <c r="AA528" t="n">
        <v>0</v>
      </c>
      <c r="AB528" t="n">
        <v>0</v>
      </c>
      <c r="AC528" t="n">
        <v>0</v>
      </c>
      <c r="AD528" t="n">
        <v>0</v>
      </c>
      <c r="AE528" t="n">
        <v>1</v>
      </c>
      <c r="AF528" t="inlineStr">
        <is>
          <t>BWS PRIME ENGENHARIA. LTDA:Demais</t>
        </is>
      </c>
      <c r="AH528" t="inlineStr">
        <is>
          <t>pontual</t>
        </is>
      </c>
      <c r="AJ528" t="n">
        <v>0</v>
      </c>
      <c r="AK528" t="n">
        <v>0</v>
      </c>
      <c r="AL528" t="n">
        <v>0</v>
      </c>
      <c r="AM528" t="n">
        <v>0</v>
      </c>
      <c r="AN528" t="n">
        <v>0</v>
      </c>
      <c r="AQ528" t="n">
        <v>0</v>
      </c>
      <c r="AT528" t="n">
        <v>0</v>
      </c>
      <c r="AU528" t="n">
        <v>1</v>
      </c>
    </row>
    <row r="529">
      <c r="A529" t="inlineStr">
        <is>
          <t>50563382000130_2024_184</t>
        </is>
      </c>
      <c r="B529" s="2" t="inlineStr">
        <is>
          <t>https://pncp.gov.br/app/editais/50563382000130/2024/184</t>
        </is>
      </c>
      <c r="C529" t="inlineStr">
        <is>
          <t>2026-09-27T14:35:22.140867+00:00</t>
        </is>
      </c>
      <c r="D529" t="inlineStr">
        <is>
          <t>GO</t>
        </is>
      </c>
      <c r="E529" t="inlineStr">
        <is>
          <t>GO</t>
        </is>
      </c>
      <c r="F529" t="inlineStr">
        <is>
          <t>Goianésia</t>
        </is>
      </c>
      <c r="G529" t="inlineStr">
        <is>
          <t>FME-FUNDO MUNICIPAL DE EDUCACAO</t>
        </is>
      </c>
      <c r="H529" t="inlineStr">
        <is>
          <t>Municipal</t>
        </is>
      </c>
      <c r="I529" t="inlineStr">
        <is>
          <t>2024-12-02T16:23:22</t>
        </is>
      </c>
      <c r="J529" t="inlineStr">
        <is>
          <t>Pregão - Eletrônico</t>
        </is>
      </c>
      <c r="K529" t="inlineStr">
        <is>
          <t>ADESÃO À ATA DE REGISTRO DE PREÇOS, VISANDO A CONTRATAÇÃO DE EMPRESA ESPECIALIZADA NA PRESTAÇÃO DE SERVIÇOS, SOB DEMANDA, PRESTAR SERVIÇOS DE REPAROS DE MANUTENÇÃO PREDIAL COM FORNECIMENTO DE MATERIAIS E MÃO-DE-OBRA, NA FORMA ESTABELECIDA NAS PLANILHAS DE SERVIÇOS E INSUMOS DIVERSOS DESCRITOS, CONFORME CONDIÇÕESE EXIGÊNCIAS PREESTABELECIDAS, EM ATENDIMENTO AS NECESSIDADES DA SECRETARIA MUNICIPAL DE EDUCAÇÃO.</t>
        </is>
      </c>
      <c r="L529" t="b">
        <v>1</v>
      </c>
      <c r="M529" t="inlineStr">
        <is>
          <t>manutencao_predial</t>
        </is>
      </c>
      <c r="N529" t="inlineStr">
        <is>
          <t>manutencao_predial</t>
        </is>
      </c>
      <c r="O529" t="n">
        <v>187500</v>
      </c>
      <c r="P529" t="n">
        <v>187500</v>
      </c>
      <c r="Q529" t="n">
        <v>187500</v>
      </c>
      <c r="R529" t="n">
        <v>0</v>
      </c>
      <c r="S529" t="n">
        <v>0</v>
      </c>
      <c r="T529" t="n">
        <v>1</v>
      </c>
      <c r="U529" t="n">
        <v>1</v>
      </c>
      <c r="V529" t="n">
        <v>1</v>
      </c>
      <c r="W529" t="n">
        <v>0</v>
      </c>
      <c r="X529" t="n">
        <v>0</v>
      </c>
      <c r="Y529" t="n">
        <v>0</v>
      </c>
      <c r="Z529" t="n">
        <v>0</v>
      </c>
      <c r="AA529" t="n">
        <v>0</v>
      </c>
      <c r="AB529" t="n">
        <v>0</v>
      </c>
      <c r="AC529" t="n">
        <v>0</v>
      </c>
      <c r="AD529" t="n">
        <v>0</v>
      </c>
      <c r="AE529" t="n">
        <v>1</v>
      </c>
      <c r="AF529" t="inlineStr">
        <is>
          <t>DIVINO PEREIRA ARAUJO:Demais</t>
        </is>
      </c>
      <c r="AH529" t="inlineStr">
        <is>
          <t>pontual</t>
        </is>
      </c>
      <c r="AJ529" t="n">
        <v>0</v>
      </c>
      <c r="AK529" t="n">
        <v>0</v>
      </c>
      <c r="AL529" t="n">
        <v>0</v>
      </c>
      <c r="AM529" t="n">
        <v>0</v>
      </c>
      <c r="AN529" t="n">
        <v>0</v>
      </c>
      <c r="AQ529" t="n">
        <v>0</v>
      </c>
      <c r="AT529" t="n">
        <v>0</v>
      </c>
      <c r="AU529" t="n">
        <v>1</v>
      </c>
    </row>
    <row r="530">
      <c r="A530" t="inlineStr">
        <is>
          <t>50563382000130_2026_20</t>
        </is>
      </c>
      <c r="B530" s="2" t="inlineStr">
        <is>
          <t>https://pncp.gov.br/app/editais/50563382000130/2026/20</t>
        </is>
      </c>
      <c r="C530" t="inlineStr">
        <is>
          <t>2026-09-27T14:34:23.611384+00:00</t>
        </is>
      </c>
      <c r="D530" t="inlineStr">
        <is>
          <t>GO</t>
        </is>
      </c>
      <c r="E530" t="inlineStr">
        <is>
          <t>GO</t>
        </is>
      </c>
      <c r="F530" t="inlineStr">
        <is>
          <t>Goianésia</t>
        </is>
      </c>
      <c r="G530" t="inlineStr">
        <is>
          <t>FME-FUNDO MUNICIPAL DE EDUCACAO</t>
        </is>
      </c>
      <c r="H530" t="inlineStr">
        <is>
          <t>Municipal</t>
        </is>
      </c>
      <c r="I530" t="inlineStr">
        <is>
          <t>2026-02-04T16:50:38</t>
        </is>
      </c>
      <c r="J530" t="inlineStr">
        <is>
          <t>Pregão - Presencial</t>
        </is>
      </c>
      <c r="K530" t="inlineStr">
        <is>
          <t>ADESÃO A ATA DE REGISTRO DE PREÇOS, VISANDO A CONTRATAÇÃO DE EMPRESA PARA PRESTAÇÃO DE SERVIÇOS DE MANUTENÇÃO PREDIAL, CONTEMPLANDO O FORNECIMENTO DE MATERIAIS, EQUIPAMENTOS, FERRAMENTAS, EPIS E MÃO DE OBRA QUALIFICADA, EM ATENDIMENTO À SECRETARIA MUNICIPAL DE EDUCAÇÃO.</t>
        </is>
      </c>
      <c r="L530" t="b">
        <v>1</v>
      </c>
      <c r="M530" t="inlineStr">
        <is>
          <t>manutencao_predial</t>
        </is>
      </c>
      <c r="N530" t="inlineStr">
        <is>
          <t>manutencao_predial</t>
        </is>
      </c>
      <c r="O530" t="n">
        <v>582589.98</v>
      </c>
      <c r="P530" t="n">
        <v>582589.98</v>
      </c>
      <c r="Q530" t="n">
        <v>582589.98</v>
      </c>
      <c r="R530" t="n">
        <v>0</v>
      </c>
      <c r="S530" t="n">
        <v>0</v>
      </c>
      <c r="T530" t="n">
        <v>1</v>
      </c>
      <c r="U530" t="n">
        <v>1</v>
      </c>
      <c r="V530" t="n">
        <v>1</v>
      </c>
      <c r="W530" t="n">
        <v>0</v>
      </c>
      <c r="X530" t="n">
        <v>0</v>
      </c>
      <c r="Y530" t="n">
        <v>0</v>
      </c>
      <c r="Z530" t="n">
        <v>0</v>
      </c>
      <c r="AA530" t="n">
        <v>0</v>
      </c>
      <c r="AB530" t="n">
        <v>0</v>
      </c>
      <c r="AC530" t="n">
        <v>0</v>
      </c>
      <c r="AD530" t="n">
        <v>0</v>
      </c>
      <c r="AE530" t="n">
        <v>1</v>
      </c>
      <c r="AF530" t="inlineStr">
        <is>
          <t>CONSTRULIMA EMPREENDIMENTOS LTDA:Demais</t>
        </is>
      </c>
      <c r="AH530" t="inlineStr">
        <is>
          <t>pontual</t>
        </is>
      </c>
      <c r="AI530" t="n">
        <v>12</v>
      </c>
      <c r="AJ530" t="n">
        <v>0</v>
      </c>
      <c r="AK530" t="n">
        <v>0</v>
      </c>
      <c r="AL530" t="n">
        <v>0</v>
      </c>
      <c r="AM530" t="n">
        <v>1</v>
      </c>
      <c r="AN530" t="n">
        <v>1</v>
      </c>
      <c r="AP530" t="inlineStr">
        <is>
          <t>elas de maior relevância técnica ou valor significativo, conforme consta neste instrumento. e) Os atestados de capacidade técnica poderão ser objeto de diligências destinadas a esclarecer ou a complementar a instrução do processo. 7.7 GARANTIA DE PROPOSTA 7.7.1 As licitantes deverão comprovar a pres…</t>
        </is>
      </c>
      <c r="AQ530" t="n">
        <v>0</v>
      </c>
      <c r="AT530" t="n">
        <v>0</v>
      </c>
      <c r="AU530" t="n">
        <v>1</v>
      </c>
    </row>
    <row r="531">
      <c r="A531" t="inlineStr">
        <is>
          <t>55262249000167_2025_40</t>
        </is>
      </c>
      <c r="B531" s="2" t="inlineStr">
        <is>
          <t>https://pncp.gov.br/app/editais/55262249000167/2025/40</t>
        </is>
      </c>
      <c r="C531" t="inlineStr">
        <is>
          <t>2026-09-27T03:01:15.720110+00:00</t>
        </is>
      </c>
      <c r="D531" t="inlineStr">
        <is>
          <t>GO</t>
        </is>
      </c>
      <c r="E531" t="inlineStr">
        <is>
          <t>GO</t>
        </is>
      </c>
      <c r="F531" t="inlineStr">
        <is>
          <t>Palmeiras de Goiás</t>
        </is>
      </c>
      <c r="G531" t="inlineStr">
        <is>
          <t>FUNDO MUNICIPAL DE EDUCACAO BASICA - FMEB</t>
        </is>
      </c>
      <c r="H531" t="inlineStr">
        <is>
          <t>Municipal</t>
        </is>
      </c>
      <c r="I531" t="inlineStr">
        <is>
          <t>2025-06-17T10:12:57</t>
        </is>
      </c>
      <c r="J531" t="inlineStr">
        <is>
          <t>Pregão - Eletrônico</t>
        </is>
      </c>
      <c r="K531" t="inlineStr">
        <is>
          <t>EMPRESA ESPECIALIZADA EM MANUTENÇÃO PREVENTIVA E CORRETIVA DE APARELHOS DE AR CONDICIONADO</t>
        </is>
      </c>
      <c r="L531" t="b">
        <v>0</v>
      </c>
      <c r="M531" t="inlineStr">
        <is>
          <t>climatizacao</t>
        </is>
      </c>
      <c r="N531" t="inlineStr">
        <is>
          <t>climatizacao</t>
        </is>
      </c>
      <c r="O531" t="n">
        <v>310149.3</v>
      </c>
      <c r="P531" t="n">
        <v>197900</v>
      </c>
      <c r="Q531" t="n">
        <v>310149.3</v>
      </c>
      <c r="R531" t="n">
        <v>0.3619202106856279</v>
      </c>
      <c r="S531" t="n">
        <v>0</v>
      </c>
      <c r="T531" t="n">
        <v>24</v>
      </c>
      <c r="U531" t="n">
        <v>24</v>
      </c>
      <c r="V531" t="n">
        <v>24</v>
      </c>
      <c r="W531" t="n">
        <v>0</v>
      </c>
      <c r="X531" t="n">
        <v>0</v>
      </c>
      <c r="Y531" t="n">
        <v>0</v>
      </c>
      <c r="Z531" t="n">
        <v>0</v>
      </c>
      <c r="AA531" t="n">
        <v>0</v>
      </c>
      <c r="AB531" t="n">
        <v>0</v>
      </c>
      <c r="AC531" t="n">
        <v>0</v>
      </c>
      <c r="AD531" t="n">
        <v>0</v>
      </c>
      <c r="AE531" t="n">
        <v>1</v>
      </c>
      <c r="AF531" t="inlineStr">
        <is>
          <t>49008817 JESSICA OLIVEIRA DE ABREU:ME</t>
        </is>
      </c>
      <c r="AH531" t="inlineStr">
        <is>
          <t>indefinido</t>
        </is>
      </c>
      <c r="AJ531" t="n">
        <v>0</v>
      </c>
      <c r="AK531" t="n">
        <v>0</v>
      </c>
      <c r="AL531" t="n">
        <v>0</v>
      </c>
      <c r="AM531" t="n">
        <v>0</v>
      </c>
      <c r="AN531" t="n">
        <v>0</v>
      </c>
      <c r="AQ531" t="n">
        <v>0</v>
      </c>
      <c r="AS531" t="inlineStr">
        <is>
          <t>heuristica automatica confirmada: servico real de climatizacao, sem sinais de exclusao.</t>
        </is>
      </c>
      <c r="AT531" t="n">
        <v>0</v>
      </c>
      <c r="AU531" t="n">
        <v>1</v>
      </c>
    </row>
    <row r="532">
      <c r="A532" t="inlineStr">
        <is>
          <t>56085410000137_2026_61</t>
        </is>
      </c>
      <c r="B532" s="2" t="inlineStr">
        <is>
          <t>https://pncp.gov.br/app/editais/56085410000137/2026/61</t>
        </is>
      </c>
      <c r="C532" t="inlineStr">
        <is>
          <t>2026-09-27T04:59:20.871176+00:00</t>
        </is>
      </c>
      <c r="D532" t="inlineStr">
        <is>
          <t>MT</t>
        </is>
      </c>
      <c r="E532" t="inlineStr">
        <is>
          <t>vizinhos</t>
        </is>
      </c>
      <c r="F532" t="inlineStr">
        <is>
          <t>Cuiabá</t>
        </is>
      </c>
      <c r="G532" t="inlineStr">
        <is>
          <t>SECRETARIA DE ESTADO DE MEIO AMBIENTE DE MATO GROSSO</t>
        </is>
      </c>
      <c r="H532" t="inlineStr">
        <is>
          <t>Estadual</t>
        </is>
      </c>
      <c r="I532" t="inlineStr">
        <is>
          <t>2026-09-02T10:04:58</t>
        </is>
      </c>
      <c r="J532" t="inlineStr">
        <is>
          <t>Pregão - Eletrônico</t>
        </is>
      </c>
      <c r="K532" t="inlineStr">
        <is>
          <t>Prestação de serviços continuados de manutenção preventiva e corretiva de condicionadores de ar, com fornecimento de peças, componentes e acessórios novos e originais, quando for o caso, com instalação, desinstalação, remanejamento e instalação de tubulação por metro excedente, para atender às demandas da Contratante no Interior do Estado de Mato Grosso dos munícipios de Cáceres, Juína, Confresa e Poconé.</t>
        </is>
      </c>
      <c r="L532" t="b">
        <v>0</v>
      </c>
      <c r="M532" t="inlineStr">
        <is>
          <t>climatizacao</t>
        </is>
      </c>
      <c r="N532" t="inlineStr">
        <is>
          <t>climatizacao</t>
        </is>
      </c>
      <c r="O532" t="n">
        <v>406931.68</v>
      </c>
      <c r="P532" t="n">
        <v>233354.89</v>
      </c>
      <c r="Q532" t="n">
        <v>406931.68</v>
      </c>
      <c r="R532" t="n">
        <v>0.4265517985721829</v>
      </c>
      <c r="S532" t="n">
        <v>0</v>
      </c>
      <c r="T532" t="n">
        <v>36</v>
      </c>
      <c r="U532" t="n">
        <v>36</v>
      </c>
      <c r="V532" t="n">
        <v>36</v>
      </c>
      <c r="W532" t="n">
        <v>0</v>
      </c>
      <c r="X532" t="n">
        <v>0</v>
      </c>
      <c r="Y532" t="n">
        <v>0</v>
      </c>
      <c r="Z532" t="n">
        <v>0</v>
      </c>
      <c r="AA532" t="n">
        <v>0</v>
      </c>
      <c r="AB532" t="n">
        <v>1</v>
      </c>
      <c r="AC532" t="n">
        <v>0</v>
      </c>
      <c r="AD532" t="n">
        <v>0</v>
      </c>
      <c r="AE532" t="n">
        <v>3</v>
      </c>
      <c r="AF532" t="inlineStr">
        <is>
          <t>GUARANI CLIMATIZACAO COMERCIO E SERVICOS LTDA:Não Informado; CAPUCHE COMÉRCIO E SERVIÇOS EMPRESARIAIS LTDA:Não Informado; ZERO GRAU TECNOLOGIA EM CLIMATIZACAO LTDA:Não Informado</t>
        </is>
      </c>
      <c r="AH532" t="inlineStr">
        <is>
          <t>continuado</t>
        </is>
      </c>
      <c r="AJ532" t="n">
        <v>0</v>
      </c>
      <c r="AK532" t="n">
        <v>0</v>
      </c>
      <c r="AL532" t="n">
        <v>0</v>
      </c>
      <c r="AM532" t="n">
        <v>0</v>
      </c>
      <c r="AN532" t="n">
        <v>0</v>
      </c>
      <c r="AQ532" t="n">
        <v>0</v>
      </c>
      <c r="AS532" t="inlineStr">
        <is>
          <t>heuristica automatica confirmada: servico real de climatizacao, sem sinais de exclusao.</t>
        </is>
      </c>
      <c r="AT532" t="n">
        <v>0</v>
      </c>
      <c r="AU532" t="n">
        <v>1</v>
      </c>
    </row>
    <row r="533">
      <c r="A533" t="inlineStr">
        <is>
          <t>59558305000166_2026_4</t>
        </is>
      </c>
      <c r="B533" s="2" t="inlineStr">
        <is>
          <t>https://pncp.gov.br/app/editais/59558305000166/2026/4</t>
        </is>
      </c>
      <c r="C533" t="inlineStr">
        <is>
          <t>2026-09-27T05:12:55.472147+00:00</t>
        </is>
      </c>
      <c r="D533" t="inlineStr">
        <is>
          <t>MT</t>
        </is>
      </c>
      <c r="E533" t="inlineStr">
        <is>
          <t>vizinhos</t>
        </is>
      </c>
      <c r="F533" t="inlineStr">
        <is>
          <t>Cuiabá</t>
        </is>
      </c>
      <c r="G533" t="inlineStr">
        <is>
          <t>CONSORCIO INTERFEDERATIVO DE COMPRAS PUBLICAS DO ESTADO DE MATO GROSSO</t>
        </is>
      </c>
      <c r="H533" t="inlineStr">
        <is>
          <t>Não se aplica</t>
        </is>
      </c>
      <c r="I533" t="inlineStr">
        <is>
          <t>2026-04-16T16:58:41</t>
        </is>
      </c>
      <c r="J533" t="inlineStr">
        <is>
          <t>Concorrência - Eletrônica</t>
        </is>
      </c>
      <c r="K533" t="inlineStr">
        <is>
          <t>[LICITANET] - REGISTRO DE PREÇOS PARA FUTURA E EVENTUAL CONTRATAÇÃO DE EMPRESA(S) ESPECIALIZADA(S) PARA PRESTAÇÃO DE SERVIÇOS, SOB DEMANDA, DE MANUTENÇÃO PREDIAL PREVENTIVA E CORRETIVA E REPAROS EM EDIFICAÇÕES E INSTALAÇÕES PÚBLICAS, COMPREENDENDO ATIVIDADES DE CONSTRUÇÃO CIVIL, HIDRÁULICA E HIDROSSANITÁRIA, GESSO, INSTALAÇÕES ELÉTRICAS E PINTURA, COM FORNECIMENTO DE MATERIAIS/INSUMOS, EQUIPAMENTOS, FERRAMENTAS E MÃO DE OBRA, REMUNERADOS MEDIANTE APLICAÇÃO DE ÍNDICE DE DESCONTO SOBRE AS COMPOSIÇÕES E INSUMOS CONSTANTES DA TABELA SINAPI VIGENTE (REFERÊNCIA MATO GROSSO)</t>
        </is>
      </c>
      <c r="L533" t="b">
        <v>1</v>
      </c>
      <c r="M533" t="inlineStr">
        <is>
          <t>manutencao_predial</t>
        </is>
      </c>
      <c r="N533" t="inlineStr">
        <is>
          <t>manutencao_predial</t>
        </is>
      </c>
      <c r="O533" t="n">
        <v>174</v>
      </c>
      <c r="P533" t="n">
        <v>89</v>
      </c>
      <c r="Q533" t="n">
        <v>87</v>
      </c>
      <c r="R533" t="n">
        <v>-0.02298850574712648</v>
      </c>
      <c r="S533" t="n">
        <v>1</v>
      </c>
      <c r="T533" t="n">
        <v>12</v>
      </c>
      <c r="U533" t="n">
        <v>6</v>
      </c>
      <c r="V533" t="n">
        <v>6</v>
      </c>
      <c r="W533" t="n">
        <v>0</v>
      </c>
      <c r="X533" t="n">
        <v>6</v>
      </c>
      <c r="Y533" t="n">
        <v>0</v>
      </c>
      <c r="Z533" t="n">
        <v>1</v>
      </c>
      <c r="AA533" t="n">
        <v>0</v>
      </c>
      <c r="AB533" t="n">
        <v>0</v>
      </c>
      <c r="AC533" t="n">
        <v>0</v>
      </c>
      <c r="AD533" t="n">
        <v>0</v>
      </c>
      <c r="AE533" t="n">
        <v>2</v>
      </c>
      <c r="AF533" t="inlineStr">
        <is>
          <t>RNV PRESTACAO E TERCEIRIZACAO DE SERVICOS LTDA:ME; J DE MATOS JUNIOR LTDA:Demais</t>
        </is>
      </c>
      <c r="AH533" t="inlineStr">
        <is>
          <t>pontual</t>
        </is>
      </c>
      <c r="AJ533" t="n">
        <v>0</v>
      </c>
      <c r="AK533" t="n">
        <v>0</v>
      </c>
      <c r="AL533" t="n">
        <v>0</v>
      </c>
      <c r="AM533" t="n">
        <v>0</v>
      </c>
      <c r="AN533" t="n">
        <v>0</v>
      </c>
      <c r="AQ533" t="n">
        <v>0</v>
      </c>
      <c r="AT533" t="n">
        <v>0</v>
      </c>
      <c r="AU533" t="n">
        <v>1</v>
      </c>
    </row>
    <row r="534">
      <c r="A534" t="inlineStr">
        <is>
          <t>64794950000118_2026_1</t>
        </is>
      </c>
      <c r="B534" s="2" t="inlineStr">
        <is>
          <t>https://pncp.gov.br/app/editais/64794950000118/2026/1</t>
        </is>
      </c>
      <c r="C534" t="inlineStr">
        <is>
          <t>2026-09-27T04:21:31.257043+00:00</t>
        </is>
      </c>
      <c r="D534" t="inlineStr">
        <is>
          <t>GO</t>
        </is>
      </c>
      <c r="E534" t="inlineStr">
        <is>
          <t>GO</t>
        </is>
      </c>
      <c r="F534" t="inlineStr">
        <is>
          <t>Caçu</t>
        </is>
      </c>
      <c r="G534" t="inlineStr">
        <is>
          <t>FUNDO MUNICIPAL DE CULTURA - FMC</t>
        </is>
      </c>
      <c r="H534" t="inlineStr">
        <is>
          <t>Municipal</t>
        </is>
      </c>
      <c r="I534" t="inlineStr">
        <is>
          <t>2026-08-20T16:34:32</t>
        </is>
      </c>
      <c r="J534" t="inlineStr">
        <is>
          <t>Pregão - Eletrônico</t>
        </is>
      </c>
      <c r="K534" t="inlineStr">
        <is>
          <t>[LICITANET] - CONTRATAÇÃO DE EMPRESA ESPECIALIZADA PARA PRESTAÇÃO DE SERVIÇOS DE LOCAÇÃO, MONTAGEM, OPERAÇÃO, MANUTENÇÃO E DESMONTAGEM DE ESTRUTURAS E EQUIPAMENTOS DE SONORIZAÇÃO, ILUMINAÇÃO, PAINEL DE LED, PALCO, GERADOR DE ENERGIA, GRADIS E ESTRUTURAS DE ALUMÍNIO, BEM COMO PRESTAÇÃO DE SERVIÇOS DE SEGURANÇA DESARMADA E LOCUÇÃO PROFISSIONAL, NECESSÁRIOS À REALIZAÇÃO DO FESTIVAL DO TUCUNARÉ 2, A SER REALIZADO NOS DIAS 16, 17, 18 E 19 DE SETEMBRO DE 2026, NO MUNICÍPIO DE CAÇU/GO.</t>
        </is>
      </c>
      <c r="L534" t="b">
        <v>0</v>
      </c>
      <c r="M534" t="inlineStr">
        <is>
          <t>iluminacao_publica</t>
        </is>
      </c>
      <c r="N534" t="inlineStr">
        <is>
          <t>iluminacao_publica</t>
        </is>
      </c>
      <c r="O534" t="n">
        <v>153740.03</v>
      </c>
      <c r="P534" t="n">
        <v>109872.6</v>
      </c>
      <c r="Q534" t="n">
        <v>153740.0316</v>
      </c>
      <c r="R534" t="n">
        <v>0.2853351280305058</v>
      </c>
      <c r="S534" t="n">
        <v>0</v>
      </c>
      <c r="T534" t="n">
        <v>10</v>
      </c>
      <c r="U534" t="n">
        <v>10</v>
      </c>
      <c r="V534" t="n">
        <v>10</v>
      </c>
      <c r="W534" t="n">
        <v>0</v>
      </c>
      <c r="X534" t="n">
        <v>0</v>
      </c>
      <c r="Y534" t="n">
        <v>0</v>
      </c>
      <c r="Z534" t="n">
        <v>0</v>
      </c>
      <c r="AA534" t="n">
        <v>0</v>
      </c>
      <c r="AB534" t="n">
        <v>0</v>
      </c>
      <c r="AC534" t="n">
        <v>0</v>
      </c>
      <c r="AD534" t="n">
        <v>0</v>
      </c>
      <c r="AE534" t="n">
        <v>2</v>
      </c>
      <c r="AF534" t="inlineStr">
        <is>
          <t>GALLES ASSESSORIA PRODUÇÃO E EVENTOS LTDA:EPP; ANTONIO MARCOS DE LIMA LTDA:EPP</t>
        </is>
      </c>
      <c r="AH534" t="inlineStr">
        <is>
          <t>pontual</t>
        </is>
      </c>
      <c r="AJ534" t="n">
        <v>0</v>
      </c>
      <c r="AK534" t="n">
        <v>0</v>
      </c>
      <c r="AL534" t="n">
        <v>0</v>
      </c>
      <c r="AM534" t="n">
        <v>1</v>
      </c>
      <c r="AN534" t="n">
        <v>0</v>
      </c>
      <c r="AQ534" t="n">
        <v>0</v>
      </c>
      <c r="AR534" t="inlineStr">
        <is>
          <t>equipamento_alto</t>
        </is>
      </c>
      <c r="AS534" t="inlineStr">
        <is>
          <t>Objeto envolve gerador/estrutura de evento ou fração de material &gt; 40% associada a equipamentos de grande porte.</t>
        </is>
      </c>
      <c r="AT534" t="n">
        <v>0</v>
      </c>
      <c r="AU534" t="n">
        <v>0</v>
      </c>
    </row>
    <row r="535">
      <c r="A535" t="inlineStr">
        <is>
          <t>66229857000196_2026_54</t>
        </is>
      </c>
      <c r="B535" s="2" t="inlineStr">
        <is>
          <t>https://pncp.gov.br/app/editais/66229857000196/2026/54</t>
        </is>
      </c>
      <c r="C535" t="inlineStr">
        <is>
          <t>2026-09-27T05:45:11.238264+00:00</t>
        </is>
      </c>
      <c r="D535" t="inlineStr">
        <is>
          <t>MG</t>
        </is>
      </c>
      <c r="E535" t="inlineStr">
        <is>
          <t>vizinhos</t>
        </is>
      </c>
      <c r="F535" t="inlineStr">
        <is>
          <t>Caratinga</t>
        </is>
      </c>
      <c r="G535" t="inlineStr">
        <is>
          <t>CAMARA MUNICIPAL DE CARATINGA</t>
        </is>
      </c>
      <c r="H535" t="inlineStr">
        <is>
          <t>Municipal</t>
        </is>
      </c>
      <c r="I535" t="inlineStr">
        <is>
          <t>2026-08-07T15:51:38</t>
        </is>
      </c>
      <c r="J535" t="inlineStr">
        <is>
          <t>Pregão - Eletrônico</t>
        </is>
      </c>
      <c r="K535" t="inlineStr">
        <is>
          <t xml:space="preserve">selecionar proposta para o Programa de Manutencao  Operacao e Controle de Manutencao Continua   PMOC   Instalacao  Desinstalacao  Limpeza  Manutencao Preventiva e Manutencao Corretiva de Aparelhos Condicionadores de ar </t>
        </is>
      </c>
      <c r="L535" t="b">
        <v>0</v>
      </c>
      <c r="M535" t="inlineStr">
        <is>
          <t>climatizacao</t>
        </is>
      </c>
      <c r="N535" t="inlineStr">
        <is>
          <t>climatizacao</t>
        </is>
      </c>
      <c r="O535" t="n">
        <v>352080.3</v>
      </c>
      <c r="P535" t="n">
        <v>250000</v>
      </c>
      <c r="Q535" t="n">
        <v>352080.3</v>
      </c>
      <c r="R535" t="n">
        <v>0.2899347109167993</v>
      </c>
      <c r="S535" t="n">
        <v>0</v>
      </c>
      <c r="T535" t="n">
        <v>23</v>
      </c>
      <c r="U535" t="n">
        <v>23</v>
      </c>
      <c r="V535" t="n">
        <v>23</v>
      </c>
      <c r="W535" t="n">
        <v>0</v>
      </c>
      <c r="X535" t="n">
        <v>0</v>
      </c>
      <c r="Y535" t="n">
        <v>0</v>
      </c>
      <c r="Z535" t="n">
        <v>0</v>
      </c>
      <c r="AA535" t="n">
        <v>0</v>
      </c>
      <c r="AB535" t="n">
        <v>0</v>
      </c>
      <c r="AC535" t="n">
        <v>0</v>
      </c>
      <c r="AD535" t="n">
        <v>0</v>
      </c>
      <c r="AE535" t="n">
        <v>1</v>
      </c>
      <c r="AF535" t="inlineStr">
        <is>
          <t>TJ Ar Condicionado LTDA:Demais</t>
        </is>
      </c>
      <c r="AH535" t="inlineStr">
        <is>
          <t>indefinido</t>
        </is>
      </c>
      <c r="AJ535" t="n">
        <v>0</v>
      </c>
      <c r="AK535" t="n">
        <v>0</v>
      </c>
      <c r="AL535" t="n">
        <v>0</v>
      </c>
      <c r="AM535" t="n">
        <v>0</v>
      </c>
      <c r="AN535" t="n">
        <v>0</v>
      </c>
      <c r="AQ535" t="n">
        <v>0.1578219514127885</v>
      </c>
      <c r="AS535" t="inlineStr">
        <is>
          <t>Programa de PMOC com instalacao/desinstalacao/limpeza/manutencao preventiva e corretiva de condicionadores de ar -- servico continuado classico da area.</t>
        </is>
      </c>
      <c r="AT535" t="n">
        <v>0</v>
      </c>
      <c r="AU535" t="n">
        <v>1</v>
      </c>
    </row>
    <row r="536">
      <c r="A536" t="inlineStr">
        <is>
          <t>73357469000156_2026_127</t>
        </is>
      </c>
      <c r="B536" s="2" t="inlineStr">
        <is>
          <t>https://pncp.gov.br/app/editais/73357469000156/2026/127</t>
        </is>
      </c>
      <c r="C536" t="inlineStr">
        <is>
          <t>2026-09-27T05:43:19.263994+00:00</t>
        </is>
      </c>
      <c r="D536" t="inlineStr">
        <is>
          <t>MG</t>
        </is>
      </c>
      <c r="E536" t="inlineStr">
        <is>
          <t>vizinhos</t>
        </is>
      </c>
      <c r="F536" t="inlineStr">
        <is>
          <t>Lagoa Santa</t>
        </is>
      </c>
      <c r="G536" t="inlineStr">
        <is>
          <t>MUNICIPIO DE LAGOA SANTA</t>
        </is>
      </c>
      <c r="H536" t="inlineStr">
        <is>
          <t>Municipal</t>
        </is>
      </c>
      <c r="I536" t="inlineStr">
        <is>
          <t>2026-08-17T17:48:45</t>
        </is>
      </c>
      <c r="J536" t="inlineStr">
        <is>
          <t>Pregão - Eletrônico</t>
        </is>
      </c>
      <c r="K536" t="inlineStr">
        <is>
          <t>REGISTRO DE PREÇOS PARA A PRESTAÇÃO DE SERVIÇOS DE ENGENHARIA DESTINADOS À EXECUÇÃO DE OBRAS DE INFRAESTRUTURA URBANA NO SEGMENTO DE ILUMINAÇÃO PÚBLICA, COMPREENDENDO FUTURAS INSTALAÇÕES DE ILUMINAÇÃO EM ESPAÇOS PÚBLICOS, COM REDE SUBTERRÂNEA E ALIMENTAÇÃO POR MEIO DE MEDIÇÃO, INCLUINDO O FORNECIMENTO DE MATERIAIS E MÃO DE OBRA, NO PERÍMETRO URBANO DO MUNICÍPIO DE LAGOA SANTA.</t>
        </is>
      </c>
      <c r="L536" t="b">
        <v>1</v>
      </c>
      <c r="M536" t="inlineStr">
        <is>
          <t>iluminacao_publica</t>
        </is>
      </c>
      <c r="N536" t="inlineStr">
        <is>
          <t>iluminacao_publica</t>
        </is>
      </c>
      <c r="O536" t="n">
        <v>1549795.37</v>
      </c>
      <c r="P536" t="n">
        <v>1059000</v>
      </c>
      <c r="Q536" t="n">
        <v>1549795.37</v>
      </c>
      <c r="R536" t="n">
        <v>0.3166839826086202</v>
      </c>
      <c r="S536" t="n">
        <v>0</v>
      </c>
      <c r="T536" t="n">
        <v>1</v>
      </c>
      <c r="U536" t="n">
        <v>1</v>
      </c>
      <c r="V536" t="n">
        <v>1</v>
      </c>
      <c r="W536" t="n">
        <v>0</v>
      </c>
      <c r="X536" t="n">
        <v>0</v>
      </c>
      <c r="Y536" t="n">
        <v>0</v>
      </c>
      <c r="Z536" t="n">
        <v>0</v>
      </c>
      <c r="AA536" t="n">
        <v>0</v>
      </c>
      <c r="AB536" t="n">
        <v>0</v>
      </c>
      <c r="AC536" t="n">
        <v>0</v>
      </c>
      <c r="AD536" t="n">
        <v>0</v>
      </c>
      <c r="AE536" t="n">
        <v>1</v>
      </c>
      <c r="AF536" t="inlineStr">
        <is>
          <t>Luz Forte Construções Elétricas Ltda:Demais</t>
        </is>
      </c>
      <c r="AH536" t="inlineStr">
        <is>
          <t>pontual</t>
        </is>
      </c>
      <c r="AJ536" t="n">
        <v>0</v>
      </c>
      <c r="AK536" t="n">
        <v>0</v>
      </c>
      <c r="AL536" t="n">
        <v>0</v>
      </c>
      <c r="AM536" t="n">
        <v>0</v>
      </c>
      <c r="AN536" t="n">
        <v>0</v>
      </c>
      <c r="AQ536" t="n">
        <v>0</v>
      </c>
      <c r="AR536" t="inlineStr">
        <is>
          <t>obra_grande</t>
        </is>
      </c>
      <c r="AS536" t="inlineStr">
        <is>
          <t>Objeto fala em 'futuras instalações de iluminação em espaços públicos' (implantação) e valor estimado R$1.549.795,37 ultrapassa o limiar de R$1,5 milhão.</t>
        </is>
      </c>
      <c r="AT536" t="n">
        <v>0</v>
      </c>
      <c r="AU536" t="n">
        <v>0</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area</t>
        </is>
      </c>
      <c r="B1" s="1" t="inlineStr">
        <is>
          <t>grupo_uf</t>
        </is>
      </c>
      <c r="C1" s="1" t="inlineStr">
        <is>
          <t>volume_ano_indice (copiado de indicadores.json)</t>
        </is>
      </c>
      <c r="D1" s="1" t="inlineStr">
        <is>
          <t>n_casos_detalhados (formula)</t>
        </is>
      </c>
      <c r="E1" s="1" t="inlineStr">
        <is>
          <t>valor_total_estimado (formula)</t>
        </is>
      </c>
      <c r="F1" s="1" t="inlineStr">
        <is>
          <t>ticket_mediano (formula)</t>
        </is>
      </c>
      <c r="G1" s="1" t="inlineStr">
        <is>
          <t>mediana_participantes (formula)</t>
        </is>
      </c>
      <c r="H1" s="1" t="inlineStr">
        <is>
          <t>n_amostra_participantes (formula)</t>
        </is>
      </c>
      <c r="I1" s="1" t="inlineStr">
        <is>
          <t>desconto_mediana (formula)</t>
        </is>
      </c>
      <c r="J1" s="1" t="inlineStr">
        <is>
          <t>desconto_q1 (formula)</t>
        </is>
      </c>
      <c r="K1" s="1" t="inlineStr">
        <is>
          <t>desconto_q3 (formula)</t>
        </is>
      </c>
      <c r="L1" s="1" t="inlineStr">
        <is>
          <t>n_amostra_desconto (formula)</t>
        </is>
      </c>
      <c r="M1" s="1" t="inlineStr">
        <is>
          <t>pct_deserta_ou_fracassada (formula)</t>
        </is>
      </c>
      <c r="N1" s="1" t="inlineStr">
        <is>
          <t>pct_exclusiva_meepp (formula)</t>
        </is>
      </c>
      <c r="O1" s="1" t="inlineStr">
        <is>
          <t>pct_exclusiva_parcial_meepp (formula)</t>
        </is>
      </c>
      <c r="P1" s="1" t="inlineStr">
        <is>
          <t>pct_cota_meepp (formula)</t>
        </is>
      </c>
      <c r="Q1" s="1" t="inlineStr">
        <is>
          <t>pct_continuado (formula)</t>
        </is>
      </c>
    </row>
    <row r="2">
      <c r="A2" t="inlineStr">
        <is>
          <t>climatizacao</t>
        </is>
      </c>
      <c r="B2" t="inlineStr">
        <is>
          <t>GO</t>
        </is>
      </c>
      <c r="C2" t="n">
        <v>46</v>
      </c>
      <c r="D2">
        <f>COUNTIFS(dados_brutos!$M$2:$M$536,"*"&amp;"climatizacao"&amp;"*",dados_brutos!$E$2:$E$536,"GO",dados_brutos!$AU$2:$AU$536,1)</f>
        <v/>
      </c>
      <c r="E2">
        <f>IF(SUMPRODUCT((ISNUMBER(SEARCH("climatizacao",dados_brutos!$M$2:$M$536))*(dados_brutos!$E$2:$E$536="GO")*(dados_brutos!$AU$2:$AU$536=1))*ISNUMBER(dados_brutos!$O$2:$O$536))=0,"",SUMIFS(dados_brutos!$O$2:$O$536,dados_brutos!$M$2:$M$536,"*"&amp;"climatizacao"&amp;"*",dados_brutos!$E$2:$E$536,"GO",dados_brutos!$AU$2:$AU$536,1))</f>
        <v/>
      </c>
      <c r="F2">
        <f>IF(SUMPRODUCT((ISNUMBER(SEARCH("climatizacao",dados_brutos!$M$2:$M$536))*(dados_brutos!$E$2:$E$536="GO")*(dados_brutos!$AU$2:$AU$536=1))*ISNUMBER(dados_brutos!$O$2:$O$536))=0,"",_xlfn.AGGREGATE(12,6,dados_brutos!$O$2:$O$536/((ISNUMBER(SEARCH("climatizacao",dados_brutos!$M$2:$M$536))*(dados_brutos!$E$2:$E$536="GO")*(dados_brutos!$AU$2:$AU$536=1))*ISNUMBER(dados_brutos!$O$2:$O$536))))</f>
        <v/>
      </c>
      <c r="G2">
        <f>IF(SUMPRODUCT((ISNUMBER(SEARCH("climatizacao",dados_brutos!$M$2:$M$536))*(dados_brutos!$E$2:$E$536="GO")*(dados_brutos!$AU$2:$AU$536=1))*ISNUMBER(dados_brutos!$AG$2:$AG$536))=0,"",_xlfn.AGGREGATE(12,6,dados_brutos!$AG$2:$AG$536/((ISNUMBER(SEARCH("climatizacao",dados_brutos!$M$2:$M$536))*(dados_brutos!$E$2:$E$536="GO")*(dados_brutos!$AU$2:$AU$536=1))*ISNUMBER(dados_brutos!$AG$2:$AG$536))))</f>
        <v/>
      </c>
      <c r="H2">
        <f>SUMPRODUCT((ISNUMBER(SEARCH("climatizacao",dados_brutos!$M$2:$M$536))*(dados_brutos!$E$2:$E$536="GO")*(dados_brutos!$AU$2:$AU$536=1))*ISNUMBER(dados_brutos!$AG$2:$AG$536))</f>
        <v/>
      </c>
      <c r="I2">
        <f>IF(SUMPRODUCT((ISNUMBER(SEARCH("climatizacao",dados_brutos!$M$2:$M$536))*(dados_brutos!$E$2:$E$536="GO")*(dados_brutos!$AU$2:$AU$536=1))*ISNUMBER(dados_brutos!$R$2:$R$536))=0,"",_xlfn.AGGREGATE(12,6,dados_brutos!$R$2:$R$536/((ISNUMBER(SEARCH("climatizacao",dados_brutos!$M$2:$M$536))*(dados_brutos!$E$2:$E$536="GO")*(dados_brutos!$AU$2:$AU$536=1))*ISNUMBER(dados_brutos!$R$2:$R$536))))</f>
        <v/>
      </c>
      <c r="J2">
        <f>IF(SUMPRODUCT((ISNUMBER(SEARCH("climatizacao",dados_brutos!$M$2:$M$536))*(dados_brutos!$E$2:$E$536="GO")*(dados_brutos!$AU$2:$AU$536=1))*ISNUMBER(dados_brutos!$R$2:$R$536))=0,"",_xlfn.AGGREGATE(17,6,dados_brutos!$R$2:$R$536/((ISNUMBER(SEARCH("climatizacao",dados_brutos!$M$2:$M$536))*(dados_brutos!$E$2:$E$536="GO")*(dados_brutos!$AU$2:$AU$536=1))*ISNUMBER(dados_brutos!$R$2:$R$536)),1))</f>
        <v/>
      </c>
      <c r="K2">
        <f>IF(SUMPRODUCT((ISNUMBER(SEARCH("climatizacao",dados_brutos!$M$2:$M$536))*(dados_brutos!$E$2:$E$536="GO")*(dados_brutos!$AU$2:$AU$536=1))*ISNUMBER(dados_brutos!$R$2:$R$536))=0,"",_xlfn.AGGREGATE(17,6,dados_brutos!$R$2:$R$536/((ISNUMBER(SEARCH("climatizacao",dados_brutos!$M$2:$M$536))*(dados_brutos!$E$2:$E$536="GO")*(dados_brutos!$AU$2:$AU$536=1))*ISNUMBER(dados_brutos!$R$2:$R$536)),3))</f>
        <v/>
      </c>
      <c r="L2">
        <f>SUMPRODUCT((ISNUMBER(SEARCH("climatizacao",dados_brutos!$M$2:$M$536))*(dados_brutos!$E$2:$E$536="GO")*(dados_brutos!$AU$2:$AU$536=1))*ISNUMBER(dados_brutos!$R$2:$R$536))</f>
        <v/>
      </c>
      <c r="M2">
        <f>IF(COUNTIFS(dados_brutos!$M$2:$M$536,"*"&amp;"climatizacao"&amp;"*",dados_brutos!$E$2:$E$536,"GO",dados_brutos!$AU$2:$AU$536,1)=0,"",COUNTIFS(dados_brutos!$M$2:$M$536,"*"&amp;"climatizacao"&amp;"*",dados_brutos!$E$2:$E$536,"GO",dados_brutos!$AU$2:$AU$536,1,dados_brutos!$Z$2:$Z$536,1)/COUNTIFS(dados_brutos!$M$2:$M$536,"*"&amp;"climatizacao"&amp;"*",dados_brutos!$E$2:$E$536,"GO",dados_brutos!$AU$2:$AU$536,1))</f>
        <v/>
      </c>
      <c r="N2">
        <f>IF(COUNTIFS(dados_brutos!$M$2:$M$536,"*"&amp;"climatizacao"&amp;"*",dados_brutos!$E$2:$E$536,"GO",dados_brutos!$AU$2:$AU$536,1)=0,"",COUNTIFS(dados_brutos!$M$2:$M$536,"*"&amp;"climatizacao"&amp;"*",dados_brutos!$E$2:$E$536,"GO",dados_brutos!$AU$2:$AU$536,1,dados_brutos!$AA$2:$AA$536,1)/COUNTIFS(dados_brutos!$M$2:$M$536,"*"&amp;"climatizacao"&amp;"*",dados_brutos!$E$2:$E$536,"GO",dados_brutos!$AU$2:$AU$536,1))</f>
        <v/>
      </c>
      <c r="O2">
        <f>IF(COUNTIFS(dados_brutos!$M$2:$M$536,"*"&amp;"climatizacao"&amp;"*",dados_brutos!$E$2:$E$536,"GO",dados_brutos!$AU$2:$AU$536,1)=0,"",COUNTIFS(dados_brutos!$M$2:$M$536,"*"&amp;"climatizacao"&amp;"*",dados_brutos!$E$2:$E$536,"GO",dados_brutos!$AU$2:$AU$536,1,dados_brutos!$AB$2:$AB$536,1)/COUNTIFS(dados_brutos!$M$2:$M$536,"*"&amp;"climatizacao"&amp;"*",dados_brutos!$E$2:$E$536,"GO",dados_brutos!$AU$2:$AU$536,1))</f>
        <v/>
      </c>
      <c r="P2">
        <f>IF(COUNTIFS(dados_brutos!$M$2:$M$536,"*"&amp;"climatizacao"&amp;"*",dados_brutos!$E$2:$E$536,"GO",dados_brutos!$AU$2:$AU$536,1)=0,"",COUNTIFS(dados_brutos!$M$2:$M$536,"*"&amp;"climatizacao"&amp;"*",dados_brutos!$E$2:$E$536,"GO",dados_brutos!$AU$2:$AU$536,1,dados_brutos!$AC$2:$AC$536,1)/COUNTIFS(dados_brutos!$M$2:$M$536,"*"&amp;"climatizacao"&amp;"*",dados_brutos!$E$2:$E$536,"GO",dados_brutos!$AU$2:$AU$536,1))</f>
        <v/>
      </c>
      <c r="Q2">
        <f>IF(COUNTIFS(dados_brutos!$M$2:$M$536,"*"&amp;"climatizacao"&amp;"*",dados_brutos!$E$2:$E$536,"GO",dados_brutos!$AU$2:$AU$536,1)=0,"",COUNTIFS(dados_brutos!$M$2:$M$536,"*"&amp;"climatizacao"&amp;"*",dados_brutos!$E$2:$E$536,"GO",dados_brutos!$AU$2:$AU$536,1,dados_brutos!$AH$2:$AH$536,"continuado")/COUNTIFS(dados_brutos!$M$2:$M$536,"*"&amp;"climatizacao"&amp;"*",dados_brutos!$E$2:$E$536,"GO",dados_brutos!$AU$2:$AU$536,1))</f>
        <v/>
      </c>
    </row>
    <row r="3">
      <c r="A3" t="inlineStr">
        <is>
          <t>climatizacao</t>
        </is>
      </c>
      <c r="B3" t="inlineStr">
        <is>
          <t>vizinhos</t>
        </is>
      </c>
      <c r="C3" t="n">
        <v>225</v>
      </c>
      <c r="D3">
        <f>COUNTIFS(dados_brutos!$M$2:$M$536,"*"&amp;"climatizacao"&amp;"*",dados_brutos!$E$2:$E$536,"vizinhos",dados_brutos!$AU$2:$AU$536,1)</f>
        <v/>
      </c>
      <c r="E3">
        <f>IF(SUMPRODUCT((ISNUMBER(SEARCH("climatizacao",dados_brutos!$M$2:$M$536))*(dados_brutos!$E$2:$E$536="vizinhos")*(dados_brutos!$AU$2:$AU$536=1))*ISNUMBER(dados_brutos!$O$2:$O$536))=0,"",SUMIFS(dados_brutos!$O$2:$O$536,dados_brutos!$M$2:$M$536,"*"&amp;"climatizacao"&amp;"*",dados_brutos!$E$2:$E$536,"vizinhos",dados_brutos!$AU$2:$AU$536,1))</f>
        <v/>
      </c>
      <c r="F3">
        <f>IF(SUMPRODUCT((ISNUMBER(SEARCH("climatizacao",dados_brutos!$M$2:$M$536))*(dados_brutos!$E$2:$E$536="vizinhos")*(dados_brutos!$AU$2:$AU$536=1))*ISNUMBER(dados_brutos!$O$2:$O$536))=0,"",_xlfn.AGGREGATE(12,6,dados_brutos!$O$2:$O$536/((ISNUMBER(SEARCH("climatizacao",dados_brutos!$M$2:$M$536))*(dados_brutos!$E$2:$E$536="vizinhos")*(dados_brutos!$AU$2:$AU$536=1))*ISNUMBER(dados_brutos!$O$2:$O$536))))</f>
        <v/>
      </c>
      <c r="G3">
        <f>IF(SUMPRODUCT((ISNUMBER(SEARCH("climatizacao",dados_brutos!$M$2:$M$536))*(dados_brutos!$E$2:$E$536="vizinhos")*(dados_brutos!$AU$2:$AU$536=1))*ISNUMBER(dados_brutos!$AG$2:$AG$536))=0,"",_xlfn.AGGREGATE(12,6,dados_brutos!$AG$2:$AG$536/((ISNUMBER(SEARCH("climatizacao",dados_brutos!$M$2:$M$536))*(dados_brutos!$E$2:$E$536="vizinhos")*(dados_brutos!$AU$2:$AU$536=1))*ISNUMBER(dados_brutos!$AG$2:$AG$536))))</f>
        <v/>
      </c>
      <c r="H3">
        <f>SUMPRODUCT((ISNUMBER(SEARCH("climatizacao",dados_brutos!$M$2:$M$536))*(dados_brutos!$E$2:$E$536="vizinhos")*(dados_brutos!$AU$2:$AU$536=1))*ISNUMBER(dados_brutos!$AG$2:$AG$536))</f>
        <v/>
      </c>
      <c r="I3">
        <f>IF(SUMPRODUCT((ISNUMBER(SEARCH("climatizacao",dados_brutos!$M$2:$M$536))*(dados_brutos!$E$2:$E$536="vizinhos")*(dados_brutos!$AU$2:$AU$536=1))*ISNUMBER(dados_brutos!$R$2:$R$536))=0,"",_xlfn.AGGREGATE(12,6,dados_brutos!$R$2:$R$536/((ISNUMBER(SEARCH("climatizacao",dados_brutos!$M$2:$M$536))*(dados_brutos!$E$2:$E$536="vizinhos")*(dados_brutos!$AU$2:$AU$536=1))*ISNUMBER(dados_brutos!$R$2:$R$536))))</f>
        <v/>
      </c>
      <c r="J3">
        <f>IF(SUMPRODUCT((ISNUMBER(SEARCH("climatizacao",dados_brutos!$M$2:$M$536))*(dados_brutos!$E$2:$E$536="vizinhos")*(dados_brutos!$AU$2:$AU$536=1))*ISNUMBER(dados_brutos!$R$2:$R$536))=0,"",_xlfn.AGGREGATE(17,6,dados_brutos!$R$2:$R$536/((ISNUMBER(SEARCH("climatizacao",dados_brutos!$M$2:$M$536))*(dados_brutos!$E$2:$E$536="vizinhos")*(dados_brutos!$AU$2:$AU$536=1))*ISNUMBER(dados_brutos!$R$2:$R$536)),1))</f>
        <v/>
      </c>
      <c r="K3">
        <f>IF(SUMPRODUCT((ISNUMBER(SEARCH("climatizacao",dados_brutos!$M$2:$M$536))*(dados_brutos!$E$2:$E$536="vizinhos")*(dados_brutos!$AU$2:$AU$536=1))*ISNUMBER(dados_brutos!$R$2:$R$536))=0,"",_xlfn.AGGREGATE(17,6,dados_brutos!$R$2:$R$536/((ISNUMBER(SEARCH("climatizacao",dados_brutos!$M$2:$M$536))*(dados_brutos!$E$2:$E$536="vizinhos")*(dados_brutos!$AU$2:$AU$536=1))*ISNUMBER(dados_brutos!$R$2:$R$536)),3))</f>
        <v/>
      </c>
      <c r="L3">
        <f>SUMPRODUCT((ISNUMBER(SEARCH("climatizacao",dados_brutos!$M$2:$M$536))*(dados_brutos!$E$2:$E$536="vizinhos")*(dados_brutos!$AU$2:$AU$536=1))*ISNUMBER(dados_brutos!$R$2:$R$536))</f>
        <v/>
      </c>
      <c r="M3">
        <f>IF(COUNTIFS(dados_brutos!$M$2:$M$536,"*"&amp;"climatizacao"&amp;"*",dados_brutos!$E$2:$E$536,"vizinhos",dados_brutos!$AU$2:$AU$536,1)=0,"",COUNTIFS(dados_brutos!$M$2:$M$536,"*"&amp;"climatizacao"&amp;"*",dados_brutos!$E$2:$E$536,"vizinhos",dados_brutos!$AU$2:$AU$536,1,dados_brutos!$Z$2:$Z$536,1)/COUNTIFS(dados_brutos!$M$2:$M$536,"*"&amp;"climatizacao"&amp;"*",dados_brutos!$E$2:$E$536,"vizinhos",dados_brutos!$AU$2:$AU$536,1))</f>
        <v/>
      </c>
      <c r="N3">
        <f>IF(COUNTIFS(dados_brutos!$M$2:$M$536,"*"&amp;"climatizacao"&amp;"*",dados_brutos!$E$2:$E$536,"vizinhos",dados_brutos!$AU$2:$AU$536,1)=0,"",COUNTIFS(dados_brutos!$M$2:$M$536,"*"&amp;"climatizacao"&amp;"*",dados_brutos!$E$2:$E$536,"vizinhos",dados_brutos!$AU$2:$AU$536,1,dados_brutos!$AA$2:$AA$536,1)/COUNTIFS(dados_brutos!$M$2:$M$536,"*"&amp;"climatizacao"&amp;"*",dados_brutos!$E$2:$E$536,"vizinhos",dados_brutos!$AU$2:$AU$536,1))</f>
        <v/>
      </c>
      <c r="O3">
        <f>IF(COUNTIFS(dados_brutos!$M$2:$M$536,"*"&amp;"climatizacao"&amp;"*",dados_brutos!$E$2:$E$536,"vizinhos",dados_brutos!$AU$2:$AU$536,1)=0,"",COUNTIFS(dados_brutos!$M$2:$M$536,"*"&amp;"climatizacao"&amp;"*",dados_brutos!$E$2:$E$536,"vizinhos",dados_brutos!$AU$2:$AU$536,1,dados_brutos!$AB$2:$AB$536,1)/COUNTIFS(dados_brutos!$M$2:$M$536,"*"&amp;"climatizacao"&amp;"*",dados_brutos!$E$2:$E$536,"vizinhos",dados_brutos!$AU$2:$AU$536,1))</f>
        <v/>
      </c>
      <c r="P3">
        <f>IF(COUNTIFS(dados_brutos!$M$2:$M$536,"*"&amp;"climatizacao"&amp;"*",dados_brutos!$E$2:$E$536,"vizinhos",dados_brutos!$AU$2:$AU$536,1)=0,"",COUNTIFS(dados_brutos!$M$2:$M$536,"*"&amp;"climatizacao"&amp;"*",dados_brutos!$E$2:$E$536,"vizinhos",dados_brutos!$AU$2:$AU$536,1,dados_brutos!$AC$2:$AC$536,1)/COUNTIFS(dados_brutos!$M$2:$M$536,"*"&amp;"climatizacao"&amp;"*",dados_brutos!$E$2:$E$536,"vizinhos",dados_brutos!$AU$2:$AU$536,1))</f>
        <v/>
      </c>
      <c r="Q3">
        <f>IF(COUNTIFS(dados_brutos!$M$2:$M$536,"*"&amp;"climatizacao"&amp;"*",dados_brutos!$E$2:$E$536,"vizinhos",dados_brutos!$AU$2:$AU$536,1)=0,"",COUNTIFS(dados_brutos!$M$2:$M$536,"*"&amp;"climatizacao"&amp;"*",dados_brutos!$E$2:$E$536,"vizinhos",dados_brutos!$AU$2:$AU$536,1,dados_brutos!$AH$2:$AH$536,"continuado")/COUNTIFS(dados_brutos!$M$2:$M$536,"*"&amp;"climatizacao"&amp;"*",dados_brutos!$E$2:$E$536,"vizinhos",dados_brutos!$AU$2:$AU$536,1))</f>
        <v/>
      </c>
    </row>
    <row r="4">
      <c r="A4" t="inlineStr">
        <is>
          <t>refrigeracao</t>
        </is>
      </c>
      <c r="B4" t="inlineStr">
        <is>
          <t>GO</t>
        </is>
      </c>
      <c r="C4" t="n">
        <v>10.5</v>
      </c>
      <c r="D4">
        <f>COUNTIFS(dados_brutos!$M$2:$M$536,"*"&amp;"refrigeracao"&amp;"*",dados_brutos!$E$2:$E$536,"GO",dados_brutos!$AU$2:$AU$536,1)</f>
        <v/>
      </c>
      <c r="E4">
        <f>IF(SUMPRODUCT((ISNUMBER(SEARCH("refrigeracao",dados_brutos!$M$2:$M$536))*(dados_brutos!$E$2:$E$536="GO")*(dados_brutos!$AU$2:$AU$536=1))*ISNUMBER(dados_brutos!$O$2:$O$536))=0,"",SUMIFS(dados_brutos!$O$2:$O$536,dados_brutos!$M$2:$M$536,"*"&amp;"refrigeracao"&amp;"*",dados_brutos!$E$2:$E$536,"GO",dados_brutos!$AU$2:$AU$536,1))</f>
        <v/>
      </c>
      <c r="F4">
        <f>IF(SUMPRODUCT((ISNUMBER(SEARCH("refrigeracao",dados_brutos!$M$2:$M$536))*(dados_brutos!$E$2:$E$536="GO")*(dados_brutos!$AU$2:$AU$536=1))*ISNUMBER(dados_brutos!$O$2:$O$536))=0,"",_xlfn.AGGREGATE(12,6,dados_brutos!$O$2:$O$536/((ISNUMBER(SEARCH("refrigeracao",dados_brutos!$M$2:$M$536))*(dados_brutos!$E$2:$E$536="GO")*(dados_brutos!$AU$2:$AU$536=1))*ISNUMBER(dados_brutos!$O$2:$O$536))))</f>
        <v/>
      </c>
      <c r="G4">
        <f>IF(SUMPRODUCT((ISNUMBER(SEARCH("refrigeracao",dados_brutos!$M$2:$M$536))*(dados_brutos!$E$2:$E$536="GO")*(dados_brutos!$AU$2:$AU$536=1))*ISNUMBER(dados_brutos!$AG$2:$AG$536))=0,"",_xlfn.AGGREGATE(12,6,dados_brutos!$AG$2:$AG$536/((ISNUMBER(SEARCH("refrigeracao",dados_brutos!$M$2:$M$536))*(dados_brutos!$E$2:$E$536="GO")*(dados_brutos!$AU$2:$AU$536=1))*ISNUMBER(dados_brutos!$AG$2:$AG$536))))</f>
        <v/>
      </c>
      <c r="H4">
        <f>SUMPRODUCT((ISNUMBER(SEARCH("refrigeracao",dados_brutos!$M$2:$M$536))*(dados_brutos!$E$2:$E$536="GO")*(dados_brutos!$AU$2:$AU$536=1))*ISNUMBER(dados_brutos!$AG$2:$AG$536))</f>
        <v/>
      </c>
      <c r="I4">
        <f>IF(SUMPRODUCT((ISNUMBER(SEARCH("refrigeracao",dados_brutos!$M$2:$M$536))*(dados_brutos!$E$2:$E$536="GO")*(dados_brutos!$AU$2:$AU$536=1))*ISNUMBER(dados_brutos!$R$2:$R$536))=0,"",_xlfn.AGGREGATE(12,6,dados_brutos!$R$2:$R$536/((ISNUMBER(SEARCH("refrigeracao",dados_brutos!$M$2:$M$536))*(dados_brutos!$E$2:$E$536="GO")*(dados_brutos!$AU$2:$AU$536=1))*ISNUMBER(dados_brutos!$R$2:$R$536))))</f>
        <v/>
      </c>
      <c r="J4">
        <f>IF(SUMPRODUCT((ISNUMBER(SEARCH("refrigeracao",dados_brutos!$M$2:$M$536))*(dados_brutos!$E$2:$E$536="GO")*(dados_brutos!$AU$2:$AU$536=1))*ISNUMBER(dados_brutos!$R$2:$R$536))=0,"",_xlfn.AGGREGATE(17,6,dados_brutos!$R$2:$R$536/((ISNUMBER(SEARCH("refrigeracao",dados_brutos!$M$2:$M$536))*(dados_brutos!$E$2:$E$536="GO")*(dados_brutos!$AU$2:$AU$536=1))*ISNUMBER(dados_brutos!$R$2:$R$536)),1))</f>
        <v/>
      </c>
      <c r="K4">
        <f>IF(SUMPRODUCT((ISNUMBER(SEARCH("refrigeracao",dados_brutos!$M$2:$M$536))*(dados_brutos!$E$2:$E$536="GO")*(dados_brutos!$AU$2:$AU$536=1))*ISNUMBER(dados_brutos!$R$2:$R$536))=0,"",_xlfn.AGGREGATE(17,6,dados_brutos!$R$2:$R$536/((ISNUMBER(SEARCH("refrigeracao",dados_brutos!$M$2:$M$536))*(dados_brutos!$E$2:$E$536="GO")*(dados_brutos!$AU$2:$AU$536=1))*ISNUMBER(dados_brutos!$R$2:$R$536)),3))</f>
        <v/>
      </c>
      <c r="L4">
        <f>SUMPRODUCT((ISNUMBER(SEARCH("refrigeracao",dados_brutos!$M$2:$M$536))*(dados_brutos!$E$2:$E$536="GO")*(dados_brutos!$AU$2:$AU$536=1))*ISNUMBER(dados_brutos!$R$2:$R$536))</f>
        <v/>
      </c>
      <c r="M4">
        <f>IF(COUNTIFS(dados_brutos!$M$2:$M$536,"*"&amp;"refrigeracao"&amp;"*",dados_brutos!$E$2:$E$536,"GO",dados_brutos!$AU$2:$AU$536,1)=0,"",COUNTIFS(dados_brutos!$M$2:$M$536,"*"&amp;"refrigeracao"&amp;"*",dados_brutos!$E$2:$E$536,"GO",dados_brutos!$AU$2:$AU$536,1,dados_brutos!$Z$2:$Z$536,1)/COUNTIFS(dados_brutos!$M$2:$M$536,"*"&amp;"refrigeracao"&amp;"*",dados_brutos!$E$2:$E$536,"GO",dados_brutos!$AU$2:$AU$536,1))</f>
        <v/>
      </c>
      <c r="N4">
        <f>IF(COUNTIFS(dados_brutos!$M$2:$M$536,"*"&amp;"refrigeracao"&amp;"*",dados_brutos!$E$2:$E$536,"GO",dados_brutos!$AU$2:$AU$536,1)=0,"",COUNTIFS(dados_brutos!$M$2:$M$536,"*"&amp;"refrigeracao"&amp;"*",dados_brutos!$E$2:$E$536,"GO",dados_brutos!$AU$2:$AU$536,1,dados_brutos!$AA$2:$AA$536,1)/COUNTIFS(dados_brutos!$M$2:$M$536,"*"&amp;"refrigeracao"&amp;"*",dados_brutos!$E$2:$E$536,"GO",dados_brutos!$AU$2:$AU$536,1))</f>
        <v/>
      </c>
      <c r="O4">
        <f>IF(COUNTIFS(dados_brutos!$M$2:$M$536,"*"&amp;"refrigeracao"&amp;"*",dados_brutos!$E$2:$E$536,"GO",dados_brutos!$AU$2:$AU$536,1)=0,"",COUNTIFS(dados_brutos!$M$2:$M$536,"*"&amp;"refrigeracao"&amp;"*",dados_brutos!$E$2:$E$536,"GO",dados_brutos!$AU$2:$AU$536,1,dados_brutos!$AB$2:$AB$536,1)/COUNTIFS(dados_brutos!$M$2:$M$536,"*"&amp;"refrigeracao"&amp;"*",dados_brutos!$E$2:$E$536,"GO",dados_brutos!$AU$2:$AU$536,1))</f>
        <v/>
      </c>
      <c r="P4">
        <f>IF(COUNTIFS(dados_brutos!$M$2:$M$536,"*"&amp;"refrigeracao"&amp;"*",dados_brutos!$E$2:$E$536,"GO",dados_brutos!$AU$2:$AU$536,1)=0,"",COUNTIFS(dados_brutos!$M$2:$M$536,"*"&amp;"refrigeracao"&amp;"*",dados_brutos!$E$2:$E$536,"GO",dados_brutos!$AU$2:$AU$536,1,dados_brutos!$AC$2:$AC$536,1)/COUNTIFS(dados_brutos!$M$2:$M$536,"*"&amp;"refrigeracao"&amp;"*",dados_brutos!$E$2:$E$536,"GO",dados_brutos!$AU$2:$AU$536,1))</f>
        <v/>
      </c>
      <c r="Q4">
        <f>IF(COUNTIFS(dados_brutos!$M$2:$M$536,"*"&amp;"refrigeracao"&amp;"*",dados_brutos!$E$2:$E$536,"GO",dados_brutos!$AU$2:$AU$536,1)=0,"",COUNTIFS(dados_brutos!$M$2:$M$536,"*"&amp;"refrigeracao"&amp;"*",dados_brutos!$E$2:$E$536,"GO",dados_brutos!$AU$2:$AU$536,1,dados_brutos!$AH$2:$AH$536,"continuado")/COUNTIFS(dados_brutos!$M$2:$M$536,"*"&amp;"refrigeracao"&amp;"*",dados_brutos!$E$2:$E$536,"GO",dados_brutos!$AU$2:$AU$536,1))</f>
        <v/>
      </c>
    </row>
    <row r="5">
      <c r="A5" t="inlineStr">
        <is>
          <t>refrigeracao</t>
        </is>
      </c>
      <c r="B5" t="inlineStr">
        <is>
          <t>vizinhos</t>
        </is>
      </c>
      <c r="C5" t="n">
        <v>69.5</v>
      </c>
      <c r="D5">
        <f>COUNTIFS(dados_brutos!$M$2:$M$536,"*"&amp;"refrigeracao"&amp;"*",dados_brutos!$E$2:$E$536,"vizinhos",dados_brutos!$AU$2:$AU$536,1)</f>
        <v/>
      </c>
      <c r="E5">
        <f>IF(SUMPRODUCT((ISNUMBER(SEARCH("refrigeracao",dados_brutos!$M$2:$M$536))*(dados_brutos!$E$2:$E$536="vizinhos")*(dados_brutos!$AU$2:$AU$536=1))*ISNUMBER(dados_brutos!$O$2:$O$536))=0,"",SUMIFS(dados_brutos!$O$2:$O$536,dados_brutos!$M$2:$M$536,"*"&amp;"refrigeracao"&amp;"*",dados_brutos!$E$2:$E$536,"vizinhos",dados_brutos!$AU$2:$AU$536,1))</f>
        <v/>
      </c>
      <c r="F5">
        <f>IF(SUMPRODUCT((ISNUMBER(SEARCH("refrigeracao",dados_brutos!$M$2:$M$536))*(dados_brutos!$E$2:$E$536="vizinhos")*(dados_brutos!$AU$2:$AU$536=1))*ISNUMBER(dados_brutos!$O$2:$O$536))=0,"",_xlfn.AGGREGATE(12,6,dados_brutos!$O$2:$O$536/((ISNUMBER(SEARCH("refrigeracao",dados_brutos!$M$2:$M$536))*(dados_brutos!$E$2:$E$536="vizinhos")*(dados_brutos!$AU$2:$AU$536=1))*ISNUMBER(dados_brutos!$O$2:$O$536))))</f>
        <v/>
      </c>
      <c r="G5">
        <f>IF(SUMPRODUCT((ISNUMBER(SEARCH("refrigeracao",dados_brutos!$M$2:$M$536))*(dados_brutos!$E$2:$E$536="vizinhos")*(dados_brutos!$AU$2:$AU$536=1))*ISNUMBER(dados_brutos!$AG$2:$AG$536))=0,"",_xlfn.AGGREGATE(12,6,dados_brutos!$AG$2:$AG$536/((ISNUMBER(SEARCH("refrigeracao",dados_brutos!$M$2:$M$536))*(dados_brutos!$E$2:$E$536="vizinhos")*(dados_brutos!$AU$2:$AU$536=1))*ISNUMBER(dados_brutos!$AG$2:$AG$536))))</f>
        <v/>
      </c>
      <c r="H5">
        <f>SUMPRODUCT((ISNUMBER(SEARCH("refrigeracao",dados_brutos!$M$2:$M$536))*(dados_brutos!$E$2:$E$536="vizinhos")*(dados_brutos!$AU$2:$AU$536=1))*ISNUMBER(dados_brutos!$AG$2:$AG$536))</f>
        <v/>
      </c>
      <c r="I5">
        <f>IF(SUMPRODUCT((ISNUMBER(SEARCH("refrigeracao",dados_brutos!$M$2:$M$536))*(dados_brutos!$E$2:$E$536="vizinhos")*(dados_brutos!$AU$2:$AU$536=1))*ISNUMBER(dados_brutos!$R$2:$R$536))=0,"",_xlfn.AGGREGATE(12,6,dados_brutos!$R$2:$R$536/((ISNUMBER(SEARCH("refrigeracao",dados_brutos!$M$2:$M$536))*(dados_brutos!$E$2:$E$536="vizinhos")*(dados_brutos!$AU$2:$AU$536=1))*ISNUMBER(dados_brutos!$R$2:$R$536))))</f>
        <v/>
      </c>
      <c r="J5">
        <f>IF(SUMPRODUCT((ISNUMBER(SEARCH("refrigeracao",dados_brutos!$M$2:$M$536))*(dados_brutos!$E$2:$E$536="vizinhos")*(dados_brutos!$AU$2:$AU$536=1))*ISNUMBER(dados_brutos!$R$2:$R$536))=0,"",_xlfn.AGGREGATE(17,6,dados_brutos!$R$2:$R$536/((ISNUMBER(SEARCH("refrigeracao",dados_brutos!$M$2:$M$536))*(dados_brutos!$E$2:$E$536="vizinhos")*(dados_brutos!$AU$2:$AU$536=1))*ISNUMBER(dados_brutos!$R$2:$R$536)),1))</f>
        <v/>
      </c>
      <c r="K5">
        <f>IF(SUMPRODUCT((ISNUMBER(SEARCH("refrigeracao",dados_brutos!$M$2:$M$536))*(dados_brutos!$E$2:$E$536="vizinhos")*(dados_brutos!$AU$2:$AU$536=1))*ISNUMBER(dados_brutos!$R$2:$R$536))=0,"",_xlfn.AGGREGATE(17,6,dados_brutos!$R$2:$R$536/((ISNUMBER(SEARCH("refrigeracao",dados_brutos!$M$2:$M$536))*(dados_brutos!$E$2:$E$536="vizinhos")*(dados_brutos!$AU$2:$AU$536=1))*ISNUMBER(dados_brutos!$R$2:$R$536)),3))</f>
        <v/>
      </c>
      <c r="L5">
        <f>SUMPRODUCT((ISNUMBER(SEARCH("refrigeracao",dados_brutos!$M$2:$M$536))*(dados_brutos!$E$2:$E$536="vizinhos")*(dados_brutos!$AU$2:$AU$536=1))*ISNUMBER(dados_brutos!$R$2:$R$536))</f>
        <v/>
      </c>
      <c r="M5">
        <f>IF(COUNTIFS(dados_brutos!$M$2:$M$536,"*"&amp;"refrigeracao"&amp;"*",dados_brutos!$E$2:$E$536,"vizinhos",dados_brutos!$AU$2:$AU$536,1)=0,"",COUNTIFS(dados_brutos!$M$2:$M$536,"*"&amp;"refrigeracao"&amp;"*",dados_brutos!$E$2:$E$536,"vizinhos",dados_brutos!$AU$2:$AU$536,1,dados_brutos!$Z$2:$Z$536,1)/COUNTIFS(dados_brutos!$M$2:$M$536,"*"&amp;"refrigeracao"&amp;"*",dados_brutos!$E$2:$E$536,"vizinhos",dados_brutos!$AU$2:$AU$536,1))</f>
        <v/>
      </c>
      <c r="N5">
        <f>IF(COUNTIFS(dados_brutos!$M$2:$M$536,"*"&amp;"refrigeracao"&amp;"*",dados_brutos!$E$2:$E$536,"vizinhos",dados_brutos!$AU$2:$AU$536,1)=0,"",COUNTIFS(dados_brutos!$M$2:$M$536,"*"&amp;"refrigeracao"&amp;"*",dados_brutos!$E$2:$E$536,"vizinhos",dados_brutos!$AU$2:$AU$536,1,dados_brutos!$AA$2:$AA$536,1)/COUNTIFS(dados_brutos!$M$2:$M$536,"*"&amp;"refrigeracao"&amp;"*",dados_brutos!$E$2:$E$536,"vizinhos",dados_brutos!$AU$2:$AU$536,1))</f>
        <v/>
      </c>
      <c r="O5">
        <f>IF(COUNTIFS(dados_brutos!$M$2:$M$536,"*"&amp;"refrigeracao"&amp;"*",dados_brutos!$E$2:$E$536,"vizinhos",dados_brutos!$AU$2:$AU$536,1)=0,"",COUNTIFS(dados_brutos!$M$2:$M$536,"*"&amp;"refrigeracao"&amp;"*",dados_brutos!$E$2:$E$536,"vizinhos",dados_brutos!$AU$2:$AU$536,1,dados_brutos!$AB$2:$AB$536,1)/COUNTIFS(dados_brutos!$M$2:$M$536,"*"&amp;"refrigeracao"&amp;"*",dados_brutos!$E$2:$E$536,"vizinhos",dados_brutos!$AU$2:$AU$536,1))</f>
        <v/>
      </c>
      <c r="P5">
        <f>IF(COUNTIFS(dados_brutos!$M$2:$M$536,"*"&amp;"refrigeracao"&amp;"*",dados_brutos!$E$2:$E$536,"vizinhos",dados_brutos!$AU$2:$AU$536,1)=0,"",COUNTIFS(dados_brutos!$M$2:$M$536,"*"&amp;"refrigeracao"&amp;"*",dados_brutos!$E$2:$E$536,"vizinhos",dados_brutos!$AU$2:$AU$536,1,dados_brutos!$AC$2:$AC$536,1)/COUNTIFS(dados_brutos!$M$2:$M$536,"*"&amp;"refrigeracao"&amp;"*",dados_brutos!$E$2:$E$536,"vizinhos",dados_brutos!$AU$2:$AU$536,1))</f>
        <v/>
      </c>
      <c r="Q5">
        <f>IF(COUNTIFS(dados_brutos!$M$2:$M$536,"*"&amp;"refrigeracao"&amp;"*",dados_brutos!$E$2:$E$536,"vizinhos",dados_brutos!$AU$2:$AU$536,1)=0,"",COUNTIFS(dados_brutos!$M$2:$M$536,"*"&amp;"refrigeracao"&amp;"*",dados_brutos!$E$2:$E$536,"vizinhos",dados_brutos!$AU$2:$AU$536,1,dados_brutos!$AH$2:$AH$536,"continuado")/COUNTIFS(dados_brutos!$M$2:$M$536,"*"&amp;"refrigeracao"&amp;"*",dados_brutos!$E$2:$E$536,"vizinhos",dados_brutos!$AU$2:$AU$536,1))</f>
        <v/>
      </c>
    </row>
    <row r="6">
      <c r="A6" t="inlineStr">
        <is>
          <t>iluminacao_publica</t>
        </is>
      </c>
      <c r="B6" t="inlineStr">
        <is>
          <t>GO</t>
        </is>
      </c>
      <c r="C6" t="n">
        <v>92</v>
      </c>
      <c r="D6">
        <f>COUNTIFS(dados_brutos!$M$2:$M$536,"*"&amp;"iluminacao_publica"&amp;"*",dados_brutos!$E$2:$E$536,"GO",dados_brutos!$AU$2:$AU$536,1)</f>
        <v/>
      </c>
      <c r="E6">
        <f>IF(SUMPRODUCT((ISNUMBER(SEARCH("iluminacao_publica",dados_brutos!$M$2:$M$536))*(dados_brutos!$E$2:$E$536="GO")*(dados_brutos!$AU$2:$AU$536=1))*ISNUMBER(dados_brutos!$O$2:$O$536))=0,"",SUMIFS(dados_brutos!$O$2:$O$536,dados_brutos!$M$2:$M$536,"*"&amp;"iluminacao_publica"&amp;"*",dados_brutos!$E$2:$E$536,"GO",dados_brutos!$AU$2:$AU$536,1))</f>
        <v/>
      </c>
      <c r="F6">
        <f>IF(SUMPRODUCT((ISNUMBER(SEARCH("iluminacao_publica",dados_brutos!$M$2:$M$536))*(dados_brutos!$E$2:$E$536="GO")*(dados_brutos!$AU$2:$AU$536=1))*ISNUMBER(dados_brutos!$O$2:$O$536))=0,"",_xlfn.AGGREGATE(12,6,dados_brutos!$O$2:$O$536/((ISNUMBER(SEARCH("iluminacao_publica",dados_brutos!$M$2:$M$536))*(dados_brutos!$E$2:$E$536="GO")*(dados_brutos!$AU$2:$AU$536=1))*ISNUMBER(dados_brutos!$O$2:$O$536))))</f>
        <v/>
      </c>
      <c r="G6">
        <f>IF(SUMPRODUCT((ISNUMBER(SEARCH("iluminacao_publica",dados_brutos!$M$2:$M$536))*(dados_brutos!$E$2:$E$536="GO")*(dados_brutos!$AU$2:$AU$536=1))*ISNUMBER(dados_brutos!$AG$2:$AG$536))=0,"",_xlfn.AGGREGATE(12,6,dados_brutos!$AG$2:$AG$536/((ISNUMBER(SEARCH("iluminacao_publica",dados_brutos!$M$2:$M$536))*(dados_brutos!$E$2:$E$536="GO")*(dados_brutos!$AU$2:$AU$536=1))*ISNUMBER(dados_brutos!$AG$2:$AG$536))))</f>
        <v/>
      </c>
      <c r="H6">
        <f>SUMPRODUCT((ISNUMBER(SEARCH("iluminacao_publica",dados_brutos!$M$2:$M$536))*(dados_brutos!$E$2:$E$536="GO")*(dados_brutos!$AU$2:$AU$536=1))*ISNUMBER(dados_brutos!$AG$2:$AG$536))</f>
        <v/>
      </c>
      <c r="I6">
        <f>IF(SUMPRODUCT((ISNUMBER(SEARCH("iluminacao_publica",dados_brutos!$M$2:$M$536))*(dados_brutos!$E$2:$E$536="GO")*(dados_brutos!$AU$2:$AU$536=1))*ISNUMBER(dados_brutos!$R$2:$R$536))=0,"",_xlfn.AGGREGATE(12,6,dados_brutos!$R$2:$R$536/((ISNUMBER(SEARCH("iluminacao_publica",dados_brutos!$M$2:$M$536))*(dados_brutos!$E$2:$E$536="GO")*(dados_brutos!$AU$2:$AU$536=1))*ISNUMBER(dados_brutos!$R$2:$R$536))))</f>
        <v/>
      </c>
      <c r="J6">
        <f>IF(SUMPRODUCT((ISNUMBER(SEARCH("iluminacao_publica",dados_brutos!$M$2:$M$536))*(dados_brutos!$E$2:$E$536="GO")*(dados_brutos!$AU$2:$AU$536=1))*ISNUMBER(dados_brutos!$R$2:$R$536))=0,"",_xlfn.AGGREGATE(17,6,dados_brutos!$R$2:$R$536/((ISNUMBER(SEARCH("iluminacao_publica",dados_brutos!$M$2:$M$536))*(dados_brutos!$E$2:$E$536="GO")*(dados_brutos!$AU$2:$AU$536=1))*ISNUMBER(dados_brutos!$R$2:$R$536)),1))</f>
        <v/>
      </c>
      <c r="K6">
        <f>IF(SUMPRODUCT((ISNUMBER(SEARCH("iluminacao_publica",dados_brutos!$M$2:$M$536))*(dados_brutos!$E$2:$E$536="GO")*(dados_brutos!$AU$2:$AU$536=1))*ISNUMBER(dados_brutos!$R$2:$R$536))=0,"",_xlfn.AGGREGATE(17,6,dados_brutos!$R$2:$R$536/((ISNUMBER(SEARCH("iluminacao_publica",dados_brutos!$M$2:$M$536))*(dados_brutos!$E$2:$E$536="GO")*(dados_brutos!$AU$2:$AU$536=1))*ISNUMBER(dados_brutos!$R$2:$R$536)),3))</f>
        <v/>
      </c>
      <c r="L6">
        <f>SUMPRODUCT((ISNUMBER(SEARCH("iluminacao_publica",dados_brutos!$M$2:$M$536))*(dados_brutos!$E$2:$E$536="GO")*(dados_brutos!$AU$2:$AU$536=1))*ISNUMBER(dados_brutos!$R$2:$R$536))</f>
        <v/>
      </c>
      <c r="M6">
        <f>IF(COUNTIFS(dados_brutos!$M$2:$M$536,"*"&amp;"iluminacao_publica"&amp;"*",dados_brutos!$E$2:$E$536,"GO",dados_brutos!$AU$2:$AU$536,1)=0,"",COUNTIFS(dados_brutos!$M$2:$M$536,"*"&amp;"iluminacao_publica"&amp;"*",dados_brutos!$E$2:$E$536,"GO",dados_brutos!$AU$2:$AU$536,1,dados_brutos!$Z$2:$Z$536,1)/COUNTIFS(dados_brutos!$M$2:$M$536,"*"&amp;"iluminacao_publica"&amp;"*",dados_brutos!$E$2:$E$536,"GO",dados_brutos!$AU$2:$AU$536,1))</f>
        <v/>
      </c>
      <c r="N6">
        <f>IF(COUNTIFS(dados_brutos!$M$2:$M$536,"*"&amp;"iluminacao_publica"&amp;"*",dados_brutos!$E$2:$E$536,"GO",dados_brutos!$AU$2:$AU$536,1)=0,"",COUNTIFS(dados_brutos!$M$2:$M$536,"*"&amp;"iluminacao_publica"&amp;"*",dados_brutos!$E$2:$E$536,"GO",dados_brutos!$AU$2:$AU$536,1,dados_brutos!$AA$2:$AA$536,1)/COUNTIFS(dados_brutos!$M$2:$M$536,"*"&amp;"iluminacao_publica"&amp;"*",dados_brutos!$E$2:$E$536,"GO",dados_brutos!$AU$2:$AU$536,1))</f>
        <v/>
      </c>
      <c r="O6">
        <f>IF(COUNTIFS(dados_brutos!$M$2:$M$536,"*"&amp;"iluminacao_publica"&amp;"*",dados_brutos!$E$2:$E$536,"GO",dados_brutos!$AU$2:$AU$536,1)=0,"",COUNTIFS(dados_brutos!$M$2:$M$536,"*"&amp;"iluminacao_publica"&amp;"*",dados_brutos!$E$2:$E$536,"GO",dados_brutos!$AU$2:$AU$536,1,dados_brutos!$AB$2:$AB$536,1)/COUNTIFS(dados_brutos!$M$2:$M$536,"*"&amp;"iluminacao_publica"&amp;"*",dados_brutos!$E$2:$E$536,"GO",dados_brutos!$AU$2:$AU$536,1))</f>
        <v/>
      </c>
      <c r="P6">
        <f>IF(COUNTIFS(dados_brutos!$M$2:$M$536,"*"&amp;"iluminacao_publica"&amp;"*",dados_brutos!$E$2:$E$536,"GO",dados_brutos!$AU$2:$AU$536,1)=0,"",COUNTIFS(dados_brutos!$M$2:$M$536,"*"&amp;"iluminacao_publica"&amp;"*",dados_brutos!$E$2:$E$536,"GO",dados_brutos!$AU$2:$AU$536,1,dados_brutos!$AC$2:$AC$536,1)/COUNTIFS(dados_brutos!$M$2:$M$536,"*"&amp;"iluminacao_publica"&amp;"*",dados_brutos!$E$2:$E$536,"GO",dados_brutos!$AU$2:$AU$536,1))</f>
        <v/>
      </c>
      <c r="Q6">
        <f>IF(COUNTIFS(dados_brutos!$M$2:$M$536,"*"&amp;"iluminacao_publica"&amp;"*",dados_brutos!$E$2:$E$536,"GO",dados_brutos!$AU$2:$AU$536,1)=0,"",COUNTIFS(dados_brutos!$M$2:$M$536,"*"&amp;"iluminacao_publica"&amp;"*",dados_brutos!$E$2:$E$536,"GO",dados_brutos!$AU$2:$AU$536,1,dados_brutos!$AH$2:$AH$536,"continuado")/COUNTIFS(dados_brutos!$M$2:$M$536,"*"&amp;"iluminacao_publica"&amp;"*",dados_brutos!$E$2:$E$536,"GO",dados_brutos!$AU$2:$AU$536,1))</f>
        <v/>
      </c>
    </row>
    <row r="7">
      <c r="A7" t="inlineStr">
        <is>
          <t>iluminacao_publica</t>
        </is>
      </c>
      <c r="B7" t="inlineStr">
        <is>
          <t>vizinhos</t>
        </is>
      </c>
      <c r="C7" t="n">
        <v>196</v>
      </c>
      <c r="D7">
        <f>COUNTIFS(dados_brutos!$M$2:$M$536,"*"&amp;"iluminacao_publica"&amp;"*",dados_brutos!$E$2:$E$536,"vizinhos",dados_brutos!$AU$2:$AU$536,1)</f>
        <v/>
      </c>
      <c r="E7">
        <f>IF(SUMPRODUCT((ISNUMBER(SEARCH("iluminacao_publica",dados_brutos!$M$2:$M$536))*(dados_brutos!$E$2:$E$536="vizinhos")*(dados_brutos!$AU$2:$AU$536=1))*ISNUMBER(dados_brutos!$O$2:$O$536))=0,"",SUMIFS(dados_brutos!$O$2:$O$536,dados_brutos!$M$2:$M$536,"*"&amp;"iluminacao_publica"&amp;"*",dados_brutos!$E$2:$E$536,"vizinhos",dados_brutos!$AU$2:$AU$536,1))</f>
        <v/>
      </c>
      <c r="F7">
        <f>IF(SUMPRODUCT((ISNUMBER(SEARCH("iluminacao_publica",dados_brutos!$M$2:$M$536))*(dados_brutos!$E$2:$E$536="vizinhos")*(dados_brutos!$AU$2:$AU$536=1))*ISNUMBER(dados_brutos!$O$2:$O$536))=0,"",_xlfn.AGGREGATE(12,6,dados_brutos!$O$2:$O$536/((ISNUMBER(SEARCH("iluminacao_publica",dados_brutos!$M$2:$M$536))*(dados_brutos!$E$2:$E$536="vizinhos")*(dados_brutos!$AU$2:$AU$536=1))*ISNUMBER(dados_brutos!$O$2:$O$536))))</f>
        <v/>
      </c>
      <c r="G7">
        <f>IF(SUMPRODUCT((ISNUMBER(SEARCH("iluminacao_publica",dados_brutos!$M$2:$M$536))*(dados_brutos!$E$2:$E$536="vizinhos")*(dados_brutos!$AU$2:$AU$536=1))*ISNUMBER(dados_brutos!$AG$2:$AG$536))=0,"",_xlfn.AGGREGATE(12,6,dados_brutos!$AG$2:$AG$536/((ISNUMBER(SEARCH("iluminacao_publica",dados_brutos!$M$2:$M$536))*(dados_brutos!$E$2:$E$536="vizinhos")*(dados_brutos!$AU$2:$AU$536=1))*ISNUMBER(dados_brutos!$AG$2:$AG$536))))</f>
        <v/>
      </c>
      <c r="H7">
        <f>SUMPRODUCT((ISNUMBER(SEARCH("iluminacao_publica",dados_brutos!$M$2:$M$536))*(dados_brutos!$E$2:$E$536="vizinhos")*(dados_brutos!$AU$2:$AU$536=1))*ISNUMBER(dados_brutos!$AG$2:$AG$536))</f>
        <v/>
      </c>
      <c r="I7">
        <f>IF(SUMPRODUCT((ISNUMBER(SEARCH("iluminacao_publica",dados_brutos!$M$2:$M$536))*(dados_brutos!$E$2:$E$536="vizinhos")*(dados_brutos!$AU$2:$AU$536=1))*ISNUMBER(dados_brutos!$R$2:$R$536))=0,"",_xlfn.AGGREGATE(12,6,dados_brutos!$R$2:$R$536/((ISNUMBER(SEARCH("iluminacao_publica",dados_brutos!$M$2:$M$536))*(dados_brutos!$E$2:$E$536="vizinhos")*(dados_brutos!$AU$2:$AU$536=1))*ISNUMBER(dados_brutos!$R$2:$R$536))))</f>
        <v/>
      </c>
      <c r="J7">
        <f>IF(SUMPRODUCT((ISNUMBER(SEARCH("iluminacao_publica",dados_brutos!$M$2:$M$536))*(dados_brutos!$E$2:$E$536="vizinhos")*(dados_brutos!$AU$2:$AU$536=1))*ISNUMBER(dados_brutos!$R$2:$R$536))=0,"",_xlfn.AGGREGATE(17,6,dados_brutos!$R$2:$R$536/((ISNUMBER(SEARCH("iluminacao_publica",dados_brutos!$M$2:$M$536))*(dados_brutos!$E$2:$E$536="vizinhos")*(dados_brutos!$AU$2:$AU$536=1))*ISNUMBER(dados_brutos!$R$2:$R$536)),1))</f>
        <v/>
      </c>
      <c r="K7">
        <f>IF(SUMPRODUCT((ISNUMBER(SEARCH("iluminacao_publica",dados_brutos!$M$2:$M$536))*(dados_brutos!$E$2:$E$536="vizinhos")*(dados_brutos!$AU$2:$AU$536=1))*ISNUMBER(dados_brutos!$R$2:$R$536))=0,"",_xlfn.AGGREGATE(17,6,dados_brutos!$R$2:$R$536/((ISNUMBER(SEARCH("iluminacao_publica",dados_brutos!$M$2:$M$536))*(dados_brutos!$E$2:$E$536="vizinhos")*(dados_brutos!$AU$2:$AU$536=1))*ISNUMBER(dados_brutos!$R$2:$R$536)),3))</f>
        <v/>
      </c>
      <c r="L7">
        <f>SUMPRODUCT((ISNUMBER(SEARCH("iluminacao_publica",dados_brutos!$M$2:$M$536))*(dados_brutos!$E$2:$E$536="vizinhos")*(dados_brutos!$AU$2:$AU$536=1))*ISNUMBER(dados_brutos!$R$2:$R$536))</f>
        <v/>
      </c>
      <c r="M7">
        <f>IF(COUNTIFS(dados_brutos!$M$2:$M$536,"*"&amp;"iluminacao_publica"&amp;"*",dados_brutos!$E$2:$E$536,"vizinhos",dados_brutos!$AU$2:$AU$536,1)=0,"",COUNTIFS(dados_brutos!$M$2:$M$536,"*"&amp;"iluminacao_publica"&amp;"*",dados_brutos!$E$2:$E$536,"vizinhos",dados_brutos!$AU$2:$AU$536,1,dados_brutos!$Z$2:$Z$536,1)/COUNTIFS(dados_brutos!$M$2:$M$536,"*"&amp;"iluminacao_publica"&amp;"*",dados_brutos!$E$2:$E$536,"vizinhos",dados_brutos!$AU$2:$AU$536,1))</f>
        <v/>
      </c>
      <c r="N7">
        <f>IF(COUNTIFS(dados_brutos!$M$2:$M$536,"*"&amp;"iluminacao_publica"&amp;"*",dados_brutos!$E$2:$E$536,"vizinhos",dados_brutos!$AU$2:$AU$536,1)=0,"",COUNTIFS(dados_brutos!$M$2:$M$536,"*"&amp;"iluminacao_publica"&amp;"*",dados_brutos!$E$2:$E$536,"vizinhos",dados_brutos!$AU$2:$AU$536,1,dados_brutos!$AA$2:$AA$536,1)/COUNTIFS(dados_brutos!$M$2:$M$536,"*"&amp;"iluminacao_publica"&amp;"*",dados_brutos!$E$2:$E$536,"vizinhos",dados_brutos!$AU$2:$AU$536,1))</f>
        <v/>
      </c>
      <c r="O7">
        <f>IF(COUNTIFS(dados_brutos!$M$2:$M$536,"*"&amp;"iluminacao_publica"&amp;"*",dados_brutos!$E$2:$E$536,"vizinhos",dados_brutos!$AU$2:$AU$536,1)=0,"",COUNTIFS(dados_brutos!$M$2:$M$536,"*"&amp;"iluminacao_publica"&amp;"*",dados_brutos!$E$2:$E$536,"vizinhos",dados_brutos!$AU$2:$AU$536,1,dados_brutos!$AB$2:$AB$536,1)/COUNTIFS(dados_brutos!$M$2:$M$536,"*"&amp;"iluminacao_publica"&amp;"*",dados_brutos!$E$2:$E$536,"vizinhos",dados_brutos!$AU$2:$AU$536,1))</f>
        <v/>
      </c>
      <c r="P7">
        <f>IF(COUNTIFS(dados_brutos!$M$2:$M$536,"*"&amp;"iluminacao_publica"&amp;"*",dados_brutos!$E$2:$E$536,"vizinhos",dados_brutos!$AU$2:$AU$536,1)=0,"",COUNTIFS(dados_brutos!$M$2:$M$536,"*"&amp;"iluminacao_publica"&amp;"*",dados_brutos!$E$2:$E$536,"vizinhos",dados_brutos!$AU$2:$AU$536,1,dados_brutos!$AC$2:$AC$536,1)/COUNTIFS(dados_brutos!$M$2:$M$536,"*"&amp;"iluminacao_publica"&amp;"*",dados_brutos!$E$2:$E$536,"vizinhos",dados_brutos!$AU$2:$AU$536,1))</f>
        <v/>
      </c>
      <c r="Q7">
        <f>IF(COUNTIFS(dados_brutos!$M$2:$M$536,"*"&amp;"iluminacao_publica"&amp;"*",dados_brutos!$E$2:$E$536,"vizinhos",dados_brutos!$AU$2:$AU$536,1)=0,"",COUNTIFS(dados_brutos!$M$2:$M$536,"*"&amp;"iluminacao_publica"&amp;"*",dados_brutos!$E$2:$E$536,"vizinhos",dados_brutos!$AU$2:$AU$536,1,dados_brutos!$AH$2:$AH$536,"continuado")/COUNTIFS(dados_brutos!$M$2:$M$536,"*"&amp;"iluminacao_publica"&amp;"*",dados_brutos!$E$2:$E$536,"vizinhos",dados_brutos!$AU$2:$AU$536,1))</f>
        <v/>
      </c>
    </row>
    <row r="8">
      <c r="A8" t="inlineStr">
        <is>
          <t>eletrica_predial</t>
        </is>
      </c>
      <c r="B8" t="inlineStr">
        <is>
          <t>GO</t>
        </is>
      </c>
      <c r="C8" t="n">
        <v>79.5</v>
      </c>
      <c r="D8">
        <f>COUNTIFS(dados_brutos!$M$2:$M$536,"*"&amp;"eletrica_predial"&amp;"*",dados_brutos!$E$2:$E$536,"GO",dados_brutos!$AU$2:$AU$536,1)</f>
        <v/>
      </c>
      <c r="E8">
        <f>IF(SUMPRODUCT((ISNUMBER(SEARCH("eletrica_predial",dados_brutos!$M$2:$M$536))*(dados_brutos!$E$2:$E$536="GO")*(dados_brutos!$AU$2:$AU$536=1))*ISNUMBER(dados_brutos!$O$2:$O$536))=0,"",SUMIFS(dados_brutos!$O$2:$O$536,dados_brutos!$M$2:$M$536,"*"&amp;"eletrica_predial"&amp;"*",dados_brutos!$E$2:$E$536,"GO",dados_brutos!$AU$2:$AU$536,1))</f>
        <v/>
      </c>
      <c r="F8">
        <f>IF(SUMPRODUCT((ISNUMBER(SEARCH("eletrica_predial",dados_brutos!$M$2:$M$536))*(dados_brutos!$E$2:$E$536="GO")*(dados_brutos!$AU$2:$AU$536=1))*ISNUMBER(dados_brutos!$O$2:$O$536))=0,"",_xlfn.AGGREGATE(12,6,dados_brutos!$O$2:$O$536/((ISNUMBER(SEARCH("eletrica_predial",dados_brutos!$M$2:$M$536))*(dados_brutos!$E$2:$E$536="GO")*(dados_brutos!$AU$2:$AU$536=1))*ISNUMBER(dados_brutos!$O$2:$O$536))))</f>
        <v/>
      </c>
      <c r="G8">
        <f>IF(SUMPRODUCT((ISNUMBER(SEARCH("eletrica_predial",dados_brutos!$M$2:$M$536))*(dados_brutos!$E$2:$E$536="GO")*(dados_brutos!$AU$2:$AU$536=1))*ISNUMBER(dados_brutos!$AG$2:$AG$536))=0,"",_xlfn.AGGREGATE(12,6,dados_brutos!$AG$2:$AG$536/((ISNUMBER(SEARCH("eletrica_predial",dados_brutos!$M$2:$M$536))*(dados_brutos!$E$2:$E$536="GO")*(dados_brutos!$AU$2:$AU$536=1))*ISNUMBER(dados_brutos!$AG$2:$AG$536))))</f>
        <v/>
      </c>
      <c r="H8">
        <f>SUMPRODUCT((ISNUMBER(SEARCH("eletrica_predial",dados_brutos!$M$2:$M$536))*(dados_brutos!$E$2:$E$536="GO")*(dados_brutos!$AU$2:$AU$536=1))*ISNUMBER(dados_brutos!$AG$2:$AG$536))</f>
        <v/>
      </c>
      <c r="I8">
        <f>IF(SUMPRODUCT((ISNUMBER(SEARCH("eletrica_predial",dados_brutos!$M$2:$M$536))*(dados_brutos!$E$2:$E$536="GO")*(dados_brutos!$AU$2:$AU$536=1))*ISNUMBER(dados_brutos!$R$2:$R$536))=0,"",_xlfn.AGGREGATE(12,6,dados_brutos!$R$2:$R$536/((ISNUMBER(SEARCH("eletrica_predial",dados_brutos!$M$2:$M$536))*(dados_brutos!$E$2:$E$536="GO")*(dados_brutos!$AU$2:$AU$536=1))*ISNUMBER(dados_brutos!$R$2:$R$536))))</f>
        <v/>
      </c>
      <c r="J8">
        <f>IF(SUMPRODUCT((ISNUMBER(SEARCH("eletrica_predial",dados_brutos!$M$2:$M$536))*(dados_brutos!$E$2:$E$536="GO")*(dados_brutos!$AU$2:$AU$536=1))*ISNUMBER(dados_brutos!$R$2:$R$536))=0,"",_xlfn.AGGREGATE(17,6,dados_brutos!$R$2:$R$536/((ISNUMBER(SEARCH("eletrica_predial",dados_brutos!$M$2:$M$536))*(dados_brutos!$E$2:$E$536="GO")*(dados_brutos!$AU$2:$AU$536=1))*ISNUMBER(dados_brutos!$R$2:$R$536)),1))</f>
        <v/>
      </c>
      <c r="K8">
        <f>IF(SUMPRODUCT((ISNUMBER(SEARCH("eletrica_predial",dados_brutos!$M$2:$M$536))*(dados_brutos!$E$2:$E$536="GO")*(dados_brutos!$AU$2:$AU$536=1))*ISNUMBER(dados_brutos!$R$2:$R$536))=0,"",_xlfn.AGGREGATE(17,6,dados_brutos!$R$2:$R$536/((ISNUMBER(SEARCH("eletrica_predial",dados_brutos!$M$2:$M$536))*(dados_brutos!$E$2:$E$536="GO")*(dados_brutos!$AU$2:$AU$536=1))*ISNUMBER(dados_brutos!$R$2:$R$536)),3))</f>
        <v/>
      </c>
      <c r="L8">
        <f>SUMPRODUCT((ISNUMBER(SEARCH("eletrica_predial",dados_brutos!$M$2:$M$536))*(dados_brutos!$E$2:$E$536="GO")*(dados_brutos!$AU$2:$AU$536=1))*ISNUMBER(dados_brutos!$R$2:$R$536))</f>
        <v/>
      </c>
      <c r="M8">
        <f>IF(COUNTIFS(dados_brutos!$M$2:$M$536,"*"&amp;"eletrica_predial"&amp;"*",dados_brutos!$E$2:$E$536,"GO",dados_brutos!$AU$2:$AU$536,1)=0,"",COUNTIFS(dados_brutos!$M$2:$M$536,"*"&amp;"eletrica_predial"&amp;"*",dados_brutos!$E$2:$E$536,"GO",dados_brutos!$AU$2:$AU$536,1,dados_brutos!$Z$2:$Z$536,1)/COUNTIFS(dados_brutos!$M$2:$M$536,"*"&amp;"eletrica_predial"&amp;"*",dados_brutos!$E$2:$E$536,"GO",dados_brutos!$AU$2:$AU$536,1))</f>
        <v/>
      </c>
      <c r="N8">
        <f>IF(COUNTIFS(dados_brutos!$M$2:$M$536,"*"&amp;"eletrica_predial"&amp;"*",dados_brutos!$E$2:$E$536,"GO",dados_brutos!$AU$2:$AU$536,1)=0,"",COUNTIFS(dados_brutos!$M$2:$M$536,"*"&amp;"eletrica_predial"&amp;"*",dados_brutos!$E$2:$E$536,"GO",dados_brutos!$AU$2:$AU$536,1,dados_brutos!$AA$2:$AA$536,1)/COUNTIFS(dados_brutos!$M$2:$M$536,"*"&amp;"eletrica_predial"&amp;"*",dados_brutos!$E$2:$E$536,"GO",dados_brutos!$AU$2:$AU$536,1))</f>
        <v/>
      </c>
      <c r="O8">
        <f>IF(COUNTIFS(dados_brutos!$M$2:$M$536,"*"&amp;"eletrica_predial"&amp;"*",dados_brutos!$E$2:$E$536,"GO",dados_brutos!$AU$2:$AU$536,1)=0,"",COUNTIFS(dados_brutos!$M$2:$M$536,"*"&amp;"eletrica_predial"&amp;"*",dados_brutos!$E$2:$E$536,"GO",dados_brutos!$AU$2:$AU$536,1,dados_brutos!$AB$2:$AB$536,1)/COUNTIFS(dados_brutos!$M$2:$M$536,"*"&amp;"eletrica_predial"&amp;"*",dados_brutos!$E$2:$E$536,"GO",dados_brutos!$AU$2:$AU$536,1))</f>
        <v/>
      </c>
      <c r="P8">
        <f>IF(COUNTIFS(dados_brutos!$M$2:$M$536,"*"&amp;"eletrica_predial"&amp;"*",dados_brutos!$E$2:$E$536,"GO",dados_brutos!$AU$2:$AU$536,1)=0,"",COUNTIFS(dados_brutos!$M$2:$M$536,"*"&amp;"eletrica_predial"&amp;"*",dados_brutos!$E$2:$E$536,"GO",dados_brutos!$AU$2:$AU$536,1,dados_brutos!$AC$2:$AC$536,1)/COUNTIFS(dados_brutos!$M$2:$M$536,"*"&amp;"eletrica_predial"&amp;"*",dados_brutos!$E$2:$E$536,"GO",dados_brutos!$AU$2:$AU$536,1))</f>
        <v/>
      </c>
      <c r="Q8">
        <f>IF(COUNTIFS(dados_brutos!$M$2:$M$536,"*"&amp;"eletrica_predial"&amp;"*",dados_brutos!$E$2:$E$536,"GO",dados_brutos!$AU$2:$AU$536,1)=0,"",COUNTIFS(dados_brutos!$M$2:$M$536,"*"&amp;"eletrica_predial"&amp;"*",dados_brutos!$E$2:$E$536,"GO",dados_brutos!$AU$2:$AU$536,1,dados_brutos!$AH$2:$AH$536,"continuado")/COUNTIFS(dados_brutos!$M$2:$M$536,"*"&amp;"eletrica_predial"&amp;"*",dados_brutos!$E$2:$E$536,"GO",dados_brutos!$AU$2:$AU$536,1))</f>
        <v/>
      </c>
    </row>
    <row r="9">
      <c r="A9" t="inlineStr">
        <is>
          <t>eletrica_predial</t>
        </is>
      </c>
      <c r="B9" t="inlineStr">
        <is>
          <t>vizinhos</t>
        </is>
      </c>
      <c r="C9" t="n">
        <v>203</v>
      </c>
      <c r="D9">
        <f>COUNTIFS(dados_brutos!$M$2:$M$536,"*"&amp;"eletrica_predial"&amp;"*",dados_brutos!$E$2:$E$536,"vizinhos",dados_brutos!$AU$2:$AU$536,1)</f>
        <v/>
      </c>
      <c r="E9">
        <f>IF(SUMPRODUCT((ISNUMBER(SEARCH("eletrica_predial",dados_brutos!$M$2:$M$536))*(dados_brutos!$E$2:$E$536="vizinhos")*(dados_brutos!$AU$2:$AU$536=1))*ISNUMBER(dados_brutos!$O$2:$O$536))=0,"",SUMIFS(dados_brutos!$O$2:$O$536,dados_brutos!$M$2:$M$536,"*"&amp;"eletrica_predial"&amp;"*",dados_brutos!$E$2:$E$536,"vizinhos",dados_brutos!$AU$2:$AU$536,1))</f>
        <v/>
      </c>
      <c r="F9">
        <f>IF(SUMPRODUCT((ISNUMBER(SEARCH("eletrica_predial",dados_brutos!$M$2:$M$536))*(dados_brutos!$E$2:$E$536="vizinhos")*(dados_brutos!$AU$2:$AU$536=1))*ISNUMBER(dados_brutos!$O$2:$O$536))=0,"",_xlfn.AGGREGATE(12,6,dados_brutos!$O$2:$O$536/((ISNUMBER(SEARCH("eletrica_predial",dados_brutos!$M$2:$M$536))*(dados_brutos!$E$2:$E$536="vizinhos")*(dados_brutos!$AU$2:$AU$536=1))*ISNUMBER(dados_brutos!$O$2:$O$536))))</f>
        <v/>
      </c>
      <c r="G9">
        <f>IF(SUMPRODUCT((ISNUMBER(SEARCH("eletrica_predial",dados_brutos!$M$2:$M$536))*(dados_brutos!$E$2:$E$536="vizinhos")*(dados_brutos!$AU$2:$AU$536=1))*ISNUMBER(dados_brutos!$AG$2:$AG$536))=0,"",_xlfn.AGGREGATE(12,6,dados_brutos!$AG$2:$AG$536/((ISNUMBER(SEARCH("eletrica_predial",dados_brutos!$M$2:$M$536))*(dados_brutos!$E$2:$E$536="vizinhos")*(dados_brutos!$AU$2:$AU$536=1))*ISNUMBER(dados_brutos!$AG$2:$AG$536))))</f>
        <v/>
      </c>
      <c r="H9">
        <f>SUMPRODUCT((ISNUMBER(SEARCH("eletrica_predial",dados_brutos!$M$2:$M$536))*(dados_brutos!$E$2:$E$536="vizinhos")*(dados_brutos!$AU$2:$AU$536=1))*ISNUMBER(dados_brutos!$AG$2:$AG$536))</f>
        <v/>
      </c>
      <c r="I9">
        <f>IF(SUMPRODUCT((ISNUMBER(SEARCH("eletrica_predial",dados_brutos!$M$2:$M$536))*(dados_brutos!$E$2:$E$536="vizinhos")*(dados_brutos!$AU$2:$AU$536=1))*ISNUMBER(dados_brutos!$R$2:$R$536))=0,"",_xlfn.AGGREGATE(12,6,dados_brutos!$R$2:$R$536/((ISNUMBER(SEARCH("eletrica_predial",dados_brutos!$M$2:$M$536))*(dados_brutos!$E$2:$E$536="vizinhos")*(dados_brutos!$AU$2:$AU$536=1))*ISNUMBER(dados_brutos!$R$2:$R$536))))</f>
        <v/>
      </c>
      <c r="J9">
        <f>IF(SUMPRODUCT((ISNUMBER(SEARCH("eletrica_predial",dados_brutos!$M$2:$M$536))*(dados_brutos!$E$2:$E$536="vizinhos")*(dados_brutos!$AU$2:$AU$536=1))*ISNUMBER(dados_brutos!$R$2:$R$536))=0,"",_xlfn.AGGREGATE(17,6,dados_brutos!$R$2:$R$536/((ISNUMBER(SEARCH("eletrica_predial",dados_brutos!$M$2:$M$536))*(dados_brutos!$E$2:$E$536="vizinhos")*(dados_brutos!$AU$2:$AU$536=1))*ISNUMBER(dados_brutos!$R$2:$R$536)),1))</f>
        <v/>
      </c>
      <c r="K9">
        <f>IF(SUMPRODUCT((ISNUMBER(SEARCH("eletrica_predial",dados_brutos!$M$2:$M$536))*(dados_brutos!$E$2:$E$536="vizinhos")*(dados_brutos!$AU$2:$AU$536=1))*ISNUMBER(dados_brutos!$R$2:$R$536))=0,"",_xlfn.AGGREGATE(17,6,dados_brutos!$R$2:$R$536/((ISNUMBER(SEARCH("eletrica_predial",dados_brutos!$M$2:$M$536))*(dados_brutos!$E$2:$E$536="vizinhos")*(dados_brutos!$AU$2:$AU$536=1))*ISNUMBER(dados_brutos!$R$2:$R$536)),3))</f>
        <v/>
      </c>
      <c r="L9">
        <f>SUMPRODUCT((ISNUMBER(SEARCH("eletrica_predial",dados_brutos!$M$2:$M$536))*(dados_brutos!$E$2:$E$536="vizinhos")*(dados_brutos!$AU$2:$AU$536=1))*ISNUMBER(dados_brutos!$R$2:$R$536))</f>
        <v/>
      </c>
      <c r="M9">
        <f>IF(COUNTIFS(dados_brutos!$M$2:$M$536,"*"&amp;"eletrica_predial"&amp;"*",dados_brutos!$E$2:$E$536,"vizinhos",dados_brutos!$AU$2:$AU$536,1)=0,"",COUNTIFS(dados_brutos!$M$2:$M$536,"*"&amp;"eletrica_predial"&amp;"*",dados_brutos!$E$2:$E$536,"vizinhos",dados_brutos!$AU$2:$AU$536,1,dados_brutos!$Z$2:$Z$536,1)/COUNTIFS(dados_brutos!$M$2:$M$536,"*"&amp;"eletrica_predial"&amp;"*",dados_brutos!$E$2:$E$536,"vizinhos",dados_brutos!$AU$2:$AU$536,1))</f>
        <v/>
      </c>
      <c r="N9">
        <f>IF(COUNTIFS(dados_brutos!$M$2:$M$536,"*"&amp;"eletrica_predial"&amp;"*",dados_brutos!$E$2:$E$536,"vizinhos",dados_brutos!$AU$2:$AU$536,1)=0,"",COUNTIFS(dados_brutos!$M$2:$M$536,"*"&amp;"eletrica_predial"&amp;"*",dados_brutos!$E$2:$E$536,"vizinhos",dados_brutos!$AU$2:$AU$536,1,dados_brutos!$AA$2:$AA$536,1)/COUNTIFS(dados_brutos!$M$2:$M$536,"*"&amp;"eletrica_predial"&amp;"*",dados_brutos!$E$2:$E$536,"vizinhos",dados_brutos!$AU$2:$AU$536,1))</f>
        <v/>
      </c>
      <c r="O9">
        <f>IF(COUNTIFS(dados_brutos!$M$2:$M$536,"*"&amp;"eletrica_predial"&amp;"*",dados_brutos!$E$2:$E$536,"vizinhos",dados_brutos!$AU$2:$AU$536,1)=0,"",COUNTIFS(dados_brutos!$M$2:$M$536,"*"&amp;"eletrica_predial"&amp;"*",dados_brutos!$E$2:$E$536,"vizinhos",dados_brutos!$AU$2:$AU$536,1,dados_brutos!$AB$2:$AB$536,1)/COUNTIFS(dados_brutos!$M$2:$M$536,"*"&amp;"eletrica_predial"&amp;"*",dados_brutos!$E$2:$E$536,"vizinhos",dados_brutos!$AU$2:$AU$536,1))</f>
        <v/>
      </c>
      <c r="P9">
        <f>IF(COUNTIFS(dados_brutos!$M$2:$M$536,"*"&amp;"eletrica_predial"&amp;"*",dados_brutos!$E$2:$E$536,"vizinhos",dados_brutos!$AU$2:$AU$536,1)=0,"",COUNTIFS(dados_brutos!$M$2:$M$536,"*"&amp;"eletrica_predial"&amp;"*",dados_brutos!$E$2:$E$536,"vizinhos",dados_brutos!$AU$2:$AU$536,1,dados_brutos!$AC$2:$AC$536,1)/COUNTIFS(dados_brutos!$M$2:$M$536,"*"&amp;"eletrica_predial"&amp;"*",dados_brutos!$E$2:$E$536,"vizinhos",dados_brutos!$AU$2:$AU$536,1))</f>
        <v/>
      </c>
      <c r="Q9">
        <f>IF(COUNTIFS(dados_brutos!$M$2:$M$536,"*"&amp;"eletrica_predial"&amp;"*",dados_brutos!$E$2:$E$536,"vizinhos",dados_brutos!$AU$2:$AU$536,1)=0,"",COUNTIFS(dados_brutos!$M$2:$M$536,"*"&amp;"eletrica_predial"&amp;"*",dados_brutos!$E$2:$E$536,"vizinhos",dados_brutos!$AU$2:$AU$536,1,dados_brutos!$AH$2:$AH$536,"continuado")/COUNTIFS(dados_brutos!$M$2:$M$536,"*"&amp;"eletrica_predial"&amp;"*",dados_brutos!$E$2:$E$536,"vizinhos",dados_brutos!$AU$2:$AU$536,1))</f>
        <v/>
      </c>
    </row>
    <row r="10">
      <c r="A10" t="inlineStr">
        <is>
          <t>munck</t>
        </is>
      </c>
      <c r="B10" t="inlineStr">
        <is>
          <t>GO</t>
        </is>
      </c>
      <c r="C10" t="n">
        <v>8</v>
      </c>
      <c r="D10">
        <f>COUNTIFS(dados_brutos!$M$2:$M$536,"*"&amp;"munck"&amp;"*",dados_brutos!$E$2:$E$536,"GO",dados_brutos!$AU$2:$AU$536,1)</f>
        <v/>
      </c>
      <c r="E10">
        <f>IF(SUMPRODUCT((ISNUMBER(SEARCH("munck",dados_brutos!$M$2:$M$536))*(dados_brutos!$E$2:$E$536="GO")*(dados_brutos!$AU$2:$AU$536=1))*ISNUMBER(dados_brutos!$O$2:$O$536))=0,"",SUMIFS(dados_brutos!$O$2:$O$536,dados_brutos!$M$2:$M$536,"*"&amp;"munck"&amp;"*",dados_brutos!$E$2:$E$536,"GO",dados_brutos!$AU$2:$AU$536,1))</f>
        <v/>
      </c>
      <c r="F10">
        <f>IF(SUMPRODUCT((ISNUMBER(SEARCH("munck",dados_brutos!$M$2:$M$536))*(dados_brutos!$E$2:$E$536="GO")*(dados_brutos!$AU$2:$AU$536=1))*ISNUMBER(dados_brutos!$O$2:$O$536))=0,"",_xlfn.AGGREGATE(12,6,dados_brutos!$O$2:$O$536/((ISNUMBER(SEARCH("munck",dados_brutos!$M$2:$M$536))*(dados_brutos!$E$2:$E$536="GO")*(dados_brutos!$AU$2:$AU$536=1))*ISNUMBER(dados_brutos!$O$2:$O$536))))</f>
        <v/>
      </c>
      <c r="G10">
        <f>IF(SUMPRODUCT((ISNUMBER(SEARCH("munck",dados_brutos!$M$2:$M$536))*(dados_brutos!$E$2:$E$536="GO")*(dados_brutos!$AU$2:$AU$536=1))*ISNUMBER(dados_brutos!$AG$2:$AG$536))=0,"",_xlfn.AGGREGATE(12,6,dados_brutos!$AG$2:$AG$536/((ISNUMBER(SEARCH("munck",dados_brutos!$M$2:$M$536))*(dados_brutos!$E$2:$E$536="GO")*(dados_brutos!$AU$2:$AU$536=1))*ISNUMBER(dados_brutos!$AG$2:$AG$536))))</f>
        <v/>
      </c>
      <c r="H10">
        <f>SUMPRODUCT((ISNUMBER(SEARCH("munck",dados_brutos!$M$2:$M$536))*(dados_brutos!$E$2:$E$536="GO")*(dados_brutos!$AU$2:$AU$536=1))*ISNUMBER(dados_brutos!$AG$2:$AG$536))</f>
        <v/>
      </c>
      <c r="I10">
        <f>IF(SUMPRODUCT((ISNUMBER(SEARCH("munck",dados_brutos!$M$2:$M$536))*(dados_brutos!$E$2:$E$536="GO")*(dados_brutos!$AU$2:$AU$536=1))*ISNUMBER(dados_brutos!$R$2:$R$536))=0,"",_xlfn.AGGREGATE(12,6,dados_brutos!$R$2:$R$536/((ISNUMBER(SEARCH("munck",dados_brutos!$M$2:$M$536))*(dados_brutos!$E$2:$E$536="GO")*(dados_brutos!$AU$2:$AU$536=1))*ISNUMBER(dados_brutos!$R$2:$R$536))))</f>
        <v/>
      </c>
      <c r="J10">
        <f>IF(SUMPRODUCT((ISNUMBER(SEARCH("munck",dados_brutos!$M$2:$M$536))*(dados_brutos!$E$2:$E$536="GO")*(dados_brutos!$AU$2:$AU$536=1))*ISNUMBER(dados_brutos!$R$2:$R$536))=0,"",_xlfn.AGGREGATE(17,6,dados_brutos!$R$2:$R$536/((ISNUMBER(SEARCH("munck",dados_brutos!$M$2:$M$536))*(dados_brutos!$E$2:$E$536="GO")*(dados_brutos!$AU$2:$AU$536=1))*ISNUMBER(dados_brutos!$R$2:$R$536)),1))</f>
        <v/>
      </c>
      <c r="K10">
        <f>IF(SUMPRODUCT((ISNUMBER(SEARCH("munck",dados_brutos!$M$2:$M$536))*(dados_brutos!$E$2:$E$536="GO")*(dados_brutos!$AU$2:$AU$536=1))*ISNUMBER(dados_brutos!$R$2:$R$536))=0,"",_xlfn.AGGREGATE(17,6,dados_brutos!$R$2:$R$536/((ISNUMBER(SEARCH("munck",dados_brutos!$M$2:$M$536))*(dados_brutos!$E$2:$E$536="GO")*(dados_brutos!$AU$2:$AU$536=1))*ISNUMBER(dados_brutos!$R$2:$R$536)),3))</f>
        <v/>
      </c>
      <c r="L10">
        <f>SUMPRODUCT((ISNUMBER(SEARCH("munck",dados_brutos!$M$2:$M$536))*(dados_brutos!$E$2:$E$536="GO")*(dados_brutos!$AU$2:$AU$536=1))*ISNUMBER(dados_brutos!$R$2:$R$536))</f>
        <v/>
      </c>
      <c r="M10">
        <f>IF(COUNTIFS(dados_brutos!$M$2:$M$536,"*"&amp;"munck"&amp;"*",dados_brutos!$E$2:$E$536,"GO",dados_brutos!$AU$2:$AU$536,1)=0,"",COUNTIFS(dados_brutos!$M$2:$M$536,"*"&amp;"munck"&amp;"*",dados_brutos!$E$2:$E$536,"GO",dados_brutos!$AU$2:$AU$536,1,dados_brutos!$Z$2:$Z$536,1)/COUNTIFS(dados_brutos!$M$2:$M$536,"*"&amp;"munck"&amp;"*",dados_brutos!$E$2:$E$536,"GO",dados_brutos!$AU$2:$AU$536,1))</f>
        <v/>
      </c>
      <c r="N10">
        <f>IF(COUNTIFS(dados_brutos!$M$2:$M$536,"*"&amp;"munck"&amp;"*",dados_brutos!$E$2:$E$536,"GO",dados_brutos!$AU$2:$AU$536,1)=0,"",COUNTIFS(dados_brutos!$M$2:$M$536,"*"&amp;"munck"&amp;"*",dados_brutos!$E$2:$E$536,"GO",dados_brutos!$AU$2:$AU$536,1,dados_brutos!$AA$2:$AA$536,1)/COUNTIFS(dados_brutos!$M$2:$M$536,"*"&amp;"munck"&amp;"*",dados_brutos!$E$2:$E$536,"GO",dados_brutos!$AU$2:$AU$536,1))</f>
        <v/>
      </c>
      <c r="O10">
        <f>IF(COUNTIFS(dados_brutos!$M$2:$M$536,"*"&amp;"munck"&amp;"*",dados_brutos!$E$2:$E$536,"GO",dados_brutos!$AU$2:$AU$536,1)=0,"",COUNTIFS(dados_brutos!$M$2:$M$536,"*"&amp;"munck"&amp;"*",dados_brutos!$E$2:$E$536,"GO",dados_brutos!$AU$2:$AU$536,1,dados_brutos!$AB$2:$AB$536,1)/COUNTIFS(dados_brutos!$M$2:$M$536,"*"&amp;"munck"&amp;"*",dados_brutos!$E$2:$E$536,"GO",dados_brutos!$AU$2:$AU$536,1))</f>
        <v/>
      </c>
      <c r="P10">
        <f>IF(COUNTIFS(dados_brutos!$M$2:$M$536,"*"&amp;"munck"&amp;"*",dados_brutos!$E$2:$E$536,"GO",dados_brutos!$AU$2:$AU$536,1)=0,"",COUNTIFS(dados_brutos!$M$2:$M$536,"*"&amp;"munck"&amp;"*",dados_brutos!$E$2:$E$536,"GO",dados_brutos!$AU$2:$AU$536,1,dados_brutos!$AC$2:$AC$536,1)/COUNTIFS(dados_brutos!$M$2:$M$536,"*"&amp;"munck"&amp;"*",dados_brutos!$E$2:$E$536,"GO",dados_brutos!$AU$2:$AU$536,1))</f>
        <v/>
      </c>
      <c r="Q10">
        <f>IF(COUNTIFS(dados_brutos!$M$2:$M$536,"*"&amp;"munck"&amp;"*",dados_brutos!$E$2:$E$536,"GO",dados_brutos!$AU$2:$AU$536,1)=0,"",COUNTIFS(dados_brutos!$M$2:$M$536,"*"&amp;"munck"&amp;"*",dados_brutos!$E$2:$E$536,"GO",dados_brutos!$AU$2:$AU$536,1,dados_brutos!$AH$2:$AH$536,"continuado")/COUNTIFS(dados_brutos!$M$2:$M$536,"*"&amp;"munck"&amp;"*",dados_brutos!$E$2:$E$536,"GO",dados_brutos!$AU$2:$AU$536,1))</f>
        <v/>
      </c>
    </row>
    <row r="11">
      <c r="A11" t="inlineStr">
        <is>
          <t>munck</t>
        </is>
      </c>
      <c r="B11" t="inlineStr">
        <is>
          <t>vizinhos</t>
        </is>
      </c>
      <c r="C11" t="n">
        <v>38.5</v>
      </c>
      <c r="D11">
        <f>COUNTIFS(dados_brutos!$M$2:$M$536,"*"&amp;"munck"&amp;"*",dados_brutos!$E$2:$E$536,"vizinhos",dados_brutos!$AU$2:$AU$536,1)</f>
        <v/>
      </c>
      <c r="E11">
        <f>IF(SUMPRODUCT((ISNUMBER(SEARCH("munck",dados_brutos!$M$2:$M$536))*(dados_brutos!$E$2:$E$536="vizinhos")*(dados_brutos!$AU$2:$AU$536=1))*ISNUMBER(dados_brutos!$O$2:$O$536))=0,"",SUMIFS(dados_brutos!$O$2:$O$536,dados_brutos!$M$2:$M$536,"*"&amp;"munck"&amp;"*",dados_brutos!$E$2:$E$536,"vizinhos",dados_brutos!$AU$2:$AU$536,1))</f>
        <v/>
      </c>
      <c r="F11">
        <f>IF(SUMPRODUCT((ISNUMBER(SEARCH("munck",dados_brutos!$M$2:$M$536))*(dados_brutos!$E$2:$E$536="vizinhos")*(dados_brutos!$AU$2:$AU$536=1))*ISNUMBER(dados_brutos!$O$2:$O$536))=0,"",_xlfn.AGGREGATE(12,6,dados_brutos!$O$2:$O$536/((ISNUMBER(SEARCH("munck",dados_brutos!$M$2:$M$536))*(dados_brutos!$E$2:$E$536="vizinhos")*(dados_brutos!$AU$2:$AU$536=1))*ISNUMBER(dados_brutos!$O$2:$O$536))))</f>
        <v/>
      </c>
      <c r="G11">
        <f>IF(SUMPRODUCT((ISNUMBER(SEARCH("munck",dados_brutos!$M$2:$M$536))*(dados_brutos!$E$2:$E$536="vizinhos")*(dados_brutos!$AU$2:$AU$536=1))*ISNUMBER(dados_brutos!$AG$2:$AG$536))=0,"",_xlfn.AGGREGATE(12,6,dados_brutos!$AG$2:$AG$536/((ISNUMBER(SEARCH("munck",dados_brutos!$M$2:$M$536))*(dados_brutos!$E$2:$E$536="vizinhos")*(dados_brutos!$AU$2:$AU$536=1))*ISNUMBER(dados_brutos!$AG$2:$AG$536))))</f>
        <v/>
      </c>
      <c r="H11">
        <f>SUMPRODUCT((ISNUMBER(SEARCH("munck",dados_brutos!$M$2:$M$536))*(dados_brutos!$E$2:$E$536="vizinhos")*(dados_brutos!$AU$2:$AU$536=1))*ISNUMBER(dados_brutos!$AG$2:$AG$536))</f>
        <v/>
      </c>
      <c r="I11">
        <f>IF(SUMPRODUCT((ISNUMBER(SEARCH("munck",dados_brutos!$M$2:$M$536))*(dados_brutos!$E$2:$E$536="vizinhos")*(dados_brutos!$AU$2:$AU$536=1))*ISNUMBER(dados_brutos!$R$2:$R$536))=0,"",_xlfn.AGGREGATE(12,6,dados_brutos!$R$2:$R$536/((ISNUMBER(SEARCH("munck",dados_brutos!$M$2:$M$536))*(dados_brutos!$E$2:$E$536="vizinhos")*(dados_brutos!$AU$2:$AU$536=1))*ISNUMBER(dados_brutos!$R$2:$R$536))))</f>
        <v/>
      </c>
      <c r="J11">
        <f>IF(SUMPRODUCT((ISNUMBER(SEARCH("munck",dados_brutos!$M$2:$M$536))*(dados_brutos!$E$2:$E$536="vizinhos")*(dados_brutos!$AU$2:$AU$536=1))*ISNUMBER(dados_brutos!$R$2:$R$536))=0,"",_xlfn.AGGREGATE(17,6,dados_brutos!$R$2:$R$536/((ISNUMBER(SEARCH("munck",dados_brutos!$M$2:$M$536))*(dados_brutos!$E$2:$E$536="vizinhos")*(dados_brutos!$AU$2:$AU$536=1))*ISNUMBER(dados_brutos!$R$2:$R$536)),1))</f>
        <v/>
      </c>
      <c r="K11">
        <f>IF(SUMPRODUCT((ISNUMBER(SEARCH("munck",dados_brutos!$M$2:$M$536))*(dados_brutos!$E$2:$E$536="vizinhos")*(dados_brutos!$AU$2:$AU$536=1))*ISNUMBER(dados_brutos!$R$2:$R$536))=0,"",_xlfn.AGGREGATE(17,6,dados_brutos!$R$2:$R$536/((ISNUMBER(SEARCH("munck",dados_brutos!$M$2:$M$536))*(dados_brutos!$E$2:$E$536="vizinhos")*(dados_brutos!$AU$2:$AU$536=1))*ISNUMBER(dados_brutos!$R$2:$R$536)),3))</f>
        <v/>
      </c>
      <c r="L11">
        <f>SUMPRODUCT((ISNUMBER(SEARCH("munck",dados_brutos!$M$2:$M$536))*(dados_brutos!$E$2:$E$536="vizinhos")*(dados_brutos!$AU$2:$AU$536=1))*ISNUMBER(dados_brutos!$R$2:$R$536))</f>
        <v/>
      </c>
      <c r="M11">
        <f>IF(COUNTIFS(dados_brutos!$M$2:$M$536,"*"&amp;"munck"&amp;"*",dados_brutos!$E$2:$E$536,"vizinhos",dados_brutos!$AU$2:$AU$536,1)=0,"",COUNTIFS(dados_brutos!$M$2:$M$536,"*"&amp;"munck"&amp;"*",dados_brutos!$E$2:$E$536,"vizinhos",dados_brutos!$AU$2:$AU$536,1,dados_brutos!$Z$2:$Z$536,1)/COUNTIFS(dados_brutos!$M$2:$M$536,"*"&amp;"munck"&amp;"*",dados_brutos!$E$2:$E$536,"vizinhos",dados_brutos!$AU$2:$AU$536,1))</f>
        <v/>
      </c>
      <c r="N11">
        <f>IF(COUNTIFS(dados_brutos!$M$2:$M$536,"*"&amp;"munck"&amp;"*",dados_brutos!$E$2:$E$536,"vizinhos",dados_brutos!$AU$2:$AU$536,1)=0,"",COUNTIFS(dados_brutos!$M$2:$M$536,"*"&amp;"munck"&amp;"*",dados_brutos!$E$2:$E$536,"vizinhos",dados_brutos!$AU$2:$AU$536,1,dados_brutos!$AA$2:$AA$536,1)/COUNTIFS(dados_brutos!$M$2:$M$536,"*"&amp;"munck"&amp;"*",dados_brutos!$E$2:$E$536,"vizinhos",dados_brutos!$AU$2:$AU$536,1))</f>
        <v/>
      </c>
      <c r="O11">
        <f>IF(COUNTIFS(dados_brutos!$M$2:$M$536,"*"&amp;"munck"&amp;"*",dados_brutos!$E$2:$E$536,"vizinhos",dados_brutos!$AU$2:$AU$536,1)=0,"",COUNTIFS(dados_brutos!$M$2:$M$536,"*"&amp;"munck"&amp;"*",dados_brutos!$E$2:$E$536,"vizinhos",dados_brutos!$AU$2:$AU$536,1,dados_brutos!$AB$2:$AB$536,1)/COUNTIFS(dados_brutos!$M$2:$M$536,"*"&amp;"munck"&amp;"*",dados_brutos!$E$2:$E$536,"vizinhos",dados_brutos!$AU$2:$AU$536,1))</f>
        <v/>
      </c>
      <c r="P11">
        <f>IF(COUNTIFS(dados_brutos!$M$2:$M$536,"*"&amp;"munck"&amp;"*",dados_brutos!$E$2:$E$536,"vizinhos",dados_brutos!$AU$2:$AU$536,1)=0,"",COUNTIFS(dados_brutos!$M$2:$M$536,"*"&amp;"munck"&amp;"*",dados_brutos!$E$2:$E$536,"vizinhos",dados_brutos!$AU$2:$AU$536,1,dados_brutos!$AC$2:$AC$536,1)/COUNTIFS(dados_brutos!$M$2:$M$536,"*"&amp;"munck"&amp;"*",dados_brutos!$E$2:$E$536,"vizinhos",dados_brutos!$AU$2:$AU$536,1))</f>
        <v/>
      </c>
      <c r="Q11">
        <f>IF(COUNTIFS(dados_brutos!$M$2:$M$536,"*"&amp;"munck"&amp;"*",dados_brutos!$E$2:$E$536,"vizinhos",dados_brutos!$AU$2:$AU$536,1)=0,"",COUNTIFS(dados_brutos!$M$2:$M$536,"*"&amp;"munck"&amp;"*",dados_brutos!$E$2:$E$536,"vizinhos",dados_brutos!$AU$2:$AU$536,1,dados_brutos!$AH$2:$AH$536,"continuado")/COUNTIFS(dados_brutos!$M$2:$M$536,"*"&amp;"munck"&amp;"*",dados_brutos!$E$2:$E$536,"vizinhos",dados_brutos!$AU$2:$AU$536,1))</f>
        <v/>
      </c>
    </row>
    <row r="12">
      <c r="A12" t="inlineStr">
        <is>
          <t>manutencao_predial</t>
        </is>
      </c>
      <c r="B12" t="inlineStr">
        <is>
          <t>GO</t>
        </is>
      </c>
      <c r="C12" t="n">
        <v>24</v>
      </c>
      <c r="D12">
        <f>COUNTIFS(dados_brutos!$M$2:$M$536,"*"&amp;"manutencao_predial"&amp;"*",dados_brutos!$E$2:$E$536,"GO",dados_brutos!$AU$2:$AU$536,1)</f>
        <v/>
      </c>
      <c r="E12">
        <f>IF(SUMPRODUCT((ISNUMBER(SEARCH("manutencao_predial",dados_brutos!$M$2:$M$536))*(dados_brutos!$E$2:$E$536="GO")*(dados_brutos!$AU$2:$AU$536=1))*ISNUMBER(dados_brutos!$O$2:$O$536))=0,"",SUMIFS(dados_brutos!$O$2:$O$536,dados_brutos!$M$2:$M$536,"*"&amp;"manutencao_predial"&amp;"*",dados_brutos!$E$2:$E$536,"GO",dados_brutos!$AU$2:$AU$536,1))</f>
        <v/>
      </c>
      <c r="F12">
        <f>IF(SUMPRODUCT((ISNUMBER(SEARCH("manutencao_predial",dados_brutos!$M$2:$M$536))*(dados_brutos!$E$2:$E$536="GO")*(dados_brutos!$AU$2:$AU$536=1))*ISNUMBER(dados_brutos!$O$2:$O$536))=0,"",_xlfn.AGGREGATE(12,6,dados_brutos!$O$2:$O$536/((ISNUMBER(SEARCH("manutencao_predial",dados_brutos!$M$2:$M$536))*(dados_brutos!$E$2:$E$536="GO")*(dados_brutos!$AU$2:$AU$536=1))*ISNUMBER(dados_brutos!$O$2:$O$536))))</f>
        <v/>
      </c>
      <c r="G12">
        <f>IF(SUMPRODUCT((ISNUMBER(SEARCH("manutencao_predial",dados_brutos!$M$2:$M$536))*(dados_brutos!$E$2:$E$536="GO")*(dados_brutos!$AU$2:$AU$536=1))*ISNUMBER(dados_brutos!$AG$2:$AG$536))=0,"",_xlfn.AGGREGATE(12,6,dados_brutos!$AG$2:$AG$536/((ISNUMBER(SEARCH("manutencao_predial",dados_brutos!$M$2:$M$536))*(dados_brutos!$E$2:$E$536="GO")*(dados_brutos!$AU$2:$AU$536=1))*ISNUMBER(dados_brutos!$AG$2:$AG$536))))</f>
        <v/>
      </c>
      <c r="H12">
        <f>SUMPRODUCT((ISNUMBER(SEARCH("manutencao_predial",dados_brutos!$M$2:$M$536))*(dados_brutos!$E$2:$E$536="GO")*(dados_brutos!$AU$2:$AU$536=1))*ISNUMBER(dados_brutos!$AG$2:$AG$536))</f>
        <v/>
      </c>
      <c r="I12">
        <f>IF(SUMPRODUCT((ISNUMBER(SEARCH("manutencao_predial",dados_brutos!$M$2:$M$536))*(dados_brutos!$E$2:$E$536="GO")*(dados_brutos!$AU$2:$AU$536=1))*ISNUMBER(dados_brutos!$R$2:$R$536))=0,"",_xlfn.AGGREGATE(12,6,dados_brutos!$R$2:$R$536/((ISNUMBER(SEARCH("manutencao_predial",dados_brutos!$M$2:$M$536))*(dados_brutos!$E$2:$E$536="GO")*(dados_brutos!$AU$2:$AU$536=1))*ISNUMBER(dados_brutos!$R$2:$R$536))))</f>
        <v/>
      </c>
      <c r="J12">
        <f>IF(SUMPRODUCT((ISNUMBER(SEARCH("manutencao_predial",dados_brutos!$M$2:$M$536))*(dados_brutos!$E$2:$E$536="GO")*(dados_brutos!$AU$2:$AU$536=1))*ISNUMBER(dados_brutos!$R$2:$R$536))=0,"",_xlfn.AGGREGATE(17,6,dados_brutos!$R$2:$R$536/((ISNUMBER(SEARCH("manutencao_predial",dados_brutos!$M$2:$M$536))*(dados_brutos!$E$2:$E$536="GO")*(dados_brutos!$AU$2:$AU$536=1))*ISNUMBER(dados_brutos!$R$2:$R$536)),1))</f>
        <v/>
      </c>
      <c r="K12">
        <f>IF(SUMPRODUCT((ISNUMBER(SEARCH("manutencao_predial",dados_brutos!$M$2:$M$536))*(dados_brutos!$E$2:$E$536="GO")*(dados_brutos!$AU$2:$AU$536=1))*ISNUMBER(dados_brutos!$R$2:$R$536))=0,"",_xlfn.AGGREGATE(17,6,dados_brutos!$R$2:$R$536/((ISNUMBER(SEARCH("manutencao_predial",dados_brutos!$M$2:$M$536))*(dados_brutos!$E$2:$E$536="GO")*(dados_brutos!$AU$2:$AU$536=1))*ISNUMBER(dados_brutos!$R$2:$R$536)),3))</f>
        <v/>
      </c>
      <c r="L12">
        <f>SUMPRODUCT((ISNUMBER(SEARCH("manutencao_predial",dados_brutos!$M$2:$M$536))*(dados_brutos!$E$2:$E$536="GO")*(dados_brutos!$AU$2:$AU$536=1))*ISNUMBER(dados_brutos!$R$2:$R$536))</f>
        <v/>
      </c>
      <c r="M12">
        <f>IF(COUNTIFS(dados_brutos!$M$2:$M$536,"*"&amp;"manutencao_predial"&amp;"*",dados_brutos!$E$2:$E$536,"GO",dados_brutos!$AU$2:$AU$536,1)=0,"",COUNTIFS(dados_brutos!$M$2:$M$536,"*"&amp;"manutencao_predial"&amp;"*",dados_brutos!$E$2:$E$536,"GO",dados_brutos!$AU$2:$AU$536,1,dados_brutos!$Z$2:$Z$536,1)/COUNTIFS(dados_brutos!$M$2:$M$536,"*"&amp;"manutencao_predial"&amp;"*",dados_brutos!$E$2:$E$536,"GO",dados_brutos!$AU$2:$AU$536,1))</f>
        <v/>
      </c>
      <c r="N12">
        <f>IF(COUNTIFS(dados_brutos!$M$2:$M$536,"*"&amp;"manutencao_predial"&amp;"*",dados_brutos!$E$2:$E$536,"GO",dados_brutos!$AU$2:$AU$536,1)=0,"",COUNTIFS(dados_brutos!$M$2:$M$536,"*"&amp;"manutencao_predial"&amp;"*",dados_brutos!$E$2:$E$536,"GO",dados_brutos!$AU$2:$AU$536,1,dados_brutos!$AA$2:$AA$536,1)/COUNTIFS(dados_brutos!$M$2:$M$536,"*"&amp;"manutencao_predial"&amp;"*",dados_brutos!$E$2:$E$536,"GO",dados_brutos!$AU$2:$AU$536,1))</f>
        <v/>
      </c>
      <c r="O12">
        <f>IF(COUNTIFS(dados_brutos!$M$2:$M$536,"*"&amp;"manutencao_predial"&amp;"*",dados_brutos!$E$2:$E$536,"GO",dados_brutos!$AU$2:$AU$536,1)=0,"",COUNTIFS(dados_brutos!$M$2:$M$536,"*"&amp;"manutencao_predial"&amp;"*",dados_brutos!$E$2:$E$536,"GO",dados_brutos!$AU$2:$AU$536,1,dados_brutos!$AB$2:$AB$536,1)/COUNTIFS(dados_brutos!$M$2:$M$536,"*"&amp;"manutencao_predial"&amp;"*",dados_brutos!$E$2:$E$536,"GO",dados_brutos!$AU$2:$AU$536,1))</f>
        <v/>
      </c>
      <c r="P12">
        <f>IF(COUNTIFS(dados_brutos!$M$2:$M$536,"*"&amp;"manutencao_predial"&amp;"*",dados_brutos!$E$2:$E$536,"GO",dados_brutos!$AU$2:$AU$536,1)=0,"",COUNTIFS(dados_brutos!$M$2:$M$536,"*"&amp;"manutencao_predial"&amp;"*",dados_brutos!$E$2:$E$536,"GO",dados_brutos!$AU$2:$AU$536,1,dados_brutos!$AC$2:$AC$536,1)/COUNTIFS(dados_brutos!$M$2:$M$536,"*"&amp;"manutencao_predial"&amp;"*",dados_brutos!$E$2:$E$536,"GO",dados_brutos!$AU$2:$AU$536,1))</f>
        <v/>
      </c>
      <c r="Q12">
        <f>IF(COUNTIFS(dados_brutos!$M$2:$M$536,"*"&amp;"manutencao_predial"&amp;"*",dados_brutos!$E$2:$E$536,"GO",dados_brutos!$AU$2:$AU$536,1)=0,"",COUNTIFS(dados_brutos!$M$2:$M$536,"*"&amp;"manutencao_predial"&amp;"*",dados_brutos!$E$2:$E$536,"GO",dados_brutos!$AU$2:$AU$536,1,dados_brutos!$AH$2:$AH$536,"continuado")/COUNTIFS(dados_brutos!$M$2:$M$536,"*"&amp;"manutencao_predial"&amp;"*",dados_brutos!$E$2:$E$536,"GO",dados_brutos!$AU$2:$AU$536,1))</f>
        <v/>
      </c>
    </row>
    <row r="13">
      <c r="A13" t="inlineStr">
        <is>
          <t>manutencao_predial</t>
        </is>
      </c>
      <c r="B13" t="inlineStr">
        <is>
          <t>vizinhos</t>
        </is>
      </c>
      <c r="C13" t="n">
        <v>111</v>
      </c>
      <c r="D13">
        <f>COUNTIFS(dados_brutos!$M$2:$M$536,"*"&amp;"manutencao_predial"&amp;"*",dados_brutos!$E$2:$E$536,"vizinhos",dados_brutos!$AU$2:$AU$536,1)</f>
        <v/>
      </c>
      <c r="E13">
        <f>IF(SUMPRODUCT((ISNUMBER(SEARCH("manutencao_predial",dados_brutos!$M$2:$M$536))*(dados_brutos!$E$2:$E$536="vizinhos")*(dados_brutos!$AU$2:$AU$536=1))*ISNUMBER(dados_brutos!$O$2:$O$536))=0,"",SUMIFS(dados_brutos!$O$2:$O$536,dados_brutos!$M$2:$M$536,"*"&amp;"manutencao_predial"&amp;"*",dados_brutos!$E$2:$E$536,"vizinhos",dados_brutos!$AU$2:$AU$536,1))</f>
        <v/>
      </c>
      <c r="F13">
        <f>IF(SUMPRODUCT((ISNUMBER(SEARCH("manutencao_predial",dados_brutos!$M$2:$M$536))*(dados_brutos!$E$2:$E$536="vizinhos")*(dados_brutos!$AU$2:$AU$536=1))*ISNUMBER(dados_brutos!$O$2:$O$536))=0,"",_xlfn.AGGREGATE(12,6,dados_brutos!$O$2:$O$536/((ISNUMBER(SEARCH("manutencao_predial",dados_brutos!$M$2:$M$536))*(dados_brutos!$E$2:$E$536="vizinhos")*(dados_brutos!$AU$2:$AU$536=1))*ISNUMBER(dados_brutos!$O$2:$O$536))))</f>
        <v/>
      </c>
      <c r="G13">
        <f>IF(SUMPRODUCT((ISNUMBER(SEARCH("manutencao_predial",dados_brutos!$M$2:$M$536))*(dados_brutos!$E$2:$E$536="vizinhos")*(dados_brutos!$AU$2:$AU$536=1))*ISNUMBER(dados_brutos!$AG$2:$AG$536))=0,"",_xlfn.AGGREGATE(12,6,dados_brutos!$AG$2:$AG$536/((ISNUMBER(SEARCH("manutencao_predial",dados_brutos!$M$2:$M$536))*(dados_brutos!$E$2:$E$536="vizinhos")*(dados_brutos!$AU$2:$AU$536=1))*ISNUMBER(dados_brutos!$AG$2:$AG$536))))</f>
        <v/>
      </c>
      <c r="H13">
        <f>SUMPRODUCT((ISNUMBER(SEARCH("manutencao_predial",dados_brutos!$M$2:$M$536))*(dados_brutos!$E$2:$E$536="vizinhos")*(dados_brutos!$AU$2:$AU$536=1))*ISNUMBER(dados_brutos!$AG$2:$AG$536))</f>
        <v/>
      </c>
      <c r="I13">
        <f>IF(SUMPRODUCT((ISNUMBER(SEARCH("manutencao_predial",dados_brutos!$M$2:$M$536))*(dados_brutos!$E$2:$E$536="vizinhos")*(dados_brutos!$AU$2:$AU$536=1))*ISNUMBER(dados_brutos!$R$2:$R$536))=0,"",_xlfn.AGGREGATE(12,6,dados_brutos!$R$2:$R$536/((ISNUMBER(SEARCH("manutencao_predial",dados_brutos!$M$2:$M$536))*(dados_brutos!$E$2:$E$536="vizinhos")*(dados_brutos!$AU$2:$AU$536=1))*ISNUMBER(dados_brutos!$R$2:$R$536))))</f>
        <v/>
      </c>
      <c r="J13">
        <f>IF(SUMPRODUCT((ISNUMBER(SEARCH("manutencao_predial",dados_brutos!$M$2:$M$536))*(dados_brutos!$E$2:$E$536="vizinhos")*(dados_brutos!$AU$2:$AU$536=1))*ISNUMBER(dados_brutos!$R$2:$R$536))=0,"",_xlfn.AGGREGATE(17,6,dados_brutos!$R$2:$R$536/((ISNUMBER(SEARCH("manutencao_predial",dados_brutos!$M$2:$M$536))*(dados_brutos!$E$2:$E$536="vizinhos")*(dados_brutos!$AU$2:$AU$536=1))*ISNUMBER(dados_brutos!$R$2:$R$536)),1))</f>
        <v/>
      </c>
      <c r="K13">
        <f>IF(SUMPRODUCT((ISNUMBER(SEARCH("manutencao_predial",dados_brutos!$M$2:$M$536))*(dados_brutos!$E$2:$E$536="vizinhos")*(dados_brutos!$AU$2:$AU$536=1))*ISNUMBER(dados_brutos!$R$2:$R$536))=0,"",_xlfn.AGGREGATE(17,6,dados_brutos!$R$2:$R$536/((ISNUMBER(SEARCH("manutencao_predial",dados_brutos!$M$2:$M$536))*(dados_brutos!$E$2:$E$536="vizinhos")*(dados_brutos!$AU$2:$AU$536=1))*ISNUMBER(dados_brutos!$R$2:$R$536)),3))</f>
        <v/>
      </c>
      <c r="L13">
        <f>SUMPRODUCT((ISNUMBER(SEARCH("manutencao_predial",dados_brutos!$M$2:$M$536))*(dados_brutos!$E$2:$E$536="vizinhos")*(dados_brutos!$AU$2:$AU$536=1))*ISNUMBER(dados_brutos!$R$2:$R$536))</f>
        <v/>
      </c>
      <c r="M13">
        <f>IF(COUNTIFS(dados_brutos!$M$2:$M$536,"*"&amp;"manutencao_predial"&amp;"*",dados_brutos!$E$2:$E$536,"vizinhos",dados_brutos!$AU$2:$AU$536,1)=0,"",COUNTIFS(dados_brutos!$M$2:$M$536,"*"&amp;"manutencao_predial"&amp;"*",dados_brutos!$E$2:$E$536,"vizinhos",dados_brutos!$AU$2:$AU$536,1,dados_brutos!$Z$2:$Z$536,1)/COUNTIFS(dados_brutos!$M$2:$M$536,"*"&amp;"manutencao_predial"&amp;"*",dados_brutos!$E$2:$E$536,"vizinhos",dados_brutos!$AU$2:$AU$536,1))</f>
        <v/>
      </c>
      <c r="N13">
        <f>IF(COUNTIFS(dados_brutos!$M$2:$M$536,"*"&amp;"manutencao_predial"&amp;"*",dados_brutos!$E$2:$E$536,"vizinhos",dados_brutos!$AU$2:$AU$536,1)=0,"",COUNTIFS(dados_brutos!$M$2:$M$536,"*"&amp;"manutencao_predial"&amp;"*",dados_brutos!$E$2:$E$536,"vizinhos",dados_brutos!$AU$2:$AU$536,1,dados_brutos!$AA$2:$AA$536,1)/COUNTIFS(dados_brutos!$M$2:$M$536,"*"&amp;"manutencao_predial"&amp;"*",dados_brutos!$E$2:$E$536,"vizinhos",dados_brutos!$AU$2:$AU$536,1))</f>
        <v/>
      </c>
      <c r="O13">
        <f>IF(COUNTIFS(dados_brutos!$M$2:$M$536,"*"&amp;"manutencao_predial"&amp;"*",dados_brutos!$E$2:$E$536,"vizinhos",dados_brutos!$AU$2:$AU$536,1)=0,"",COUNTIFS(dados_brutos!$M$2:$M$536,"*"&amp;"manutencao_predial"&amp;"*",dados_brutos!$E$2:$E$536,"vizinhos",dados_brutos!$AU$2:$AU$536,1,dados_brutos!$AB$2:$AB$536,1)/COUNTIFS(dados_brutos!$M$2:$M$536,"*"&amp;"manutencao_predial"&amp;"*",dados_brutos!$E$2:$E$536,"vizinhos",dados_brutos!$AU$2:$AU$536,1))</f>
        <v/>
      </c>
      <c r="P13">
        <f>IF(COUNTIFS(dados_brutos!$M$2:$M$536,"*"&amp;"manutencao_predial"&amp;"*",dados_brutos!$E$2:$E$536,"vizinhos",dados_brutos!$AU$2:$AU$536,1)=0,"",COUNTIFS(dados_brutos!$M$2:$M$536,"*"&amp;"manutencao_predial"&amp;"*",dados_brutos!$E$2:$E$536,"vizinhos",dados_brutos!$AU$2:$AU$536,1,dados_brutos!$AC$2:$AC$536,1)/COUNTIFS(dados_brutos!$M$2:$M$536,"*"&amp;"manutencao_predial"&amp;"*",dados_brutos!$E$2:$E$536,"vizinhos",dados_brutos!$AU$2:$AU$536,1))</f>
        <v/>
      </c>
      <c r="Q13">
        <f>IF(COUNTIFS(dados_brutos!$M$2:$M$536,"*"&amp;"manutencao_predial"&amp;"*",dados_brutos!$E$2:$E$536,"vizinhos",dados_brutos!$AU$2:$AU$536,1)=0,"",COUNTIFS(dados_brutos!$M$2:$M$536,"*"&amp;"manutencao_predial"&amp;"*",dados_brutos!$E$2:$E$536,"vizinhos",dados_brutos!$AU$2:$AU$536,1,dados_brutos!$AH$2:$AH$536,"continuado")/COUNTIFS(dados_brutos!$M$2:$M$536,"*"&amp;"manutencao_predial"&amp;"*",dados_brutos!$E$2:$E$536,"vizinhos",dados_brutos!$AU$2:$AU$536,1)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area</t>
        </is>
      </c>
      <c r="B1" s="1" t="inlineStr">
        <is>
          <t>equipamento_alto</t>
        </is>
      </c>
      <c r="C1" s="1" t="inlineStr">
        <is>
          <t>obra_grande</t>
        </is>
      </c>
      <c r="D1" s="1" t="inlineStr">
        <is>
          <t>fornecimento_puro</t>
        </is>
      </c>
      <c r="E1" s="1" t="inlineStr">
        <is>
          <t>mencao_passagem</t>
        </is>
      </c>
      <c r="F1" s="1" t="inlineStr">
        <is>
          <t>total_excluidos</t>
        </is>
      </c>
      <c r="G1" s="1" t="inlineStr">
        <is>
          <t>revisao_manual</t>
        </is>
      </c>
      <c r="H1" s="1" t="inlineStr">
        <is>
          <t>n_casos_area</t>
        </is>
      </c>
    </row>
    <row r="2">
      <c r="A2" t="inlineStr">
        <is>
          <t>climatizacao</t>
        </is>
      </c>
      <c r="B2">
        <f>COUNTIFS(dados_brutos!$M$2:$M$536,"*"&amp;"climatizacao"&amp;"*",dados_brutos!$AR$2:$AR$536,"equipamento_alto")</f>
        <v/>
      </c>
      <c r="C2">
        <f>COUNTIFS(dados_brutos!$M$2:$M$536,"*"&amp;"climatizacao"&amp;"*",dados_brutos!$AR$2:$AR$536,"obra_grande")</f>
        <v/>
      </c>
      <c r="D2">
        <f>COUNTIFS(dados_brutos!$M$2:$M$536,"*"&amp;"climatizacao"&amp;"*",dados_brutos!$AR$2:$AR$536,"fornecimento_puro")</f>
        <v/>
      </c>
      <c r="E2">
        <f>COUNTIFS(dados_brutos!$M$2:$M$536,"*"&amp;"climatizacao"&amp;"*",dados_brutos!$AR$2:$AR$536,"mencao_passagem")</f>
        <v/>
      </c>
      <c r="F2">
        <f>COUNTIFS(dados_brutos!$M$2:$M$536,"*"&amp;"climatizacao"&amp;"*",dados_brutos!$AR$2:$AR$536,"&lt;&gt;")</f>
        <v/>
      </c>
      <c r="G2">
        <f>COUNTIFS(dados_brutos!$M$2:$M$536,"*"&amp;"climatizacao"&amp;"*",dados_brutos!$AT$2:$AT$536,1)</f>
        <v/>
      </c>
      <c r="H2">
        <f>COUNTIFS(dados_brutos!$M$2:$M$536,"*"&amp;"climatizacao"&amp;"*")</f>
        <v/>
      </c>
    </row>
    <row r="3">
      <c r="A3" t="inlineStr">
        <is>
          <t>refrigeracao</t>
        </is>
      </c>
      <c r="B3">
        <f>COUNTIFS(dados_brutos!$M$2:$M$536,"*"&amp;"refrigeracao"&amp;"*",dados_brutos!$AR$2:$AR$536,"equipamento_alto")</f>
        <v/>
      </c>
      <c r="C3">
        <f>COUNTIFS(dados_brutos!$M$2:$M$536,"*"&amp;"refrigeracao"&amp;"*",dados_brutos!$AR$2:$AR$536,"obra_grande")</f>
        <v/>
      </c>
      <c r="D3">
        <f>COUNTIFS(dados_brutos!$M$2:$M$536,"*"&amp;"refrigeracao"&amp;"*",dados_brutos!$AR$2:$AR$536,"fornecimento_puro")</f>
        <v/>
      </c>
      <c r="E3">
        <f>COUNTIFS(dados_brutos!$M$2:$M$536,"*"&amp;"refrigeracao"&amp;"*",dados_brutos!$AR$2:$AR$536,"mencao_passagem")</f>
        <v/>
      </c>
      <c r="F3">
        <f>COUNTIFS(dados_brutos!$M$2:$M$536,"*"&amp;"refrigeracao"&amp;"*",dados_brutos!$AR$2:$AR$536,"&lt;&gt;")</f>
        <v/>
      </c>
      <c r="G3">
        <f>COUNTIFS(dados_brutos!$M$2:$M$536,"*"&amp;"refrigeracao"&amp;"*",dados_brutos!$AT$2:$AT$536,1)</f>
        <v/>
      </c>
      <c r="H3">
        <f>COUNTIFS(dados_brutos!$M$2:$M$536,"*"&amp;"refrigeracao"&amp;"*")</f>
        <v/>
      </c>
    </row>
    <row r="4">
      <c r="A4" t="inlineStr">
        <is>
          <t>iluminacao_publica</t>
        </is>
      </c>
      <c r="B4">
        <f>COUNTIFS(dados_brutos!$M$2:$M$536,"*"&amp;"iluminacao_publica"&amp;"*",dados_brutos!$AR$2:$AR$536,"equipamento_alto")</f>
        <v/>
      </c>
      <c r="C4">
        <f>COUNTIFS(dados_brutos!$M$2:$M$536,"*"&amp;"iluminacao_publica"&amp;"*",dados_brutos!$AR$2:$AR$536,"obra_grande")</f>
        <v/>
      </c>
      <c r="D4">
        <f>COUNTIFS(dados_brutos!$M$2:$M$536,"*"&amp;"iluminacao_publica"&amp;"*",dados_brutos!$AR$2:$AR$536,"fornecimento_puro")</f>
        <v/>
      </c>
      <c r="E4">
        <f>COUNTIFS(dados_brutos!$M$2:$M$536,"*"&amp;"iluminacao_publica"&amp;"*",dados_brutos!$AR$2:$AR$536,"mencao_passagem")</f>
        <v/>
      </c>
      <c r="F4">
        <f>COUNTIFS(dados_brutos!$M$2:$M$536,"*"&amp;"iluminacao_publica"&amp;"*",dados_brutos!$AR$2:$AR$536,"&lt;&gt;")</f>
        <v/>
      </c>
      <c r="G4">
        <f>COUNTIFS(dados_brutos!$M$2:$M$536,"*"&amp;"iluminacao_publica"&amp;"*",dados_brutos!$AT$2:$AT$536,1)</f>
        <v/>
      </c>
      <c r="H4">
        <f>COUNTIFS(dados_brutos!$M$2:$M$536,"*"&amp;"iluminacao_publica"&amp;"*")</f>
        <v/>
      </c>
    </row>
    <row r="5">
      <c r="A5" t="inlineStr">
        <is>
          <t>eletrica_predial</t>
        </is>
      </c>
      <c r="B5">
        <f>COUNTIFS(dados_brutos!$M$2:$M$536,"*"&amp;"eletrica_predial"&amp;"*",dados_brutos!$AR$2:$AR$536,"equipamento_alto")</f>
        <v/>
      </c>
      <c r="C5">
        <f>COUNTIFS(dados_brutos!$M$2:$M$536,"*"&amp;"eletrica_predial"&amp;"*",dados_brutos!$AR$2:$AR$536,"obra_grande")</f>
        <v/>
      </c>
      <c r="D5">
        <f>COUNTIFS(dados_brutos!$M$2:$M$536,"*"&amp;"eletrica_predial"&amp;"*",dados_brutos!$AR$2:$AR$536,"fornecimento_puro")</f>
        <v/>
      </c>
      <c r="E5">
        <f>COUNTIFS(dados_brutos!$M$2:$M$536,"*"&amp;"eletrica_predial"&amp;"*",dados_brutos!$AR$2:$AR$536,"mencao_passagem")</f>
        <v/>
      </c>
      <c r="F5">
        <f>COUNTIFS(dados_brutos!$M$2:$M$536,"*"&amp;"eletrica_predial"&amp;"*",dados_brutos!$AR$2:$AR$536,"&lt;&gt;")</f>
        <v/>
      </c>
      <c r="G5">
        <f>COUNTIFS(dados_brutos!$M$2:$M$536,"*"&amp;"eletrica_predial"&amp;"*",dados_brutos!$AT$2:$AT$536,1)</f>
        <v/>
      </c>
      <c r="H5">
        <f>COUNTIFS(dados_brutos!$M$2:$M$536,"*"&amp;"eletrica_predial"&amp;"*")</f>
        <v/>
      </c>
    </row>
    <row r="6">
      <c r="A6" t="inlineStr">
        <is>
          <t>munck</t>
        </is>
      </c>
      <c r="B6">
        <f>COUNTIFS(dados_brutos!$M$2:$M$536,"*"&amp;"munck"&amp;"*",dados_brutos!$AR$2:$AR$536,"equipamento_alto")</f>
        <v/>
      </c>
      <c r="C6">
        <f>COUNTIFS(dados_brutos!$M$2:$M$536,"*"&amp;"munck"&amp;"*",dados_brutos!$AR$2:$AR$536,"obra_grande")</f>
        <v/>
      </c>
      <c r="D6">
        <f>COUNTIFS(dados_brutos!$M$2:$M$536,"*"&amp;"munck"&amp;"*",dados_brutos!$AR$2:$AR$536,"fornecimento_puro")</f>
        <v/>
      </c>
      <c r="E6">
        <f>COUNTIFS(dados_brutos!$M$2:$M$536,"*"&amp;"munck"&amp;"*",dados_brutos!$AR$2:$AR$536,"mencao_passagem")</f>
        <v/>
      </c>
      <c r="F6">
        <f>COUNTIFS(dados_brutos!$M$2:$M$536,"*"&amp;"munck"&amp;"*",dados_brutos!$AR$2:$AR$536,"&lt;&gt;")</f>
        <v/>
      </c>
      <c r="G6">
        <f>COUNTIFS(dados_brutos!$M$2:$M$536,"*"&amp;"munck"&amp;"*",dados_brutos!$AT$2:$AT$536,1)</f>
        <v/>
      </c>
      <c r="H6">
        <f>COUNTIFS(dados_brutos!$M$2:$M$536,"*"&amp;"munck"&amp;"*")</f>
        <v/>
      </c>
    </row>
    <row r="7">
      <c r="A7" t="inlineStr">
        <is>
          <t>manutencao_predial</t>
        </is>
      </c>
      <c r="B7">
        <f>COUNTIFS(dados_brutos!$M$2:$M$536,"*"&amp;"manutencao_predial"&amp;"*",dados_brutos!$AR$2:$AR$536,"equipamento_alto")</f>
        <v/>
      </c>
      <c r="C7">
        <f>COUNTIFS(dados_brutos!$M$2:$M$536,"*"&amp;"manutencao_predial"&amp;"*",dados_brutos!$AR$2:$AR$536,"obra_grande")</f>
        <v/>
      </c>
      <c r="D7">
        <f>COUNTIFS(dados_brutos!$M$2:$M$536,"*"&amp;"manutencao_predial"&amp;"*",dados_brutos!$AR$2:$AR$536,"fornecimento_puro")</f>
        <v/>
      </c>
      <c r="E7">
        <f>COUNTIFS(dados_brutos!$M$2:$M$536,"*"&amp;"manutencao_predial"&amp;"*",dados_brutos!$AR$2:$AR$536,"mencao_passagem")</f>
        <v/>
      </c>
      <c r="F7">
        <f>COUNTIFS(dados_brutos!$M$2:$M$536,"*"&amp;"manutencao_predial"&amp;"*",dados_brutos!$AR$2:$AR$536,"&lt;&gt;")</f>
        <v/>
      </c>
      <c r="G7">
        <f>COUNTIFS(dados_brutos!$M$2:$M$536,"*"&amp;"manutencao_predial"&amp;"*",dados_brutos!$AT$2:$AT$536,1)</f>
        <v/>
      </c>
      <c r="H7">
        <f>COUNTIFS(dados_brutos!$M$2:$M$536,"*"&amp;"manutencao_predial"&amp;"*")</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30" customWidth="1" min="1" max="1"/>
    <col width="30" customWidth="1" min="2" max="2"/>
    <col width="45" customWidth="1" min="5" max="5"/>
    <col width="40" customWidth="1" min="7" max="7"/>
    <col width="40" customWidth="1" min="8" max="8"/>
  </cols>
  <sheetData>
    <row r="1">
      <c r="A1" s="1" t="inlineStr">
        <is>
          <t>categoria</t>
        </is>
      </c>
      <c r="B1" s="1" t="inlineStr">
        <is>
          <t>item</t>
        </is>
      </c>
      <c r="C1" s="1" t="inlineStr">
        <is>
          <t>valor</t>
        </is>
      </c>
      <c r="D1" s="1" t="inlineStr">
        <is>
          <t>unidade</t>
        </is>
      </c>
      <c r="E1" s="1" t="inlineStr">
        <is>
          <t>fonte_url</t>
        </is>
      </c>
      <c r="F1" s="1" t="inlineStr">
        <is>
          <t>data_acesso</t>
        </is>
      </c>
      <c r="G1" s="1" t="inlineStr">
        <is>
          <t>trecho_ou_pagina</t>
        </is>
      </c>
      <c r="H1" s="1" t="inlineStr">
        <is>
          <t>observacao</t>
        </is>
      </c>
      <c r="I1" s="1" t="inlineStr">
        <is>
          <t>confiabilidade</t>
        </is>
      </c>
    </row>
    <row r="2">
      <c r="A2" t="inlineStr">
        <is>
          <t>Mão de obra - referência geral</t>
        </is>
      </c>
      <c r="B2" t="inlineStr">
        <is>
          <t>Salário mínimo nacional 2026</t>
        </is>
      </c>
      <c r="C2" t="n">
        <v>1621</v>
      </c>
      <c r="D2" t="inlineStr">
        <is>
          <t>R$/mês</t>
        </is>
      </c>
      <c r="E2" s="2" t="inlineStr">
        <is>
          <t>https://www.planalto.gov.br/ccivil_03/_ato2023-2026/2025/decreto/d12797.htm</t>
        </is>
      </c>
      <c r="F2" t="inlineStr">
        <is>
          <t>2026-09-27</t>
        </is>
      </c>
      <c r="G2" t="inlineStr">
        <is>
          <t>Texto oficial lido diretamente: 'Art. 1º A partir de 1º de janeiro de 2026, o valor do salário mínimo será de R$ 1.621,00 (mil seiscentos e vinte e um reais). Parágrafo único. ... o valor diário do salário mínimo corresponderá a R$ 54,04...'</t>
        </is>
      </c>
      <c r="H2" t="inlineStr">
        <is>
          <t>Confirmado por leitura direta do Decreto nº 12.797/2025 no site oficial da Presidência da República (reajuste de 6,79% sobre R$1.518,00 vigente em 2025). Base para todos os cálculos de piso/insalubridade/periculosidade abaixo.</t>
        </is>
      </c>
      <c r="I2" t="inlineStr">
        <is>
          <t>alta</t>
        </is>
      </c>
    </row>
    <row r="3">
      <c r="A3" t="inlineStr">
        <is>
          <t>Mão de obra - Construção civil (SINDUSCON-GO/SINTRACOM)</t>
        </is>
      </c>
      <c r="B3" t="inlineStr">
        <is>
          <t>Ajudante/Servente - piso mensal</t>
        </is>
      </c>
      <c r="C3" t="n">
        <v>1548.8</v>
      </c>
      <c r="D3" t="inlineStr">
        <is>
          <t>R$/mês</t>
        </is>
      </c>
      <c r="E3" s="2" t="inlineStr">
        <is>
          <t>https://www.sintracomgoiania.com.br/images/convencoes_arquivos/construcao-civil/CCT_2025_2027_Divulgacao_Conjunta_Sinduscon_e_Sintracom_Goias_assinado.pdf</t>
        </is>
      </c>
      <c r="F3" t="inlineStr">
        <is>
          <t>2026-09-27</t>
        </is>
      </c>
      <c r="G3" t="inlineStr">
        <is>
          <t>pág. 2, Cláusula Quarta - Dos Pisos Salariais, quadro de funções, vigência a partir de 01/05/2025</t>
        </is>
      </c>
      <c r="H3" t="inlineStr">
        <is>
          <t>CCT 2025/2027 (Termo Aditivo Salarial), vigência 01/05/2025 a 30/04/2027. Reajuste de 7,32% sobre o praticado em 30/04/2025. Jornada 44h/semana (padrão CLT/CCT construção civil).</t>
        </is>
      </c>
      <c r="I3" t="inlineStr">
        <is>
          <t>alta</t>
        </is>
      </c>
    </row>
    <row r="4">
      <c r="A4" t="inlineStr">
        <is>
          <t>Mão de obra - Construção civil (SINDUSCON-GO/SINTRACOM)</t>
        </is>
      </c>
      <c r="B4" t="inlineStr">
        <is>
          <t>Ajudante/Servente - valor hora</t>
        </is>
      </c>
      <c r="C4" t="n">
        <v>7.04</v>
      </c>
      <c r="D4" t="inlineStr">
        <is>
          <t>R$/hora</t>
        </is>
      </c>
      <c r="E4" s="2" t="inlineStr">
        <is>
          <t>https://www.sintracomgoiania.com.br/images/convencoes_arquivos/construcao-civil/CCT_2025_2027_Divulgacao_Conjunta_Sinduscon_e_Sintracom_Goias_assinado.pdf</t>
        </is>
      </c>
      <c r="F4" t="inlineStr">
        <is>
          <t>2026-09-27</t>
        </is>
      </c>
      <c r="G4" t="inlineStr">
        <is>
          <t>pág. 2, mesma tabela</t>
        </is>
      </c>
      <c r="H4" t="inlineStr">
        <is>
          <t>Mesma fonte do item acima.</t>
        </is>
      </c>
      <c r="I4" t="inlineStr">
        <is>
          <t>alta</t>
        </is>
      </c>
    </row>
    <row r="5">
      <c r="A5" t="inlineStr">
        <is>
          <t>Mão de obra - Construção civil (SINDUSCON-GO/SINTRACOM)</t>
        </is>
      </c>
      <c r="B5" t="inlineStr">
        <is>
          <t>Meio-Oficial (eletricista/pedreiro/carpinteiro qualificado) - piso mensal</t>
        </is>
      </c>
      <c r="C5" t="n">
        <v>1720.4</v>
      </c>
      <c r="D5" t="inlineStr">
        <is>
          <t>R$/mês</t>
        </is>
      </c>
      <c r="E5" s="2" t="inlineStr">
        <is>
          <t>https://www.sintracomgoiania.com.br/images/convencoes_arquivos/construcao-civil/CCT_2025_2027_Divulgacao_Conjunta_Sinduscon_e_Sintracom_Goias_assinado.pdf</t>
        </is>
      </c>
      <c r="F5" t="inlineStr">
        <is>
          <t>2026-09-27</t>
        </is>
      </c>
      <c r="G5" t="inlineStr">
        <is>
          <t>pág. 2, quadro de pisos salariais</t>
        </is>
      </c>
      <c r="H5" t="inlineStr">
        <is>
          <t>Categoria 'Meio-Oficial' é a referência de eletricista de obra qualificado nesta CCT.</t>
        </is>
      </c>
      <c r="I5" t="inlineStr">
        <is>
          <t>alta</t>
        </is>
      </c>
    </row>
    <row r="6">
      <c r="A6" t="inlineStr">
        <is>
          <t>Mão de obra - Construção civil (SINDUSCON-GO/SINTRACOM)</t>
        </is>
      </c>
      <c r="B6" t="inlineStr">
        <is>
          <t>Meio-Oficial - valor hora</t>
        </is>
      </c>
      <c r="C6" t="n">
        <v>7.82</v>
      </c>
      <c r="D6" t="inlineStr">
        <is>
          <t>R$/hora</t>
        </is>
      </c>
      <c r="E6" s="2" t="inlineStr">
        <is>
          <t>https://www.sintracomgoiania.com.br/images/convencoes_arquivos/construcao-civil/CCT_2025_2027_Divulgacao_Conjunta_Sinduscon_e_Sintracom_Goias_assinado.pdf</t>
        </is>
      </c>
      <c r="F6" t="inlineStr">
        <is>
          <t>2026-09-27</t>
        </is>
      </c>
      <c r="G6" t="inlineStr">
        <is>
          <t>pág. 2, quadro de pisos salariais</t>
        </is>
      </c>
      <c r="H6" t="inlineStr">
        <is>
          <t>Mesma fonte.</t>
        </is>
      </c>
      <c r="I6" t="inlineStr">
        <is>
          <t>alta</t>
        </is>
      </c>
    </row>
    <row r="7">
      <c r="A7" t="inlineStr">
        <is>
          <t>Mão de obra - Construção civil (SINDUSCON-GO/SINTRACOM)</t>
        </is>
      </c>
      <c r="B7" t="inlineStr">
        <is>
          <t>Encarregado - piso mensal</t>
        </is>
      </c>
      <c r="C7" t="n">
        <v>3542</v>
      </c>
      <c r="D7" t="inlineStr">
        <is>
          <t>R$/mês</t>
        </is>
      </c>
      <c r="E7" s="2" t="inlineStr">
        <is>
          <t>https://www.sintracomgoiania.com.br/images/convencoes_arquivos/construcao-civil/CCT_2025_2027_Divulgacao_Conjunta_Sinduscon_e_Sintracom_Goias_assinado.pdf</t>
        </is>
      </c>
      <c r="F7" t="inlineStr">
        <is>
          <t>2026-09-27</t>
        </is>
      </c>
      <c r="G7" t="inlineStr">
        <is>
          <t>pág. 3, quadro de pisos salariais</t>
        </is>
      </c>
      <c r="H7" t="inlineStr"/>
      <c r="I7" t="inlineStr">
        <is>
          <t>alta</t>
        </is>
      </c>
    </row>
    <row r="8">
      <c r="A8" t="inlineStr">
        <is>
          <t>Mão de obra - Construção civil (SINDUSCON-GO/SINTRACOM)</t>
        </is>
      </c>
      <c r="B8" t="inlineStr">
        <is>
          <t>Mestre de Obras - piso mensal</t>
        </is>
      </c>
      <c r="C8" t="n">
        <v>5060</v>
      </c>
      <c r="D8" t="inlineStr">
        <is>
          <t>R$/mês</t>
        </is>
      </c>
      <c r="E8" s="2" t="inlineStr">
        <is>
          <t>https://www.sintracomgoiania.com.br/images/convencoes_arquivos/construcao-civil/CCT_2025_2027_Divulgacao_Conjunta_Sinduscon_e_Sintracom_Goias_assinado.pdf</t>
        </is>
      </c>
      <c r="F8" t="inlineStr">
        <is>
          <t>2026-09-27</t>
        </is>
      </c>
      <c r="G8" t="inlineStr">
        <is>
          <t>pág. 3, quadro de pisos salariais</t>
        </is>
      </c>
      <c r="H8" t="inlineStr">
        <is>
          <t>Piso novo, criado nesta CCT 2025/2027.</t>
        </is>
      </c>
      <c r="I8" t="inlineStr">
        <is>
          <t>alta</t>
        </is>
      </c>
    </row>
    <row r="9">
      <c r="A9" t="inlineStr">
        <is>
          <t>Mão de obra - Construção civil (SINDUSCON-GO/SINTRACOM)</t>
        </is>
      </c>
      <c r="B9" t="inlineStr">
        <is>
          <t>Técnico de refrigeração/AC predial ('Profissional em Manutenção Industrial e Predial, Ar Condicionado') - piso mínimo aplicável</t>
        </is>
      </c>
      <c r="C9" t="n">
        <v>1548.8</v>
      </c>
      <c r="D9" t="inlineStr">
        <is>
          <t>R$/mês</t>
        </is>
      </c>
      <c r="E9" s="2" t="inlineStr">
        <is>
          <t>https://www.sintracomgoiania.com.br/images/convencoes_arquivos/construcao-civil/CCT_2025_2027_Divulgacao_Conjunta_Sinduscon_e_Sintracom_Goias_assinado.pdf</t>
        </is>
      </c>
      <c r="F9" t="inlineStr">
        <is>
          <t>2026-09-27</t>
        </is>
      </c>
      <c r="G9" t="inlineStr">
        <is>
          <t>pág. 1, Cláusula Quinta (lista nominal da função) c/c pág. 2 §2º ('piso salarial para trabalhadores sem piso definido será igual ao salário base do ajudante/servente')</t>
        </is>
      </c>
      <c r="H9" t="inlineStr">
        <is>
          <t>A CCT NÃO define piso próprio para esta função: ela só recebe o reajuste de 7,32% sobre o salário já praticado, e o piso mínimo legal aplicável é o do ajudante/servente. Na prática de mercado a remuneração efetiva costuma ficar acima deste piso mínimo (ver estimativa de mercado na aba de premissas).</t>
        </is>
      </c>
      <c r="I9" t="inlineStr">
        <is>
          <t>alta</t>
        </is>
      </c>
    </row>
    <row r="10">
      <c r="A10" t="inlineStr">
        <is>
          <t>Mão de obra - Construção civil (SINDUSCON-GO/SINTRACOM)</t>
        </is>
      </c>
      <c r="B10" t="inlineStr">
        <is>
          <t>Operador de grua/mini-grua (proxy p/ operador de munck/guindauto) e Supervisor de segurança (proxy p/ técnico de segurança) - piso mínimo aplicável</t>
        </is>
      </c>
      <c r="C10" t="n">
        <v>1548.8</v>
      </c>
      <c r="D10" t="inlineStr">
        <is>
          <t>R$/mês</t>
        </is>
      </c>
      <c r="E10" s="2" t="inlineStr">
        <is>
          <t>https://www.sintracomgoiania.com.br/images/convencoes_arquivos/construcao-civil/CCT_2025_2027_Divulgacao_Conjunta_Sinduscon_e_Sintracom_Goias_assinado.pdf</t>
        </is>
      </c>
      <c r="F10" t="inlineStr">
        <is>
          <t>2026-09-27</t>
        </is>
      </c>
      <c r="G10" t="inlineStr">
        <is>
          <t>pág. 1, Cláusula Quinta (lista nominal das funções) c/c pág. 2 §2º</t>
        </is>
      </c>
      <c r="H10" t="inlineStr">
        <is>
          <t>Mesma regra do item anterior: sem piso próprio definido nesta CCT; piso mínimo = ajudante/servente.</t>
        </is>
      </c>
      <c r="I10" t="inlineStr">
        <is>
          <t>alta</t>
        </is>
      </c>
    </row>
    <row r="11">
      <c r="A11" t="inlineStr">
        <is>
          <t>Mão de obra - Construção civil (SINDUSCON-GO/SINTRACOM)</t>
        </is>
      </c>
      <c r="B11" t="inlineStr">
        <is>
          <t>Vale-refeição / auxílio-alimentação (manutenção predial/facilities)</t>
        </is>
      </c>
      <c r="C11" t="n">
        <v>22.54</v>
      </c>
      <c r="D11" t="inlineStr">
        <is>
          <t>R$/dia trabalhado</t>
        </is>
      </c>
      <c r="E11" s="2" t="inlineStr">
        <is>
          <t>https://www.sintracomgoiania.com.br/images/convencoes_arquivos/construcao-civil/CCT_2025_2027_Divulgacao_Conjunta_Sinduscon_e_Sintracom_Goias_assinado.pdf</t>
        </is>
      </c>
      <c r="F11" t="inlineStr">
        <is>
          <t>2026-09-27</t>
        </is>
      </c>
      <c r="G11" t="inlineStr">
        <is>
          <t>pág. 8-9, Cláusula Décima Primeira - Alimentação, §3º</t>
        </is>
      </c>
      <c r="H11" t="inlineStr">
        <is>
          <t>Válido a partir de 01/05/2025. O fornecimento de VALE REFEIÇÃO (em pecúnia/cartão) está restrito aos empregados de escritório e aos que desenvolvem atividades de manutenção predial/facilities - aplica-se diretamente ao cenário de equipes de manutenção.</t>
        </is>
      </c>
      <c r="I11" t="inlineStr">
        <is>
          <t>alta</t>
        </is>
      </c>
    </row>
    <row r="12">
      <c r="A12" t="inlineStr">
        <is>
          <t>Mão de obra - Construção civil / Lei Federal</t>
        </is>
      </c>
      <c r="B12" t="inlineStr">
        <is>
          <t>Salário mínimo profissional Engenheiro - jornada 6h (Lei 4.950-A/66, art. 5º)</t>
        </is>
      </c>
      <c r="C12" t="n">
        <v>9726</v>
      </c>
      <c r="D12" t="inlineStr">
        <is>
          <t>R$/mês</t>
        </is>
      </c>
      <c r="E12" s="2" t="inlineStr">
        <is>
          <t>https://www.planalto.gov.br/ccivil_03/leis/l4950a.htm</t>
        </is>
      </c>
      <c r="F12" t="inlineStr">
        <is>
          <t>2026-09-27</t>
        </is>
      </c>
      <c r="G12" t="inlineStr">
        <is>
          <t>Texto oficial lido diretamente: 'Art. 5º Para a execução das atividades e tarefas classificadas na alínea a do art. 3º, fica fixado o salário-base mínimo de 6 (seis) vêzes o maior salário-mínimo comum vigente no País, para os profissionais relacionados na alínea a do art. 4º [diplomados com curso universitário de 4 anos ou mais]...' (jornada de 6h/dia, conforme art. 3º, a).</t>
        </is>
      </c>
      <c r="H12" t="inlineStr">
        <is>
          <t>Confirmado por leitura direta da Lei 4.950-A/1966 no site oficial da Presidência da República. Valor em R$ calculado por nós: 6 × R$1.621,00 (salário mínimo 2026, Decreto 12.797/2025) = R$9.726,00.</t>
        </is>
      </c>
      <c r="I12" t="inlineStr">
        <is>
          <t>alta</t>
        </is>
      </c>
    </row>
    <row r="13">
      <c r="A13" t="inlineStr">
        <is>
          <t>Mão de obra - Construção civil / Lei Federal</t>
        </is>
      </c>
      <c r="B13" t="inlineStr">
        <is>
          <t>Salário mínimo profissional Engenheiro - jornada 8h (Lei 4.950-A/66, arts. 5º e 6º)</t>
        </is>
      </c>
      <c r="C13" t="n">
        <v>13778.5</v>
      </c>
      <c r="D13" t="inlineStr">
        <is>
          <t>R$/mês</t>
        </is>
      </c>
      <c r="E13" s="2" t="inlineStr">
        <is>
          <t>https://www.planalto.gov.br/ccivil_03/leis/l4950a.htm</t>
        </is>
      </c>
      <c r="F13" t="inlineStr">
        <is>
          <t>2026-09-27</t>
        </is>
      </c>
      <c r="G13" t="inlineStr">
        <is>
          <t>Texto oficial lido diretamente: 'Art. 6º Para a execução de atividades e tarefas classificadas na alínea b do art. 3º [mais de 6h diárias], a fixação do salário-base mínimo será feito tomando-se por base o custo da hora fixado no art. 5º desta Lei, acrescidas de 25% as horas excedentes das 6 (seis) diárias de serviços.'</t>
        </is>
      </c>
      <c r="H13" t="inlineStr">
        <is>
          <t>Confirmado por leitura direta da lei. Matematicamente equivale a 8,5 salários mínimos para jornada de 8h/dia (6 SM base pelas 6h + 2h extras a 125% do valor-hora = +2,5 SM). Valor calculado por nós: 8,5 × R$1.621,00 = R$13.778,50.</t>
        </is>
      </c>
      <c r="I13" t="inlineStr">
        <is>
          <t>alta</t>
        </is>
      </c>
    </row>
    <row r="14">
      <c r="A14" t="inlineStr">
        <is>
          <t>Mão de obra - SEAC-GO/SEACONS (terceirização/manutenção predial)</t>
        </is>
      </c>
      <c r="B14" t="inlineStr">
        <is>
          <t>Eletricista - piso mensal (01/01/2025)</t>
        </is>
      </c>
      <c r="C14" t="n">
        <v>3229.78</v>
      </c>
      <c r="D14" t="inlineStr">
        <is>
          <t>R$/mês</t>
        </is>
      </c>
      <c r="E14" s="2" t="inlineStr">
        <is>
          <t>https://goias.gov.br/seinfra/wp-content/uploads/sites/6/2025/09/ANEXO-3.pdf</t>
        </is>
      </c>
      <c r="F14" t="inlineStr">
        <is>
          <t>2026-09-27</t>
        </is>
      </c>
      <c r="G14" t="inlineStr">
        <is>
          <t>pág. 3, ANEXO à CDPS nº /2025, item 25 'Eletricista'</t>
        </is>
      </c>
      <c r="H14" t="inlineStr">
        <is>
          <t>CDPS (Certidão de Demonstração de Pisos Salariais) vinculada à CCT SEAC-GO x SEACONS 2025/2026 (registro GO000026/2025). Reajuste de 6,77% já aplicado sobre piso 01/01/2024 (R$3.024,99).</t>
        </is>
      </c>
      <c r="I14" t="inlineStr">
        <is>
          <t>alta</t>
        </is>
      </c>
    </row>
    <row r="15">
      <c r="A15" t="inlineStr">
        <is>
          <t>Mão de obra - SEAC-GO/SEACONS (terceirização/manutenção predial)</t>
        </is>
      </c>
      <c r="B15" t="inlineStr">
        <is>
          <t>Auxiliar de Manutenção Predial - piso mensal (01/01/2025)</t>
        </is>
      </c>
      <c r="C15" t="n">
        <v>3229.78</v>
      </c>
      <c r="D15" t="inlineStr">
        <is>
          <t>R$/mês</t>
        </is>
      </c>
      <c r="E15" s="2" t="inlineStr">
        <is>
          <t>https://goias.gov.br/seinfra/wp-content/uploads/sites/6/2025/09/ANEXO-3.pdf</t>
        </is>
      </c>
      <c r="F15" t="inlineStr">
        <is>
          <t>2026-09-27</t>
        </is>
      </c>
      <c r="G15" t="inlineStr">
        <is>
          <t>pág. 3, item 11</t>
        </is>
      </c>
      <c r="H15" t="inlineStr">
        <is>
          <t>Mesmo valor da função Eletricista nesta CDPS.</t>
        </is>
      </c>
      <c r="I15" t="inlineStr">
        <is>
          <t>alta</t>
        </is>
      </c>
    </row>
    <row r="16">
      <c r="A16" t="inlineStr">
        <is>
          <t>Mão de obra - SEAC-GO/SEACONS (terceirização/manutenção predial)</t>
        </is>
      </c>
      <c r="B16" t="inlineStr">
        <is>
          <t>Ajudante/Amarrador - piso mensal (01/01/2025)</t>
        </is>
      </c>
      <c r="C16" t="n">
        <v>1601.55</v>
      </c>
      <c r="D16" t="inlineStr">
        <is>
          <t>R$/mês</t>
        </is>
      </c>
      <c r="E16" s="2" t="inlineStr">
        <is>
          <t>https://goias.gov.br/seinfra/wp-content/uploads/sites/6/2025/09/ANEXO-3.pdf</t>
        </is>
      </c>
      <c r="F16" t="inlineStr">
        <is>
          <t>2026-09-27</t>
        </is>
      </c>
      <c r="G16" t="inlineStr">
        <is>
          <t>pág. 3, item 1</t>
        </is>
      </c>
      <c r="H16" t="inlineStr">
        <is>
          <t>Piso-base da categoria (funções sem qualificação).</t>
        </is>
      </c>
      <c r="I16" t="inlineStr">
        <is>
          <t>alta</t>
        </is>
      </c>
    </row>
    <row r="17">
      <c r="A17" t="inlineStr">
        <is>
          <t>Mão de obra - SEAC-GO/SEACONS (terceirização/manutenção predial)</t>
        </is>
      </c>
      <c r="B17" t="inlineStr">
        <is>
          <t>Vigia - piso mensal (01/01/2025)</t>
        </is>
      </c>
      <c r="C17" t="n">
        <v>1768.08</v>
      </c>
      <c r="D17" t="inlineStr">
        <is>
          <t>R$/mês</t>
        </is>
      </c>
      <c r="E17" s="2" t="inlineStr">
        <is>
          <t>https://goias.gov.br/seinfra/wp-content/uploads/sites/6/2025/09/ANEXO-3.pdf</t>
        </is>
      </c>
      <c r="F17" t="inlineStr">
        <is>
          <t>2026-09-27</t>
        </is>
      </c>
      <c r="G17" t="inlineStr">
        <is>
          <t>pág. 4, item 59</t>
        </is>
      </c>
      <c r="H17" t="inlineStr"/>
      <c r="I17" t="inlineStr">
        <is>
          <t>alta</t>
        </is>
      </c>
    </row>
    <row r="18">
      <c r="A18" t="inlineStr">
        <is>
          <t>Mão de obra - SEAC-GO/SEACONS (terceirização/manutenção predial)</t>
        </is>
      </c>
      <c r="B18" t="inlineStr">
        <is>
          <t>Motorista de carros leves - piso mensal (01/01/2025)</t>
        </is>
      </c>
      <c r="C18" t="n">
        <v>2028.63</v>
      </c>
      <c r="D18" t="inlineStr">
        <is>
          <t>R$/mês</t>
        </is>
      </c>
      <c r="E18" s="2" t="inlineStr">
        <is>
          <t>https://goias.gov.br/seinfra/wp-content/uploads/sites/6/2025/09/ANEXO-3.pdf</t>
        </is>
      </c>
      <c r="F18" t="inlineStr">
        <is>
          <t>2026-09-27</t>
        </is>
      </c>
      <c r="G18" t="inlineStr">
        <is>
          <t>pág. 4, item 42</t>
        </is>
      </c>
      <c r="H18" t="inlineStr">
        <is>
          <t>Piso classificado como 'SUB JUDICE' - há decisão judicial (processo nº 0010802-64.2024.5.18.0010, TRT-18) que impede as empresas de utilizar este piso específico enquanto a disputa não é resolvida (ver cct_seac_corengo.pdf, pág. 3 e 6 desta pasta). Usar com cautela contratual.</t>
        </is>
      </c>
      <c r="I18" t="inlineStr">
        <is>
          <t>média</t>
        </is>
      </c>
    </row>
    <row r="19">
      <c r="A19" t="inlineStr">
        <is>
          <t>Mão de obra - SEAC-GO/SEACONS (terceirização/manutenção predial)</t>
        </is>
      </c>
      <c r="B19" t="inlineStr">
        <is>
          <t>Técnico em Refrigeração (CBO 9112-05) - piso mensal estimado 2026</t>
        </is>
      </c>
      <c r="C19" t="n">
        <v>3450.55</v>
      </c>
      <c r="D19" t="inlineStr">
        <is>
          <t>R$/mês</t>
        </is>
      </c>
      <c r="E19" s="2" t="inlineStr">
        <is>
          <t>https://febrac.org.br/wp-content/uploads/2026/01/GO001031.2025C-CCT-2026-2027-LIMPEZA-AMBIENTAL-ESTADO-DE-GOIAS-REGISTRADA.pdf</t>
        </is>
      </c>
      <c r="F19" t="inlineStr">
        <is>
          <t>2026-09-27</t>
        </is>
      </c>
      <c r="G19" t="inlineStr">
        <is>
          <t>pág. 2, Cláusula Terceira, §2º e §3º: 'As funções Técnico em Refrigeração (CBO 9112-05)... passarão a ter piso salarial definidos a partir da vigência desta CCT [01/01/2026]'</t>
        </is>
      </c>
      <c r="H19" t="inlineStr">
        <is>
          <t>ESTIMATIVA. A CCT 2026/2027 determina a criação de piso próprio para esta função a partir de 2026, mas a CDPS específica de 2026 (documento que traria o valor numérico definitivo) não foi localizada nesta sessão nem em busca web dedicada. Premissa adotada: aplicar o reajuste geral de 6,8340% (cláusula 3ª §3º) sobre o piso de Eletricista/Encanador 2025 (R$3.229,78, mesma faixa salarial das funções técnicas de manutenção nesta CCT) =&gt; 3.229,78 × 1,06834 = R$3.450,55. Recomenda-se confirmar com o SEAC-GO ou SEACONS a CDPS 2026 antes de fechar orçamento.</t>
        </is>
      </c>
      <c r="I19" t="inlineStr">
        <is>
          <t>baixa</t>
        </is>
      </c>
    </row>
    <row r="20">
      <c r="A20" t="inlineStr">
        <is>
          <t>Mão de obra - SEAC-GO/SEACONS</t>
        </is>
      </c>
      <c r="B20" t="inlineStr">
        <is>
          <t>Insalubridade grau médio (20% sobre salário mínimo nacional) - valor 2026</t>
        </is>
      </c>
      <c r="C20" t="n">
        <v>324.2</v>
      </c>
      <c r="D20" t="inlineStr">
        <is>
          <t>R$/mês</t>
        </is>
      </c>
      <c r="E20" s="2" t="inlineStr">
        <is>
          <t>https://goias.gov.br/seinfra/wp-content/uploads/sites/6/2025/09/ANEXO-3.pdf</t>
        </is>
      </c>
      <c r="F20" t="inlineStr">
        <is>
          <t>2026-09-27</t>
        </is>
      </c>
      <c r="G20" t="inlineStr">
        <is>
          <t>pág. 1-2 do CDPS: regra 'insalubridade em grau médio corresponde a 20% sobre o Salário Mínimo Nacional vigente' (exemplo docto: R$303,60 = 20% de R$1.518,00, SM 2025)</t>
        </is>
      </c>
      <c r="H20" t="inlineStr">
        <is>
          <t>Valor 2026 recalculado por nós: 20% × R$1.621,00 = R$324,20. A regra percentual (20%) é da fonte primária; a base 2026 é do Decreto 12.797/2025.</t>
        </is>
      </c>
      <c r="I20" t="inlineStr">
        <is>
          <t>alta</t>
        </is>
      </c>
    </row>
    <row r="21">
      <c r="A21" t="inlineStr">
        <is>
          <t>Mão de obra - SEAC-GO/SEACONS</t>
        </is>
      </c>
      <c r="B21" t="inlineStr">
        <is>
          <t>Insalubridade grau máximo (40% sobre salário mínimo nacional) - valor 2026</t>
        </is>
      </c>
      <c r="C21" t="n">
        <v>648.4</v>
      </c>
      <c r="D21" t="inlineStr">
        <is>
          <t>R$/mês</t>
        </is>
      </c>
      <c r="E21" s="2" t="inlineStr">
        <is>
          <t>https://goias.gov.br/seinfra/wp-content/uploads/sites/6/2025/09/ANEXO-3.pdf</t>
        </is>
      </c>
      <c r="F21" t="inlineStr">
        <is>
          <t>2026-09-27</t>
        </is>
      </c>
      <c r="G21" t="inlineStr">
        <is>
          <t>pág. 2 do CDPS: regra '40% sobre o Salário Mínimo Nacional vigente'</t>
        </is>
      </c>
      <c r="H21" t="inlineStr">
        <is>
          <t>Valor 2026 recalculado por nós: 40% × R$1.621,00 = R$648,40.</t>
        </is>
      </c>
      <c r="I21" t="inlineStr">
        <is>
          <t>alta</t>
        </is>
      </c>
    </row>
    <row r="22">
      <c r="A22" t="inlineStr">
        <is>
          <t>Mão de obra - SIMELGO/SINDMETAL Goiás (metalúrgicos/eletricista industrial)</t>
        </is>
      </c>
      <c r="B22" t="inlineStr">
        <is>
          <t>Piso salarial geral da categoria (1 salário mínimo + 20%) - valor 2026</t>
        </is>
      </c>
      <c r="C22" t="n">
        <v>1945.2</v>
      </c>
      <c r="D22" t="inlineStr">
        <is>
          <t>R$/mês</t>
        </is>
      </c>
      <c r="E22" s="2" t="inlineStr">
        <is>
          <t>https://sindmetalgo.com.br/wp-content/uploads/2024/04/Mediador_-_Extrato_Convencao_Coletiva_SIMELGO_ULTIMA_assinado_assinado.pdf</t>
        </is>
      </c>
      <c r="F22" t="inlineStr">
        <is>
          <t>2026-09-27</t>
        </is>
      </c>
      <c r="G22" t="inlineStr">
        <is>
          <t>Cláusula Terceira - Do Piso Salarial: 'Piso Salarial para os trabalhadores da categoria, no valor equivalente a 01 salário mínimo legal, acrescido de 20%'</t>
        </is>
      </c>
      <c r="H22" t="inlineStr">
        <is>
          <t>Texto-fonte é da CCT SIMELGO x SINDMETAL vigência 2024/2025 (a regra do piso é estável e citada também no aditivo 2025/2026, conforme simelgo.com.br/noticias, mas o PDF do aditivo 2025/2026 com o texto integral não pôde ser baixado nesta sessão - domínio bloqueado pela rede). Valor 2026 recalculado: 1,20 × R$1.621,00 = R$1.945,20. Esta é a categoria patronal correta para eletricista/mecânico industrial de manutenção (fora do regime SEAC/SINDUSCON).</t>
        </is>
      </c>
      <c r="I22" t="inlineStr">
        <is>
          <t>média</t>
        </is>
      </c>
    </row>
    <row r="23">
      <c r="A23" t="inlineStr">
        <is>
          <t>Mão de obra - Transporte rodoviário de cargas GO (SETCEG/Sindicato dos Motoristas-GO)</t>
        </is>
      </c>
      <c r="B23" t="inlineStr">
        <is>
          <t>Motorista de caminhão (categoria geral, 'Demais Motoristas de caminhão') - piso mensal</t>
        </is>
      </c>
      <c r="C23" t="n">
        <v>1870</v>
      </c>
      <c r="D23" t="inlineStr">
        <is>
          <t>R$/mês</t>
        </is>
      </c>
      <c r="E23" s="2" t="inlineStr">
        <is>
          <t>https://www.setceg.org.br/wp-content/uploads/2026/05/CCT-CARGA-2026-2028.pdf</t>
        </is>
      </c>
      <c r="F23" t="inlineStr">
        <is>
          <t>2026-09-27</t>
        </is>
      </c>
      <c r="G23" t="inlineStr">
        <is>
          <t>pág. 2, Cláusula Terceira - Salário Mínimo Profissional, item 'b': 'Demais Motoristas de caminhão ______________R$ 1.870,00', vigente a partir de 1º de maio de 2026</t>
        </is>
      </c>
      <c r="H23" t="inlineStr">
        <is>
          <t>CCT 2026/2028 registrada no MTE sob nº SRT00166/2026 em 26/05/2026, firmada entre o SINDICATO DOS TRABALHADORES EM TRANSP RODOV NO EST GO e o SETCEG (Sindicato das Empresas de Transportes de Cargas e Logística do Estado de Goiás). Este é o piso correto e específico de Goiás para 'motorista de caminhão' genérico (substitui a estimativa anterior).</t>
        </is>
      </c>
      <c r="I23" t="inlineStr">
        <is>
          <t>alta</t>
        </is>
      </c>
    </row>
    <row r="24">
      <c r="A24" t="inlineStr">
        <is>
          <t>Mão de obra - Transporte rodoviário de cargas GO (SETCEG/Sindicato dos Motoristas-GO)</t>
        </is>
      </c>
      <c r="B24" t="inlineStr">
        <is>
          <t>Motorista Carreteiro - piso mensal</t>
        </is>
      </c>
      <c r="C24" t="n">
        <v>2018</v>
      </c>
      <c r="D24" t="inlineStr">
        <is>
          <t>R$/mês</t>
        </is>
      </c>
      <c r="E24" s="2" t="inlineStr">
        <is>
          <t>https://www.setceg.org.br/wp-content/uploads/2026/05/CCT-CARGA-2026-2028.pdf</t>
        </is>
      </c>
      <c r="F24" t="inlineStr">
        <is>
          <t>2026-09-27</t>
        </is>
      </c>
      <c r="G24" t="inlineStr">
        <is>
          <t>pág. 2, Cláusula Terceira, item 'a': 'Motoristas Carreteiros R$ 2.018,00'</t>
        </is>
      </c>
      <c r="H24" t="inlineStr">
        <is>
          <t>Categoria de motorista de caminhões de carga pesada/longa distância (carretas). Recebe ainda adicional de 20% quando conduzir bitrem/tritrem/rodotrem/treminhão (Parágrafo Primeiro da mesma cláusula).</t>
        </is>
      </c>
      <c r="I24" t="inlineStr">
        <is>
          <t>alta</t>
        </is>
      </c>
    </row>
    <row r="25">
      <c r="A25" t="inlineStr">
        <is>
          <t>Mão de obra - Transporte rodoviário de cargas GO (SETCEG/Sindicato dos Motoristas-GO)</t>
        </is>
      </c>
      <c r="B25" t="inlineStr">
        <is>
          <t>Motorista de Carros Leves de Carga - piso mensal</t>
        </is>
      </c>
      <c r="C25" t="n">
        <v>1715</v>
      </c>
      <c r="D25" t="inlineStr">
        <is>
          <t>R$/mês</t>
        </is>
      </c>
      <c r="E25" s="2" t="inlineStr">
        <is>
          <t>https://www.setceg.org.br/wp-content/uploads/2026/05/CCT-CARGA-2026-2028.pdf</t>
        </is>
      </c>
      <c r="F25" t="inlineStr">
        <is>
          <t>2026-09-27</t>
        </is>
      </c>
      <c r="G25" t="inlineStr">
        <is>
          <t>pág. 2, Cláusula Terceira, item 'c': 'Motorista de Carros Leves de Carga R$ 1.715,00'</t>
        </is>
      </c>
      <c r="H25" t="inlineStr">
        <is>
          <t>Útil como piso de referência para veículo leve de apoio/entrega em equipes de manutenção.</t>
        </is>
      </c>
      <c r="I25" t="inlineStr">
        <is>
          <t>alta</t>
        </is>
      </c>
    </row>
    <row r="26">
      <c r="A26" t="inlineStr">
        <is>
          <t>Mão de obra - Transporte rodoviário de cargas GO (SETCEG/Sindicato dos Motoristas-GO)</t>
        </is>
      </c>
      <c r="B26" t="inlineStr">
        <is>
          <t>Ajudantes/Carregadores - piso mensal</t>
        </is>
      </c>
      <c r="C26" t="n">
        <v>1650</v>
      </c>
      <c r="D26" t="inlineStr">
        <is>
          <t>R$/mês</t>
        </is>
      </c>
      <c r="E26" s="2" t="inlineStr">
        <is>
          <t>https://www.setceg.org.br/wp-content/uploads/2026/05/CCT-CARGA-2026-2028.pdf</t>
        </is>
      </c>
      <c r="F26" t="inlineStr">
        <is>
          <t>2026-09-27</t>
        </is>
      </c>
      <c r="G26" t="inlineStr">
        <is>
          <t>pág. 2, Cláusula Terceira, item 'e': 'Ajudantes/Carregadores R$ 1.650,00'</t>
        </is>
      </c>
      <c r="H26" t="inlineStr">
        <is>
          <t>Categoria patronal correta para 'ajudante' quando vinculado a operação de transporte/carga (alternativa aos pisos de ajudante já registrados via CCT da construção civil e SEAC/SEACONS, a depender de qual sindicato rege o contrato de terceirização).</t>
        </is>
      </c>
      <c r="I26" t="inlineStr">
        <is>
          <t>alta</t>
        </is>
      </c>
    </row>
    <row r="27">
      <c r="A27" t="inlineStr">
        <is>
          <t>Mão de obra - Transporte rodoviário de cargas (referência nacional/SP - Sindicargas Superpesa, NÃO é piso de Goiás)</t>
        </is>
      </c>
      <c r="B27" t="inlineStr">
        <is>
          <t>Operador de Guindaste Médio (acima de 45 até 150 toneladas) - piso mensal</t>
        </is>
      </c>
      <c r="C27" t="n">
        <v>3242.84</v>
      </c>
      <c r="D27" t="inlineStr">
        <is>
          <t>R$/mês</t>
        </is>
      </c>
      <c r="E27" s="2" t="inlineStr">
        <is>
          <t>https://sindipesa.org.br/wp-content/uploads/2025/09/CCT-SINDICARGAS-2025.2026-REGISTRADA.pdf</t>
        </is>
      </c>
      <c r="F27" t="inlineStr">
        <is>
          <t>2026-09-27</t>
        </is>
      </c>
      <c r="G27" t="inlineStr">
        <is>
          <t>Quadro de pisos salariais da Cláusula Terceira: 'Operador de Guindaste Médio (acima de 45 até 150 toneladas) R$ 3.151,06 (mai/2025) / R$ 3.242,84 (out/2025)'</t>
        </is>
      </c>
      <c r="H27" t="inlineStr">
        <is>
          <t>ATENÇÃO: esta CCT é registrada em SÃO PAULO (registro MTE SP008810/2025), entre o SINDICARGAS-SIND DOS EMPREG EM EMPR DE TRANSP ROD SUPERPESA e o SIND NAC EMP TRANSP MOVIM CARGAS PESADAS E EXCEPCIONAIS - NÃO é um piso vigente em Goiás. Trazido apenas como referência nacional de mercado para a função 'motorista/operador de munck e guindaste', já que nenhuma CCT de Goiás encontrada nesta sessão (SETCEG, SEAC/SEACONS, SINDUSCON) lista piso próprio para essa função específica.</t>
        </is>
      </c>
      <c r="I27" t="inlineStr">
        <is>
          <t>baixa</t>
        </is>
      </c>
    </row>
    <row r="28">
      <c r="A28" t="inlineStr">
        <is>
          <t>Mão de obra - Transporte rodoviário de cargas (referência nacional/SP - Sindicargas Superpesa, NÃO é piso de Goiás)</t>
        </is>
      </c>
      <c r="B28" t="inlineStr">
        <is>
          <t>Eletricista de Manutenção (categoria de transporte/frota) - piso mensal</t>
        </is>
      </c>
      <c r="C28" t="n">
        <v>2642.51</v>
      </c>
      <c r="D28" t="inlineStr">
        <is>
          <t>R$/mês</t>
        </is>
      </c>
      <c r="E28" s="2" t="inlineStr">
        <is>
          <t>https://sindipesa.org.br/wp-content/uploads/2025/09/CCT-SINDICARGAS-2025.2026-REGISTRADA.pdf</t>
        </is>
      </c>
      <c r="F28" t="inlineStr">
        <is>
          <t>2026-09-27</t>
        </is>
      </c>
      <c r="G28" t="inlineStr">
        <is>
          <t>Quadro de pisos salariais da Cláusula Terceira: 'Eletricista de Manutenção R$ 2.567,72 (mai/2025) / R$ 2.642,51 (out/2025)'</t>
        </is>
      </c>
      <c r="H28" t="inlineStr">
        <is>
          <t>Mesma ressalva do item acima: CCT de São Paulo (Sindicargas Superpesa), não de Goiás. Trazido apenas como ponto de comparação nacional para a função de eletricista de manutenção em frotas/transporte.</t>
        </is>
      </c>
      <c r="I28" t="inlineStr">
        <is>
          <t>baixa</t>
        </is>
      </c>
    </row>
    <row r="29">
      <c r="A29" t="inlineStr">
        <is>
          <t>Encargos sociais SINAPI</t>
        </is>
      </c>
      <c r="B29" t="inlineStr">
        <is>
          <t>Encargos sociais Horista - Goiás - COM DESONERAÇÃO (vigência 01/2026, 8ª edição CAIXA)</t>
        </is>
      </c>
      <c r="C29" t="n">
        <v>93.22</v>
      </c>
      <c r="D29" t="inlineStr">
        <is>
          <t>% sobre salário</t>
        </is>
      </c>
      <c r="E29" s="2" t="inlineStr">
        <is>
          <t>https://www.caixa.gov.br/Downloads/sinapi-metodologia/Livro_SINAPI_Calculos_Parametros.pdf</t>
        </is>
      </c>
      <c r="F29" t="inlineStr">
        <is>
          <t>2026-09-27</t>
        </is>
      </c>
      <c r="G29" t="inlineStr">
        <is>
          <t>Apêndice 9 - Encargos Sociais - Goiás, pág. 91-92 do livro (vigência 01/2026): tabela com colunas HORISTA e MENSALISTA, cada uma em 'COM DESONERAÇÃO' e 'SEM DESONERAÇÃO'; linha 'TOTAL(A+B+C+D)' = 93,22% / 57,47% / 107,72% / 69,28% respectivamente</t>
        </is>
      </c>
      <c r="H29"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29" t="inlineStr">
        <is>
          <t>alta</t>
        </is>
      </c>
    </row>
    <row r="30">
      <c r="A30" t="inlineStr">
        <is>
          <t>Encargos sociais SINAPI</t>
        </is>
      </c>
      <c r="B30" t="inlineStr">
        <is>
          <t>Encargos sociais Mensalista - Goiás - COM DESONERAÇÃO (vigência 01/2026, 8ª edição CAIXA)</t>
        </is>
      </c>
      <c r="C30" t="n">
        <v>57.47</v>
      </c>
      <c r="D30" t="inlineStr">
        <is>
          <t>% sobre salário</t>
        </is>
      </c>
      <c r="E30" s="2" t="inlineStr">
        <is>
          <t>https://www.caixa.gov.br/Downloads/sinapi-metodologia/Livro_SINAPI_Calculos_Parametros.pdf</t>
        </is>
      </c>
      <c r="F30" t="inlineStr">
        <is>
          <t>2026-09-27</t>
        </is>
      </c>
      <c r="G30" t="inlineStr">
        <is>
          <t>Apêndice 9 - Encargos Sociais - Goiás, pág. 91-92 do livro (vigência 01/2026): tabela com colunas HORISTA e MENSALISTA, cada uma em 'COM DESONERAÇÃO' e 'SEM DESONERAÇÃO'; linha 'TOTAL(A+B+C+D)' = 93,22% / 57,47% / 107,72% / 69,28% respectivamente</t>
        </is>
      </c>
      <c r="H30"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30" t="inlineStr">
        <is>
          <t>alta</t>
        </is>
      </c>
    </row>
    <row r="31">
      <c r="A31" t="inlineStr">
        <is>
          <t>Encargos sociais SINAPI</t>
        </is>
      </c>
      <c r="B31" t="inlineStr">
        <is>
          <t>Encargos sociais Horista - Goiás - SEM DESONERAÇÃO (vigência 01/2026, 8ª edição CAIXA)</t>
        </is>
      </c>
      <c r="C31" t="n">
        <v>107.72</v>
      </c>
      <c r="D31" t="inlineStr">
        <is>
          <t>% sobre salário</t>
        </is>
      </c>
      <c r="E31" s="2" t="inlineStr">
        <is>
          <t>https://www.caixa.gov.br/Downloads/sinapi-metodologia/Livro_SINAPI_Calculos_Parametros.pdf</t>
        </is>
      </c>
      <c r="F31" t="inlineStr">
        <is>
          <t>2026-09-27</t>
        </is>
      </c>
      <c r="G31" t="inlineStr">
        <is>
          <t>Apêndice 9 - Encargos Sociais - Goiás, pág. 91-92 do livro (vigência 01/2026): tabela com colunas HORISTA e MENSALISTA, cada uma em 'COM DESONERAÇÃO' e 'SEM DESONERAÇÃO'; linha 'TOTAL(A+B+C+D)' = 93,22% / 57,47% / 107,72% / 69,28% respectivamente</t>
        </is>
      </c>
      <c r="H31"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31" t="inlineStr">
        <is>
          <t>alta</t>
        </is>
      </c>
    </row>
    <row r="32">
      <c r="A32" t="inlineStr">
        <is>
          <t>Encargos sociais SINAPI</t>
        </is>
      </c>
      <c r="B32" t="inlineStr">
        <is>
          <t>Encargos sociais Mensalista - Goiás - SEM DESONERAÇÃO (vigência 01/2026, 8ª edição CAIXA)</t>
        </is>
      </c>
      <c r="C32" t="n">
        <v>69.28</v>
      </c>
      <c r="D32" t="inlineStr">
        <is>
          <t>% sobre salário</t>
        </is>
      </c>
      <c r="E32" s="2" t="inlineStr">
        <is>
          <t>https://www.caixa.gov.br/Downloads/sinapi-metodologia/Livro_SINAPI_Calculos_Parametros.pdf</t>
        </is>
      </c>
      <c r="F32" t="inlineStr">
        <is>
          <t>2026-09-27</t>
        </is>
      </c>
      <c r="G32" t="inlineStr">
        <is>
          <t>Apêndice 9 - Encargos Sociais - Goiás, pág. 91-92 do livro (vigência 01/2026): tabela com colunas HORISTA e MENSALISTA, cada uma em 'COM DESONERAÇÃO' e 'SEM DESONERAÇÃO'; linha 'TOTAL(A+B+C+D)' = 93,22% / 57,47% / 107,72% / 69,28% respectivamente</t>
        </is>
      </c>
      <c r="H32"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32" t="inlineStr">
        <is>
          <t>alta</t>
        </is>
      </c>
    </row>
    <row r="33">
      <c r="A33" t="inlineStr">
        <is>
          <t>Encargos sociais SINAPI</t>
        </is>
      </c>
      <c r="B33" t="inlineStr">
        <is>
          <t>Qual usar: recomendação para o estudo de margem</t>
        </is>
      </c>
      <c r="C33" t="inlineStr">
        <is>
          <t>SEM DESONERAÇÃO + regime HORISTA para mão de obra de campo (eletricista, ajudante, técnico); MENSALISTA apenas para encarregados/administrativos com salário mensal fixo sem medição por hora</t>
        </is>
      </c>
      <c r="D33" t="inlineStr">
        <is>
          <t>-</t>
        </is>
      </c>
      <c r="E33" s="2" t="inlineStr">
        <is>
          <t>https://www.caixa.gov.br/Downloads/sinapi-metodologia/Livro_SINAPI_Calculos_Parametros.pdf</t>
        </is>
      </c>
      <c r="F33" t="inlineStr">
        <is>
          <t>2026-09-27</t>
        </is>
      </c>
      <c r="G33" t="inlineStr">
        <is>
          <t>Livro SINAPI - Cálculos e Parâmetros, 8ª Edição (Fevereiro/2026), Apêndice 9 - Goiás</t>
        </is>
      </c>
      <c r="H33" t="inlineStr">
        <is>
          <t>Recomendação de uso, não um dado de fonte: a maior parte das composições SINAPI de mão de obra usa HORISTA; o regime 'sem desoneração' (CPP patronal cheia de 20%) é o padrão desde a Lei 14.973/2024 para quem não aderiu à desoneração da folha (CPRB), o que é o caso típico de pequenas empresas prestadoras de serviço de manutenção. Confirmar o enquadramento tributário real da empresa licitante antes de decidir entre os dois regimes.</t>
        </is>
      </c>
      <c r="I33" t="inlineStr">
        <is>
          <t>média</t>
        </is>
      </c>
    </row>
    <row r="34">
      <c r="A34" t="inlineStr">
        <is>
          <t>BDI - Acórdão TCU 2622/2013</t>
        </is>
      </c>
      <c r="B34" t="inlineStr">
        <is>
          <t>Faixa BDI - Construção de Edifícios - 1º quartil</t>
        </is>
      </c>
      <c r="C34" t="n">
        <v>20.34</v>
      </c>
      <c r="D34" t="inlineStr">
        <is>
          <t>%</t>
        </is>
      </c>
      <c r="E34" s="2" t="inlineStr">
        <is>
          <t>https://www.editais.uff.br/sites/default/files/arquivos/Base%20BDI%20-%20Ac%C3%B3rd%C3%A3o-2622-2013.pdf</t>
        </is>
      </c>
      <c r="F34" t="inlineStr">
        <is>
          <t>2026-09-27</t>
        </is>
      </c>
      <c r="G34" t="inlineStr">
        <is>
          <t>pág. 1, item 9.1, tabela 'VALORES DO BDI POR TIPO DE OBRA', linha 'CONSTRUÇÃO DE EDIFÍCIOS'</t>
        </is>
      </c>
      <c r="H34"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4" t="inlineStr">
        <is>
          <t>alta</t>
        </is>
      </c>
    </row>
    <row r="35">
      <c r="A35" t="inlineStr">
        <is>
          <t>BDI - Acórdão TCU 2622/2013</t>
        </is>
      </c>
      <c r="B35" t="inlineStr">
        <is>
          <t>Faixa BDI - Construção de Edifícios - médio</t>
        </is>
      </c>
      <c r="C35" t="n">
        <v>22.12</v>
      </c>
      <c r="D35" t="inlineStr">
        <is>
          <t>%</t>
        </is>
      </c>
      <c r="E35" s="2" t="inlineStr">
        <is>
          <t>https://www.editais.uff.br/sites/default/files/arquivos/Base%20BDI%20-%20Ac%C3%B3rd%C3%A3o-2622-2013.pdf</t>
        </is>
      </c>
      <c r="F35" t="inlineStr">
        <is>
          <t>2026-09-27</t>
        </is>
      </c>
      <c r="G35" t="inlineStr">
        <is>
          <t>pág. 1, mesma tabela, coluna 'Médio'</t>
        </is>
      </c>
      <c r="H35"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5" t="inlineStr">
        <is>
          <t>alta</t>
        </is>
      </c>
    </row>
    <row r="36">
      <c r="A36" t="inlineStr">
        <is>
          <t>BDI - Acórdão TCU 2622/2013</t>
        </is>
      </c>
      <c r="B36" t="inlineStr">
        <is>
          <t>Faixa BDI - Construção de Edifícios - 3º quartil</t>
        </is>
      </c>
      <c r="C36" t="n">
        <v>25</v>
      </c>
      <c r="D36" t="inlineStr">
        <is>
          <t>%</t>
        </is>
      </c>
      <c r="E36" s="2" t="inlineStr">
        <is>
          <t>https://www.editais.uff.br/sites/default/files/arquivos/Base%20BDI%20-%20Ac%C3%B3rd%C3%A3o-2622-2013.pdf</t>
        </is>
      </c>
      <c r="F36" t="inlineStr">
        <is>
          <t>2026-09-27</t>
        </is>
      </c>
      <c r="G36" t="inlineStr">
        <is>
          <t>pág. 1, mesma tabela, coluna '3º Quartil'</t>
        </is>
      </c>
      <c r="H36"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6" t="inlineStr">
        <is>
          <t>alta</t>
        </is>
      </c>
    </row>
    <row r="37">
      <c r="A37" t="inlineStr">
        <is>
          <t>BDI - Acórdão TCU 2622/2013</t>
        </is>
      </c>
      <c r="B37" t="inlineStr">
        <is>
          <t>Faixa BDI - Construção e Manutenção de Estações e Redes de Distribuição de Energia Elétrica - 1º quartil</t>
        </is>
      </c>
      <c r="C37" t="n">
        <v>24</v>
      </c>
      <c r="D37" t="inlineStr">
        <is>
          <t>%</t>
        </is>
      </c>
      <c r="E37" s="2" t="inlineStr">
        <is>
          <t>https://www.editais.uff.br/sites/default/files/arquivos/Base%20BDI%20-%20Ac%C3%B3rd%C3%A3o-2622-2013.pdf</t>
        </is>
      </c>
      <c r="F37" t="inlineStr">
        <is>
          <t>2026-09-27</t>
        </is>
      </c>
      <c r="G37" t="inlineStr">
        <is>
          <t>pág. 1, mesma tabela, linha 'CONSTRUÇÃO E MANUTENÇÃO DE ESTAÇÕES E REDES DE DISTRIBUIÇÃO DE ENERGIA ELÉTRICA'</t>
        </is>
      </c>
      <c r="H37"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7" t="inlineStr">
        <is>
          <t>alta</t>
        </is>
      </c>
    </row>
    <row r="38">
      <c r="A38" t="inlineStr">
        <is>
          <t>BDI - Acórdão TCU 2622/2013</t>
        </is>
      </c>
      <c r="B38" t="inlineStr">
        <is>
          <t>Faixa BDI - Construção e Manutenção de Estações e Redes de Distribuição de Energia Elétrica - médio</t>
        </is>
      </c>
      <c r="C38" t="n">
        <v>25.84</v>
      </c>
      <c r="D38" t="inlineStr">
        <is>
          <t>%</t>
        </is>
      </c>
      <c r="E38" s="2" t="inlineStr">
        <is>
          <t>https://www.editais.uff.br/sites/default/files/arquivos/Base%20BDI%20-%20Ac%C3%B3rd%C3%A3o-2622-2013.pdf</t>
        </is>
      </c>
      <c r="F38" t="inlineStr">
        <is>
          <t>2026-09-27</t>
        </is>
      </c>
      <c r="G38" t="inlineStr">
        <is>
          <t>pág. 1, mesma tabela, coluna 'Médio'</t>
        </is>
      </c>
      <c r="H38"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8" t="inlineStr">
        <is>
          <t>alta</t>
        </is>
      </c>
    </row>
    <row r="39">
      <c r="A39" t="inlineStr">
        <is>
          <t>BDI - Acórdão TCU 2622/2013</t>
        </is>
      </c>
      <c r="B39" t="inlineStr">
        <is>
          <t>Faixa BDI - Construção e Manutenção de Estações e Redes de Distribuição de Energia Elétrica - 3º quartil</t>
        </is>
      </c>
      <c r="C39" t="n">
        <v>27.86</v>
      </c>
      <c r="D39" t="inlineStr">
        <is>
          <t>%</t>
        </is>
      </c>
      <c r="E39" s="2" t="inlineStr">
        <is>
          <t>https://www.editais.uff.br/sites/default/files/arquivos/Base%20BDI%20-%20Ac%C3%B3rd%C3%A3o-2622-2013.pdf</t>
        </is>
      </c>
      <c r="F39" t="inlineStr">
        <is>
          <t>2026-09-27</t>
        </is>
      </c>
      <c r="G39" t="inlineStr">
        <is>
          <t>pág. 1, mesma tabela, coluna '3º Quartil'</t>
        </is>
      </c>
      <c r="H39"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9" t="inlineStr">
        <is>
          <t>alta</t>
        </is>
      </c>
    </row>
    <row r="40">
      <c r="A40" t="inlineStr">
        <is>
          <t>BDI - Acórdão TCU 2622/2013</t>
        </is>
      </c>
      <c r="B40" t="inlineStr">
        <is>
          <t>Faixa BDI - Construção de Rodovias e Ferrovias (1ºQ / médio / 3ºQ)</t>
        </is>
      </c>
      <c r="C40" t="inlineStr">
        <is>
          <t>19,60% / 20,97% / 24,23%</t>
        </is>
      </c>
      <c r="D40" t="inlineStr">
        <is>
          <t>%</t>
        </is>
      </c>
      <c r="E40" s="2" t="inlineStr">
        <is>
          <t>https://www.editais.uff.br/sites/default/files/arquivos/Base%20BDI%20-%20Ac%C3%B3rd%C3%A3o-2622-2013.pdf</t>
        </is>
      </c>
      <c r="F40" t="inlineStr">
        <is>
          <t>2026-09-27</t>
        </is>
      </c>
      <c r="G40" t="inlineStr">
        <is>
          <t>pág. 1, mesma tabela</t>
        </is>
      </c>
      <c r="H40"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0" t="inlineStr">
        <is>
          <t>alta</t>
        </is>
      </c>
    </row>
    <row r="41">
      <c r="A41" t="inlineStr">
        <is>
          <t>BDI - Acórdão TCU 2622/2013</t>
        </is>
      </c>
      <c r="B41" t="inlineStr">
        <is>
          <t>Faixa BDI - Construção de Redes de Abastecimento de Água, Coleta de Esgoto e Construções Correlatas (1ºQ / médio / 3ºQ)</t>
        </is>
      </c>
      <c r="C41" t="inlineStr">
        <is>
          <t>20,76% / 24,18% / 26,44%</t>
        </is>
      </c>
      <c r="D41" t="inlineStr">
        <is>
          <t>%</t>
        </is>
      </c>
      <c r="E41" s="2" t="inlineStr">
        <is>
          <t>https://www.editais.uff.br/sites/default/files/arquivos/Base%20BDI%20-%20Ac%C3%B3rd%C3%A3o-2622-2013.pdf</t>
        </is>
      </c>
      <c r="F41" t="inlineStr">
        <is>
          <t>2026-09-27</t>
        </is>
      </c>
      <c r="G41" t="inlineStr">
        <is>
          <t>pág. 1, mesma tabela</t>
        </is>
      </c>
      <c r="H41"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1" t="inlineStr">
        <is>
          <t>alta</t>
        </is>
      </c>
    </row>
    <row r="42">
      <c r="A42" t="inlineStr">
        <is>
          <t>BDI - Acórdão TCU 2622/2013</t>
        </is>
      </c>
      <c r="B42" t="inlineStr">
        <is>
          <t>Faixa BDI - Obras Portuárias, Marítimas e Fluviais (1ºQ / médio / 3ºQ)</t>
        </is>
      </c>
      <c r="C42" t="inlineStr">
        <is>
          <t>22,80% / 27,48% / 30,95%</t>
        </is>
      </c>
      <c r="D42" t="inlineStr">
        <is>
          <t>%</t>
        </is>
      </c>
      <c r="E42" s="2" t="inlineStr">
        <is>
          <t>https://www.editais.uff.br/sites/default/files/arquivos/Base%20BDI%20-%20Ac%C3%B3rd%C3%A3o-2622-2013.pdf</t>
        </is>
      </c>
      <c r="F42" t="inlineStr">
        <is>
          <t>2026-09-27</t>
        </is>
      </c>
      <c r="G42" t="inlineStr">
        <is>
          <t>pág. 1, mesma tabela</t>
        </is>
      </c>
      <c r="H42"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2" t="inlineStr">
        <is>
          <t>alta</t>
        </is>
      </c>
    </row>
    <row r="43">
      <c r="A43" t="inlineStr">
        <is>
          <t>BDI - Acórdão TCU 2622/2013</t>
        </is>
      </c>
      <c r="B43" t="inlineStr">
        <is>
          <t>Faixa BDI para itens de mero fornecimento de materiais e equipamentos (1ºQ / médio / 3ºQ)</t>
        </is>
      </c>
      <c r="C43" t="inlineStr">
        <is>
          <t>11,10% / 14,02% / 16,80%</t>
        </is>
      </c>
      <c r="D43" t="inlineStr">
        <is>
          <t>%</t>
        </is>
      </c>
      <c r="E43" s="2" t="inlineStr">
        <is>
          <t>https://www.editais.uff.br/sites/default/files/arquivos/Base%20BDI%20-%20Ac%C3%B3rd%C3%A3o-2622-2013.pdf</t>
        </is>
      </c>
      <c r="F43" t="inlineStr">
        <is>
          <t>2026-09-27</t>
        </is>
      </c>
      <c r="G43" t="inlineStr">
        <is>
          <t>pág. 1, tabela 'BDI PARA ITENS DE MERO FORNECIMENTO DE MATERIAIS E EQUIPAMENTOS'</t>
        </is>
      </c>
      <c r="H43"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3" t="inlineStr">
        <is>
          <t>alta</t>
        </is>
      </c>
    </row>
    <row r="44">
      <c r="A44" t="inlineStr">
        <is>
          <t>BDI - Acórdão TCU 2622/2013 - Composição (Construção de Edifícios)</t>
        </is>
      </c>
      <c r="B44" t="inlineStr">
        <is>
          <t>AC - Administração Central (1ºQ / médio / 3ºQ)</t>
        </is>
      </c>
      <c r="C44" t="inlineStr">
        <is>
          <t>3,00% / 4,00% / 5,50%</t>
        </is>
      </c>
      <c r="D44" t="inlineStr">
        <is>
          <t>%</t>
        </is>
      </c>
      <c r="E44" s="2" t="inlineStr">
        <is>
          <t>https://www.editais.uff.br/sites/default/files/arquivos/Base%20BDI%20-%20Ac%C3%B3rd%C3%A3o-2622-2013.pdf</t>
        </is>
      </c>
      <c r="F44" t="inlineStr">
        <is>
          <t>2026-09-27</t>
        </is>
      </c>
      <c r="G44" t="inlineStr">
        <is>
          <t>pág. 2, item 9.2.1, tabela de componentes, linha 'CONSTRUÇÃO DE EDIFÍCIOS', coluna 'ADMINISTRAÇÃO CENTRAL'</t>
        </is>
      </c>
      <c r="H44"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4" t="inlineStr">
        <is>
          <t>alta</t>
        </is>
      </c>
    </row>
    <row r="45">
      <c r="A45" t="inlineStr">
        <is>
          <t>BDI - Acórdão TCU 2622/2013 - Composição (Construção de Edifícios)</t>
        </is>
      </c>
      <c r="B45" t="inlineStr">
        <is>
          <t>Seguro + Garantia (1ºQ / médio / 3ºQ)</t>
        </is>
      </c>
      <c r="C45" t="inlineStr">
        <is>
          <t>0,80% / 0,80% / 1,00%</t>
        </is>
      </c>
      <c r="D45" t="inlineStr">
        <is>
          <t>%</t>
        </is>
      </c>
      <c r="E45" s="2" t="inlineStr">
        <is>
          <t>https://www.editais.uff.br/sites/default/files/arquivos/Base%20BDI%20-%20Ac%C3%B3rd%C3%A3o-2622-2013.pdf</t>
        </is>
      </c>
      <c r="F45" t="inlineStr">
        <is>
          <t>2026-09-27</t>
        </is>
      </c>
      <c r="G45" t="inlineStr">
        <is>
          <t>pág. 2, mesma tabela, coluna 'SEGURO + GARANTIA' (o Acórdão trata seguro e garantia como uma única parcela, não separa 'S' de 'G')</t>
        </is>
      </c>
      <c r="H45"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5" t="inlineStr">
        <is>
          <t>alta</t>
        </is>
      </c>
    </row>
    <row r="46">
      <c r="A46" t="inlineStr">
        <is>
          <t>BDI - Acórdão TCU 2622/2013 - Composição (Construção de Edifícios)</t>
        </is>
      </c>
      <c r="B46" t="inlineStr">
        <is>
          <t>R - Risco (1ºQ / médio / 3ºQ)</t>
        </is>
      </c>
      <c r="C46" t="inlineStr">
        <is>
          <t>0,97% / 1,27% / 1,27%</t>
        </is>
      </c>
      <c r="D46" t="inlineStr">
        <is>
          <t>%</t>
        </is>
      </c>
      <c r="E46" s="2" t="inlineStr">
        <is>
          <t>https://www.editais.uff.br/sites/default/files/arquivos/Base%20BDI%20-%20Ac%C3%B3rd%C3%A3o-2622-2013.pdf</t>
        </is>
      </c>
      <c r="F46" t="inlineStr">
        <is>
          <t>2026-09-27</t>
        </is>
      </c>
      <c r="G46" t="inlineStr">
        <is>
          <t>pág. 2, mesma tabela, coluna 'RISCO'</t>
        </is>
      </c>
      <c r="H46"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6" t="inlineStr">
        <is>
          <t>alta</t>
        </is>
      </c>
    </row>
    <row r="47">
      <c r="A47" t="inlineStr">
        <is>
          <t>BDI - Acórdão TCU 2622/2013 - Composição (Construção de Edifícios)</t>
        </is>
      </c>
      <c r="B47" t="inlineStr">
        <is>
          <t>DF - Despesa Financeira (1ºQ / médio / 3ºQ)</t>
        </is>
      </c>
      <c r="C47" t="inlineStr">
        <is>
          <t>0,59% / 1,23% / 1,39%</t>
        </is>
      </c>
      <c r="D47" t="inlineStr">
        <is>
          <t>%</t>
        </is>
      </c>
      <c r="E47" s="2" t="inlineStr">
        <is>
          <t>https://www.editais.uff.br/sites/default/files/arquivos/Base%20BDI%20-%20Ac%C3%B3rd%C3%A3o-2622-2013.pdf</t>
        </is>
      </c>
      <c r="F47" t="inlineStr">
        <is>
          <t>2026-09-27</t>
        </is>
      </c>
      <c r="G47" t="inlineStr">
        <is>
          <t>pág. 2, tabela 'DESPESA FINANCEIRA / LUCRO', linha Edifícios</t>
        </is>
      </c>
      <c r="H47"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7" t="inlineStr">
        <is>
          <t>alta</t>
        </is>
      </c>
    </row>
    <row r="48">
      <c r="A48" t="inlineStr">
        <is>
          <t>BDI - Acórdão TCU 2622/2013 - Composição (Construção de Edifícios)</t>
        </is>
      </c>
      <c r="B48" t="inlineStr">
        <is>
          <t>L - Lucro (1ºQ / médio / 3ºQ)</t>
        </is>
      </c>
      <c r="C48" t="inlineStr">
        <is>
          <t>6,16% / 7,40% / 8,96%</t>
        </is>
      </c>
      <c r="D48" t="inlineStr">
        <is>
          <t>%</t>
        </is>
      </c>
      <c r="E48" s="2" t="inlineStr">
        <is>
          <t>https://www.editais.uff.br/sites/default/files/arquivos/Base%20BDI%20-%20Ac%C3%B3rd%C3%A3o-2622-2013.pdf</t>
        </is>
      </c>
      <c r="F48" t="inlineStr">
        <is>
          <t>2026-09-27</t>
        </is>
      </c>
      <c r="G48" t="inlineStr">
        <is>
          <t>pág. 2, mesma tabela, colunas 'LUCRO'</t>
        </is>
      </c>
      <c r="H48"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8" t="inlineStr">
        <is>
          <t>alta</t>
        </is>
      </c>
    </row>
    <row r="49">
      <c r="A49" t="inlineStr">
        <is>
          <t>BDI - Acórdão TCU 2622/2013 - Composição (Construção e Manutenção de Estações e Redes de Distribuição de Energia Elétrica)</t>
        </is>
      </c>
      <c r="B49" t="inlineStr">
        <is>
          <t>AC - Administração Central (1ºQ / médio / 3ºQ)</t>
        </is>
      </c>
      <c r="C49" t="inlineStr">
        <is>
          <t>5,29% / 5,92% / 7,93%</t>
        </is>
      </c>
      <c r="D49" t="inlineStr">
        <is>
          <t>%</t>
        </is>
      </c>
      <c r="E49" s="2" t="inlineStr">
        <is>
          <t>https://www.editais.uff.br/sites/default/files/arquivos/Base%20BDI%20-%20Ac%C3%B3rd%C3%A3o-2622-2013.pdf</t>
        </is>
      </c>
      <c r="F49" t="inlineStr">
        <is>
          <t>2026-09-27</t>
        </is>
      </c>
      <c r="G49" t="inlineStr">
        <is>
          <t>pág. 2, item 9.2.1, tabela de componentes, linha 'CONSTRUÇÃO DE MANUTENÇÃO DE ESTAÇÕES E REDES DE DISTRIBUIÇÃO DE ENERGIA ELÉTRICA' (grafia com pequena inconsistência no próprio documento oficial: 'MANUNTEÇÃO'/'MANUTENÇÃO'), coluna 'ADMINISTRAÇÃO CENTRAL'</t>
        </is>
      </c>
      <c r="H49"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 IMPORTANTE: este valor de AC (5,29/5,92/7,93%) é DIFERENTE do valor de AC para Edificações (3,00/4,00/5,50%) - cada tipo de obra tem sua própria composição no Acórdão, não deve ser usado um conjunto único de AC/Seguro+Garantia/Risco/DF/Lucro para todos os tipos de obra (correção em relação a uma versão anterior deste levantamento que usava apenas a composição de Edifícios como genérica).</t>
        </is>
      </c>
      <c r="I49" t="inlineStr">
        <is>
          <t>alta</t>
        </is>
      </c>
    </row>
    <row r="50">
      <c r="A50" t="inlineStr">
        <is>
          <t>BDI - Acórdão TCU 2622/2013 - Composição (Construção e Manutenção de Estações e Redes de Distribuição de Energia Elétrica)</t>
        </is>
      </c>
      <c r="B50" t="inlineStr">
        <is>
          <t>Seguro + Garantia (1ºQ / médio / 3ºQ)</t>
        </is>
      </c>
      <c r="C50" t="inlineStr">
        <is>
          <t>0,25% / 0,51% / 0,56%</t>
        </is>
      </c>
      <c r="D50" t="inlineStr">
        <is>
          <t>%</t>
        </is>
      </c>
      <c r="E50" s="2" t="inlineStr">
        <is>
          <t>https://www.editais.uff.br/sites/default/files/arquivos/Base%20BDI%20-%20Ac%C3%B3rd%C3%A3o-2622-2013.pdf</t>
        </is>
      </c>
      <c r="F50" t="inlineStr">
        <is>
          <t>2026-09-27</t>
        </is>
      </c>
      <c r="G50" t="inlineStr">
        <is>
          <t>pág. 2, mesma tabela, coluna 'SEGURO + GARANTIA'</t>
        </is>
      </c>
      <c r="H50"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0" t="inlineStr">
        <is>
          <t>alta</t>
        </is>
      </c>
    </row>
    <row r="51">
      <c r="A51" t="inlineStr">
        <is>
          <t>BDI - Acórdão TCU 2622/2013 - Composição (Construção e Manutenção de Estações e Redes de Distribuição de Energia Elétrica)</t>
        </is>
      </c>
      <c r="B51" t="inlineStr">
        <is>
          <t>R - Risco (1ºQ / médio / 3ºQ)</t>
        </is>
      </c>
      <c r="C51" t="inlineStr">
        <is>
          <t>1,00% / 1,48% / 1,97%</t>
        </is>
      </c>
      <c r="D51" t="inlineStr">
        <is>
          <t>%</t>
        </is>
      </c>
      <c r="E51" s="2" t="inlineStr">
        <is>
          <t>https://www.editais.uff.br/sites/default/files/arquivos/Base%20BDI%20-%20Ac%C3%B3rd%C3%A3o-2622-2013.pdf</t>
        </is>
      </c>
      <c r="F51" t="inlineStr">
        <is>
          <t>2026-09-27</t>
        </is>
      </c>
      <c r="G51" t="inlineStr">
        <is>
          <t>pág. 2, mesma tabela, coluna 'RISCO'</t>
        </is>
      </c>
      <c r="H51"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1" t="inlineStr">
        <is>
          <t>alta</t>
        </is>
      </c>
    </row>
    <row r="52">
      <c r="A52" t="inlineStr">
        <is>
          <t>BDI - Acórdão TCU 2622/2013 - Composição (Construção e Manutenção de Estações e Redes de Distribuição de Energia Elétrica)</t>
        </is>
      </c>
      <c r="B52" t="inlineStr">
        <is>
          <t>DF - Despesa Financeira (1ºQ / médio / 3ºQ)</t>
        </is>
      </c>
      <c r="C52" t="inlineStr">
        <is>
          <t>1,01% / 1,07% / 1,11%</t>
        </is>
      </c>
      <c r="D52" t="inlineStr">
        <is>
          <t>%</t>
        </is>
      </c>
      <c r="E52" s="2" t="inlineStr">
        <is>
          <t>https://www.editais.uff.br/sites/default/files/arquivos/Base%20BDI%20-%20Ac%C3%B3rd%C3%A3o-2622-2013.pdf</t>
        </is>
      </c>
      <c r="F52" t="inlineStr">
        <is>
          <t>2026-09-27</t>
        </is>
      </c>
      <c r="G52" t="inlineStr">
        <is>
          <t>pág. 2, tabela 'DESPESA FINANCEIRA / LUCRO'</t>
        </is>
      </c>
      <c r="H52"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2" t="inlineStr">
        <is>
          <t>alta</t>
        </is>
      </c>
    </row>
    <row r="53">
      <c r="A53" t="inlineStr">
        <is>
          <t>BDI - Acórdão TCU 2622/2013 - Composição (Construção e Manutenção de Estações e Redes de Distribuição de Energia Elétrica)</t>
        </is>
      </c>
      <c r="B53" t="inlineStr">
        <is>
          <t>L - Lucro (1ºQ / médio / 3ºQ)</t>
        </is>
      </c>
      <c r="C53" t="inlineStr">
        <is>
          <t>8,00% / 8,31% / 9,51%</t>
        </is>
      </c>
      <c r="D53" t="inlineStr">
        <is>
          <t>%</t>
        </is>
      </c>
      <c r="E53" s="2" t="inlineStr">
        <is>
          <t>https://www.editais.uff.br/sites/default/files/arquivos/Base%20BDI%20-%20Ac%C3%B3rd%C3%A3o-2622-2013.pdf</t>
        </is>
      </c>
      <c r="F53" t="inlineStr">
        <is>
          <t>2026-09-27</t>
        </is>
      </c>
      <c r="G53" t="inlineStr">
        <is>
          <t>pág. 2, mesma tabela, colunas 'LUCRO'</t>
        </is>
      </c>
      <c r="H53"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3" t="inlineStr">
        <is>
          <t>alta</t>
        </is>
      </c>
    </row>
    <row r="54">
      <c r="A54" t="inlineStr">
        <is>
          <t>BDI - Acórdão TCU 2622/2013</t>
        </is>
      </c>
      <c r="B54" t="inlineStr">
        <is>
          <t>T - Tributos (PIS+COFINS+ISS) - estimativa derivada, NÃO é uma tabela do próprio Acórdão</t>
        </is>
      </c>
      <c r="C54" t="inlineStr">
        <is>
          <t>5,65% / 6,65% / 8,65% (aproximado)</t>
        </is>
      </c>
      <c r="D54" t="inlineStr">
        <is>
          <t>%</t>
        </is>
      </c>
      <c r="E54" s="2" t="inlineStr">
        <is>
          <t>https://www.editais.uff.br/sites/default/files/arquivos/Base%20BDI%20-%20Ac%C3%B3rd%C3%A3o-2622-2013.pdf</t>
        </is>
      </c>
      <c r="F54" t="inlineStr">
        <is>
          <t>2026-09-27</t>
        </is>
      </c>
      <c r="G54" t="inlineStr">
        <is>
          <t>pág. 3, item 9.3.2.3 e 9.3.2.4 do Acórdão: orienta adotar 'percentual de ISS compatível com a legislação tributária do(s) município(s)... percentual proporcional entre o limite máximo de 5% (art. 8º, II, LC 116/2003) e o limite mínimo de 2% (art. 88 do ADCT)' e PIS/COFINS pela alíquota efetiva do regime de tributação da empresa</t>
        </is>
      </c>
      <c r="H54" t="inlineStr">
        <is>
          <t>O Acórdão NÃO fixa uma faixa numérica de 1º/3º quartil para o tributo T (ao contrário de AC/Seguro+Garantia/Risco/DF/Lucro, que têm tabela própria) - apenas orienta o método de cálculo (PIS 0,65% + COFINS 3,00%, regime cumulativo, mais ISS municipal entre 2% e 5%). A faixa 5,65/6,65/8,65% aqui é uma CONSTRUÇÃO NOSSA a partir dessa orientação (0,65+3,00=3,65% de PIS/COFINS + ISS de 2% a 5%), não um número extraído literalmente do Acórdão. Para Goiânia, com ISS de 5% (ver item de Tributos abaixo), o T seria 3,65%+5,00%=8,65% no regime cumulativo (lucro presumido) - o valor mais realista para prestadores de serviço de manutenção em Goiânia.</t>
        </is>
      </c>
      <c r="I54" t="inlineStr">
        <is>
          <t>média</t>
        </is>
      </c>
    </row>
    <row r="55">
      <c r="A55" t="inlineStr">
        <is>
          <t>Tributos</t>
        </is>
      </c>
      <c r="B55" t="inlineStr">
        <is>
          <t>ISS Goiânia - alíquota geral para serviços prestados por empresas (inclui manutenção/instalação, itens 7.05 e 14.06 da lista de serviços)</t>
        </is>
      </c>
      <c r="C55" t="n">
        <v>5</v>
      </c>
      <c r="D55" t="inlineStr">
        <is>
          <t>%</t>
        </is>
      </c>
      <c r="E55" s="2" t="inlineStr">
        <is>
          <t>https://www.goiania.go.gov.br/download/financas/novoctm.pdf</t>
        </is>
      </c>
      <c r="F55" t="inlineStr">
        <is>
          <t>2026-09-27</t>
        </is>
      </c>
      <c r="G55" t="inlineStr">
        <is>
          <t>pág. 37-38 (numeração do PDF), Art. 71, IV do Código Tributário Municipal de Goiânia (regulamentado pela Lei Complementar nº 344/2021): 'Demais atividades exercidas na forma de empresas... 5% (cinco por cento)'</t>
        </is>
      </c>
      <c r="H55" t="inlineStr">
        <is>
          <t>Confirmado por leitura direta do PDF oficial da Prefeitura de Goiânia. Os itens 7.05 (reparação/conservação de edifícios) e 14.06 (instalação/montagem de aparelhos/máquinas/equipamentos) da lista de serviços municipal não têm alíquota diferenciada prevista (as reduções de 2% e 3,5% do art. 71 são específicas para transporte coletivo urbano e serviços de saúde, respectivamente).</t>
        </is>
      </c>
      <c r="I55" t="inlineStr">
        <is>
          <t>alta</t>
        </is>
      </c>
    </row>
    <row r="56">
      <c r="A56" t="inlineStr">
        <is>
          <t>Tributos</t>
        </is>
      </c>
      <c r="B56" t="inlineStr">
        <is>
          <t>Simples Nacional - enquadramento de serviços de manutenção/instalação elétrica e de refrigeração em imóveis prontos (fora de obra de engenharia)</t>
        </is>
      </c>
      <c r="C56" t="inlineStr">
        <is>
          <t>Anexo III (alíquota efetiva 6% a 33% conforme RBT12 e fator 'r')</t>
        </is>
      </c>
      <c r="D56" t="inlineStr">
        <is>
          <t>-</t>
        </is>
      </c>
      <c r="E56" s="2" t="inlineStr">
        <is>
          <t>https://www.marciobalduchi.com.br/diversos-servicos-de-instalacao-e-manutencao-tributados-no-anexo-iii-do-simples-nacional/</t>
        </is>
      </c>
      <c r="F56" t="inlineStr">
        <is>
          <t>2026-09-27</t>
        </is>
      </c>
      <c r="G56" t="inlineStr">
        <is>
          <t>Artigo: 'diversos serviços de instalação e manutenção (elétrica, ar condicionado, ventilação, refrigeração, prevenção contra incêndio) são tributados no Anexo III da LC 123/2006'</t>
        </is>
      </c>
      <c r="H56" t="inlineStr">
        <is>
          <t>NÃO acessamos diretamente a Resolução CGSN/LC 123 nesta sessão (fonte é artigo jurídico especializado, consistente com o texto legal amplamente conhecido). Ponto de atenção: se a manutenção for prestada como parte de contrato de OBRA de engenharia (ex.: reforma predial completa), a tributação migra para o Anexo IV; se houver cessão de mão de obra, a empresa fica sujeita a exclusão do Simples Nacional.</t>
        </is>
      </c>
      <c r="I56" t="inlineStr">
        <is>
          <t>média</t>
        </is>
      </c>
    </row>
    <row r="57">
      <c r="A57" t="inlineStr">
        <is>
          <t>Materiais - Climatização</t>
        </is>
      </c>
      <c r="B57" t="inlineStr">
        <is>
          <t>Gás refrigerante R410A - botija 11,35kg (loja 1: Multifrio Shop)</t>
        </is>
      </c>
      <c r="C57" t="n">
        <v>961.28</v>
      </c>
      <c r="D57" t="inlineStr">
        <is>
          <t>R$/botija</t>
        </is>
      </c>
      <c r="E57" s="2" t="inlineStr">
        <is>
          <t>https://www.multifrioshop.com/fluidos-refrigerantes/gas-r410a-botija-11-35kg-r410-410a-refrigerante</t>
        </is>
      </c>
      <c r="F57" t="inlineStr">
        <is>
          <t>2026-09-27</t>
        </is>
      </c>
      <c r="G57" t="inlineStr">
        <is>
          <t>campo 'price' da página do produto (preço tabela); preço à vista/Pix indicado na página: R$865,15</t>
        </is>
      </c>
      <c r="H57" t="inlineStr">
        <is>
          <t>Confirmado por leitura direta da página.</t>
        </is>
      </c>
      <c r="I57" t="inlineStr">
        <is>
          <t>alta</t>
        </is>
      </c>
    </row>
    <row r="58">
      <c r="A58" t="inlineStr">
        <is>
          <t>Materiais - Climatização</t>
        </is>
      </c>
      <c r="B58" t="inlineStr">
        <is>
          <t>Gás refrigerante R410A - botija 11,35kg (loja 2: Frigelar, referência de busca)</t>
        </is>
      </c>
      <c r="C58" t="n">
        <v>890</v>
      </c>
      <c r="D58" t="inlineStr">
        <is>
          <t>R$/botija</t>
        </is>
      </c>
      <c r="E58" s="2" t="inlineStr">
        <is>
          <t>https://www.frigelar.com.br/gas-refrigerante-r410a-eos-cilindro-de-1134kg/p/kit5357</t>
        </is>
      </c>
      <c r="F58" t="inlineStr">
        <is>
          <t>2026-09-27</t>
        </is>
      </c>
      <c r="G58" t="inlineStr">
        <is>
          <t>não fetchado diretamente (timeout/erro HTTP2 na sessão); valor obtido via resultado de busca datado desta sessão ('R$ 890,00 no PIX, 7% desconto')</t>
        </is>
      </c>
      <c r="H58" t="inlineStr">
        <is>
          <t>Confiabilidade menor por não termos aberto a página diretamente.</t>
        </is>
      </c>
      <c r="I58" t="inlineStr">
        <is>
          <t>média</t>
        </is>
      </c>
    </row>
    <row r="59">
      <c r="A59" t="inlineStr">
        <is>
          <t>Materiais - Climatização</t>
        </is>
      </c>
      <c r="B59" t="inlineStr">
        <is>
          <t>Gás refrigerante R410A - botija 11,35/11,3kg (loja 3: RL Refrigeração, referência de busca)</t>
        </is>
      </c>
      <c r="D59" t="inlineStr">
        <is>
          <t>R$/botija</t>
        </is>
      </c>
      <c r="E59" s="2" t="inlineStr">
        <is>
          <t>https://www.rlrefrigeracao.com.br/produto/botija-gas-r410a-113kg.html</t>
        </is>
      </c>
      <c r="F59" t="inlineStr">
        <is>
          <t>2026-09-27</t>
        </is>
      </c>
      <c r="G59" t="inlineStr">
        <is>
          <t>página retornou HTTP 403 (bloqueio anti-bot) nesta sessão; não foi possível confirmar preço</t>
        </is>
      </c>
      <c r="H59" t="inlineStr">
        <is>
          <t>não encontrado (bloqueio de acesso)</t>
        </is>
      </c>
      <c r="I59" t="inlineStr">
        <is>
          <t>baixa</t>
        </is>
      </c>
    </row>
    <row r="60">
      <c r="A60" t="inlineStr">
        <is>
          <t>Materiais - Climatização</t>
        </is>
      </c>
      <c r="B60" t="inlineStr">
        <is>
          <t>Gás refrigerante R410A - botija ~11,35kg - MEDIANA das fontes acessadas</t>
        </is>
      </c>
      <c r="C60" t="n">
        <v>925.64</v>
      </c>
      <c r="D60" t="inlineStr">
        <is>
          <t>R$/botija</t>
        </is>
      </c>
      <c r="E60" s="2" t="inlineStr">
        <is>
          <t>ver 2 itens acima (Multifrio R$961,28 tabela / R$865,15 Pix; Frigelar ~R$890 Pix)</t>
        </is>
      </c>
      <c r="F60" t="inlineStr">
        <is>
          <t>2026-09-27</t>
        </is>
      </c>
      <c r="G60" t="inlineStr">
        <is>
          <t>mediana simples entre R$961,28 e R$890,00</t>
        </is>
      </c>
      <c r="H60" t="inlineStr">
        <is>
          <t>Mediana de apenas 2 pontos por limitação de acesso a mais lojas nesta sessão.</t>
        </is>
      </c>
      <c r="I60" t="inlineStr">
        <is>
          <t>média</t>
        </is>
      </c>
    </row>
    <row r="61">
      <c r="A61" t="inlineStr">
        <is>
          <t>Materiais - Climatização</t>
        </is>
      </c>
      <c r="B61" t="inlineStr">
        <is>
          <t>Gás refrigerante R22 - botija 13,6kg (loja 1: Multifrio Shop)</t>
        </is>
      </c>
      <c r="C61" t="n">
        <v>1095.72</v>
      </c>
      <c r="D61" t="inlineStr">
        <is>
          <t>R$/botija</t>
        </is>
      </c>
      <c r="E61" s="2" t="inlineStr">
        <is>
          <t>https://www.multifrioshop.com/fluidos-refrigerantes/gas-r22-refrigerante-original-botija-13-6kg-generico</t>
        </is>
      </c>
      <c r="F61" t="inlineStr">
        <is>
          <t>2026-09-27</t>
        </is>
      </c>
      <c r="G61" t="inlineStr">
        <is>
          <t>campo 'price' da página (preço tabela); preço à vista/Pix: R$986,15</t>
        </is>
      </c>
      <c r="H61" t="inlineStr">
        <is>
          <t>Confirmado por leitura direta.</t>
        </is>
      </c>
      <c r="I61" t="inlineStr">
        <is>
          <t>alta</t>
        </is>
      </c>
    </row>
    <row r="62">
      <c r="A62" t="inlineStr">
        <is>
          <t>Materiais - Climatização</t>
        </is>
      </c>
      <c r="B62" t="inlineStr">
        <is>
          <t>Gás refrigerante R22 - botija 13,6kg (loja 2: Refricenter)</t>
        </is>
      </c>
      <c r="C62" t="n">
        <v>866.62</v>
      </c>
      <c r="D62" t="inlineStr">
        <is>
          <t>R$/botija</t>
        </is>
      </c>
      <c r="E62" s="2" t="inlineStr">
        <is>
          <t>https://www.refricenter.com.br/linha-da-gases/fluido-refrigerante-ou-gas-eos-r22-cilindro-13-62-kg</t>
        </is>
      </c>
      <c r="F62" t="inlineStr">
        <is>
          <t>2026-09-27</t>
        </is>
      </c>
      <c r="G62" t="inlineStr">
        <is>
          <t>campo 'price' da página</t>
        </is>
      </c>
      <c r="H62" t="inlineStr">
        <is>
          <t>Confirmado por leitura direta.</t>
        </is>
      </c>
      <c r="I62" t="inlineStr">
        <is>
          <t>alta</t>
        </is>
      </c>
    </row>
    <row r="63">
      <c r="A63" t="inlineStr">
        <is>
          <t>Materiais - Climatização</t>
        </is>
      </c>
      <c r="B63" t="inlineStr">
        <is>
          <t>Gás refrigerante R22 - botija 13,6kg (loja 3: RL Refrigeração, referência de busca)</t>
        </is>
      </c>
      <c r="C63" t="n">
        <v>1013.58</v>
      </c>
      <c r="D63" t="inlineStr">
        <is>
          <t>R$/botija</t>
        </is>
      </c>
      <c r="E63" s="2" t="inlineStr">
        <is>
          <t>https://www.rlrefrigeracao.com.br/produto/gas-r22-cilindro-botija-136kg.html</t>
        </is>
      </c>
      <c r="F63" t="inlineStr">
        <is>
          <t>2026-09-27</t>
        </is>
      </c>
      <c r="G63" t="inlineStr">
        <is>
          <t>valor obtido via resultado de busca ('R$1.013,58, ou R$962,90 via Pix'); página retornou 403 ao fetch direto</t>
        </is>
      </c>
      <c r="H63" t="inlineStr">
        <is>
          <t>confiabilidade menor por não termos aberto a página diretamente.</t>
        </is>
      </c>
      <c r="I63" t="inlineStr">
        <is>
          <t>média</t>
        </is>
      </c>
    </row>
    <row r="64">
      <c r="A64" t="inlineStr">
        <is>
          <t>Materiais - Climatização</t>
        </is>
      </c>
      <c r="B64" t="inlineStr">
        <is>
          <t>Gás refrigerante R22 - botija 13,6kg - MEDIANA das 3 fontes</t>
        </is>
      </c>
      <c r="C64" t="n">
        <v>1013.58</v>
      </c>
      <c r="D64" t="inlineStr">
        <is>
          <t>R$/botija</t>
        </is>
      </c>
      <c r="E64" s="2" t="inlineStr">
        <is>
          <t>ver 3 itens acima</t>
        </is>
      </c>
      <c r="F64" t="inlineStr">
        <is>
          <t>2026-09-27</t>
        </is>
      </c>
      <c r="G64" t="inlineStr">
        <is>
          <t>mediana de R$866,62 / R$1.013,58 / R$1.095,72</t>
        </is>
      </c>
      <c r="H64" t="inlineStr"/>
      <c r="I64" t="inlineStr">
        <is>
          <t>alta</t>
        </is>
      </c>
    </row>
    <row r="65">
      <c r="A65" t="inlineStr">
        <is>
          <t>Materiais - Climatização</t>
        </is>
      </c>
      <c r="B65" t="inlineStr">
        <is>
          <t>Tubo de cobre 1/4" - preço por metro (loja: Eletro ABC)</t>
        </is>
      </c>
      <c r="C65" t="n">
        <v>14.8</v>
      </c>
      <c r="D65" t="inlineStr">
        <is>
          <t>R$/metro</t>
        </is>
      </c>
      <c r="E65" s="2" t="inlineStr">
        <is>
          <t>https://www.eletroarbc.com.br/produtos/tubo-de-cobre-1-4-para-ar-condicionado-preco-de-1-metro/</t>
        </is>
      </c>
      <c r="F65" t="inlineStr">
        <is>
          <t>2026-09-27</t>
        </is>
      </c>
      <c r="G65" t="inlineStr">
        <is>
          <t>preço 'R$14,80' repetido nas variações do produto na página</t>
        </is>
      </c>
      <c r="H65" t="inlineStr">
        <is>
          <t>Confirmado por leitura direta.</t>
        </is>
      </c>
      <c r="I65" t="inlineStr">
        <is>
          <t>alta</t>
        </is>
      </c>
    </row>
    <row r="66">
      <c r="A66" t="inlineStr">
        <is>
          <t>Materiais - Climatização</t>
        </is>
      </c>
      <c r="B66" t="inlineStr">
        <is>
          <t>Tubo de cobre 3/8" - preço por metro</t>
        </is>
      </c>
      <c r="D66" t="inlineStr">
        <is>
          <t>R$/metro</t>
        </is>
      </c>
      <c r="E66" s="2" t="inlineStr">
        <is>
          <t>-</t>
        </is>
      </c>
      <c r="F66" t="inlineStr">
        <is>
          <t>2026-09-27</t>
        </is>
      </c>
      <c r="G66" t="inlineStr">
        <is>
          <t>não encontrado com confirmação direta nesta sessão (páginas de hiperfrio.com.br e centraleletrorefrigeracao.com.br retornaram HTTP 403)</t>
        </is>
      </c>
      <c r="H66" t="inlineStr">
        <is>
          <t>ESTIMATIVA: tubos de cobre para refrigeração seguem aproximadamente a proporção de peso/massa linear entre bitolas; o 3/8" costuma custar de 1,6 a 2,0x o preço do 1/4" no varejo especializado. Aplicando essa razão sobre o valor confirmado de R$14,80/m (1/4"): estimativa de R$24 a R$30/metro. Confirmar com fornecedor local antes de orçar.</t>
        </is>
      </c>
      <c r="I66" t="inlineStr">
        <is>
          <t>baixa</t>
        </is>
      </c>
    </row>
    <row r="67">
      <c r="A67" t="inlineStr">
        <is>
          <t>Materiais - Climatização</t>
        </is>
      </c>
      <c r="B67" t="inlineStr">
        <is>
          <t>Capacitor de partida/permanente para ar-condicionado/compressor (faixa de mercado)</t>
        </is>
      </c>
      <c r="C67" t="inlineStr">
        <is>
          <t>22 a 45 (variação conforme µF e voltagem)</t>
        </is>
      </c>
      <c r="D67" t="inlineStr">
        <is>
          <t>R$/unidade</t>
        </is>
      </c>
      <c r="E67" s="2" t="inlineStr">
        <is>
          <t>https://www.tudoar.com.br/quanto-custa-um-capacitor-de-ar-condicionado ; https://www.friopecas.com.br/pecas-e-servicos/pecas-ar-condicionado/capacitores</t>
        </is>
      </c>
      <c r="F67" t="inlineStr">
        <is>
          <t>2026-09-27</t>
        </is>
      </c>
      <c r="G67" t="inlineStr">
        <is>
          <t>tudoar.com.br: 'em 2025, os preços variam de R$22 a R$42'; friopecas.com.br: preços de catálogo entre R$11,04 e R$39,57 (capacitores diversos, campo 'price' de vários SKUs na página)</t>
        </is>
      </c>
      <c r="H67" t="inlineStr">
        <is>
          <t>Faixa ampla por variar muito com capacitância (µF) e tensão (250V/370V/440V). Não foi possível isolar um único SKU 'padrão de mercado' (ex.: 35+5µF 440V) com preço único confiável nesta sessão.</t>
        </is>
      </c>
      <c r="I67" t="inlineStr">
        <is>
          <t>média</t>
        </is>
      </c>
    </row>
    <row r="68">
      <c r="A68" t="inlineStr">
        <is>
          <t>Materiais - Climatização</t>
        </is>
      </c>
      <c r="B68" t="inlineStr">
        <is>
          <t>Termostato para geladeira/freezer (faixa de mercado, loja: Casa Eletropeças)</t>
        </is>
      </c>
      <c r="C68" t="inlineStr">
        <is>
          <t>38,98 a 86,98 (conforme marca/modelo)</t>
        </is>
      </c>
      <c r="D68" t="inlineStr">
        <is>
          <t>R$/unidade</t>
        </is>
      </c>
      <c r="E68" s="2" t="inlineStr">
        <is>
          <t>https://www.casaeletropecas.com.br/pecas-geladeira/termostato</t>
        </is>
      </c>
      <c r="F68" t="inlineStr">
        <is>
          <t>2026-09-27</t>
        </is>
      </c>
      <c r="G68" t="inlineStr">
        <is>
          <t>preços R$38,98 / R$54,98 / R$70,98 / R$86,98 encontrados na listagem de produtos da página</t>
        </is>
      </c>
      <c r="H68" t="inlineStr">
        <is>
          <t>Confirmado por leitura direta; valor típico de entrada ~R$39-55.</t>
        </is>
      </c>
      <c r="I68" t="inlineStr">
        <is>
          <t>alta</t>
        </is>
      </c>
    </row>
    <row r="69">
      <c r="A69" t="inlineStr">
        <is>
          <t>Materiais - Climatização</t>
        </is>
      </c>
      <c r="B69" t="inlineStr">
        <is>
          <t>Compressor hermético pequeno (ref. 1/4+HP, R134a, para geladeira/freezer doméstico)</t>
        </is>
      </c>
      <c r="C69" t="n">
        <v>393.25</v>
      </c>
      <c r="D69" t="inlineStr">
        <is>
          <t>R$/unidade</t>
        </is>
      </c>
      <c r="E69" s="2" t="inlineStr">
        <is>
          <t>https://www.eletrofrigor.com.br/produto/compressor-1-4-hp-r134a-220v-1f-reciproco-hermetico-embraco-emr80hlr-6975</t>
        </is>
      </c>
      <c r="F69" t="inlineStr">
        <is>
          <t>2026-09-27</t>
        </is>
      </c>
      <c r="G69" t="inlineStr">
        <is>
          <t>valor obtido via resultado de busca ('Embraco EMR80HLR 1/4+HP a R$393,25 à vista/Pix, 3% desconto'); página retornou 404 ao fetch direto nesta sessão (produto pode ter mudado de URL)</t>
        </is>
      </c>
      <c r="H69" t="inlineStr">
        <is>
          <t>Confiabilidade menor por não termos confirmado com fetch direto da página do produto.</t>
        </is>
      </c>
      <c r="I69" t="inlineStr">
        <is>
          <t>média</t>
        </is>
      </c>
    </row>
    <row r="70">
      <c r="A70" t="inlineStr">
        <is>
          <t>Materiais - Climatização</t>
        </is>
      </c>
      <c r="B70" t="inlineStr">
        <is>
          <t>Gás refrigerante R134a - botija 13,6/13kg (loja: Geofrio)</t>
        </is>
      </c>
      <c r="C70" t="n">
        <v>947.35</v>
      </c>
      <c r="D70" t="inlineStr">
        <is>
          <t>R$/botija</t>
        </is>
      </c>
      <c r="E70" s="2" t="inlineStr">
        <is>
          <t>https://geofrio.com.br/produtos/gas-refrigerante-r134-ar-condicionado-automotivo-botija-13kg/</t>
        </is>
      </c>
      <c r="F70" t="inlineStr">
        <is>
          <t>2026-09-27</t>
        </is>
      </c>
      <c r="G70" t="inlineStr">
        <is>
          <t>campo 'price' da página (preço tabela); preço promocional na página: R$899,98</t>
        </is>
      </c>
      <c r="H70" t="inlineStr">
        <is>
          <t>Confirmado por leitura direta. Nota: este produto específico é rotulado para uso automotivo, mas o gás R134a é o mesmo utilizado em refrigeração comercial/doméstica de pequeno porte.</t>
        </is>
      </c>
      <c r="I70" t="inlineStr">
        <is>
          <t>alta</t>
        </is>
      </c>
    </row>
    <row r="71">
      <c r="A71" t="inlineStr">
        <is>
          <t>Materiais - Climatização</t>
        </is>
      </c>
      <c r="B71" t="inlineStr">
        <is>
          <t>Gás refrigerante R134a - botija 13,6kg (loja 2: DSfrio, referência de busca)</t>
        </is>
      </c>
      <c r="C71" t="n">
        <v>980</v>
      </c>
      <c r="D71" t="inlineStr">
        <is>
          <t>R$/botija</t>
        </is>
      </c>
      <c r="E71" s="2" t="inlineStr">
        <is>
          <t>https://www.dsfrio.com.br/gas-refrigerante-r134a-botija-cilindro-de-136kg</t>
        </is>
      </c>
      <c r="F71" t="inlineStr">
        <is>
          <t>2026-09-27</t>
        </is>
      </c>
      <c r="G71" t="inlineStr">
        <is>
          <t>valor obtido via resultado de busca ('R$980,00 com desconto, de R$1.080,00; R$931,00 via Pix')</t>
        </is>
      </c>
      <c r="H71" t="inlineStr">
        <is>
          <t>confiabilidade menor por não termos aberto a página diretamente (bloqueio 403 ao fetch).</t>
        </is>
      </c>
      <c r="I71" t="inlineStr">
        <is>
          <t>média</t>
        </is>
      </c>
    </row>
    <row r="72">
      <c r="A72" t="inlineStr">
        <is>
          <t>Materiais - Climatização</t>
        </is>
      </c>
      <c r="B72" t="inlineStr">
        <is>
          <t>Gás refrigerante R404A - botija 10,9kg (loja: Eletrofrigor, referência de busca)</t>
        </is>
      </c>
      <c r="C72" t="n">
        <v>725.55</v>
      </c>
      <c r="D72" t="inlineStr">
        <is>
          <t>R$/botija</t>
        </is>
      </c>
      <c r="E72" s="2" t="inlineStr">
        <is>
          <t>https://www.eletrofrigor.com.br/produto/gas-fluido-refrigerante-r404a-botija-10-9kg-friven-1712</t>
        </is>
      </c>
      <c r="F72" t="inlineStr">
        <is>
          <t>2026-09-27</t>
        </is>
      </c>
      <c r="G72" t="inlineStr">
        <is>
          <t>valor obtido via resultado de busca ('Friven R404A 10,9kg R$725,55 com 3% desconto Pix'); página retornou HTTP 404 ao fetch direto nesta sessão</t>
        </is>
      </c>
      <c r="H72" t="inlineStr">
        <is>
          <t>confiabilidade menor por não termos confirmado com fetch direto.</t>
        </is>
      </c>
      <c r="I72" t="inlineStr">
        <is>
          <t>média</t>
        </is>
      </c>
    </row>
    <row r="73">
      <c r="A73" t="inlineStr">
        <is>
          <t>Materiais - Climatização</t>
        </is>
      </c>
      <c r="B73" t="inlineStr">
        <is>
          <t>Gás refrigerante R404A - botija 10,9kg (loja 2: Loja Mincarone/Genetron, referência de busca)</t>
        </is>
      </c>
      <c r="C73" t="n">
        <v>949.5</v>
      </c>
      <c r="D73" t="inlineStr">
        <is>
          <t>R$/botija</t>
        </is>
      </c>
      <c r="E73" s="2" t="inlineStr">
        <is>
          <t>https://www.lojamincarone.com.br/MLB-3206717017-botija-de-gas-fluido-refrigerante-r404a-genetron-10896kg-_JM</t>
        </is>
      </c>
      <c r="F73" t="inlineStr">
        <is>
          <t>2026-09-27</t>
        </is>
      </c>
      <c r="G73" t="inlineStr">
        <is>
          <t>valor obtido via resultado de busca; página não pôde ser fetchada nesta sessão (erro de certificado SSL)</t>
        </is>
      </c>
      <c r="H73" t="inlineStr">
        <is>
          <t>confiabilidade menor.</t>
        </is>
      </c>
      <c r="I73" t="inlineStr">
        <is>
          <t>média</t>
        </is>
      </c>
    </row>
    <row r="74">
      <c r="A74" t="inlineStr">
        <is>
          <t>Materiais - Climatização</t>
        </is>
      </c>
      <c r="B74" t="inlineStr">
        <is>
          <t>Kit de limpeza bactericida/limpa-serpentina para ar-condicionado (1L)</t>
        </is>
      </c>
      <c r="C74" t="n">
        <v>19.9</v>
      </c>
      <c r="D74" t="inlineStr">
        <is>
          <t>R$/unidade</t>
        </is>
      </c>
      <c r="E74" s="2" t="inlineStr">
        <is>
          <t>https://www.refritron.com.br/material-de-instalacao-e-manutencao/produtos-de-limpeza-e-higienizacao</t>
        </is>
      </c>
      <c r="F74" t="inlineStr">
        <is>
          <t>2026-09-27</t>
        </is>
      </c>
      <c r="G74" t="inlineStr">
        <is>
          <t>valor obtido via resultado de busca ('Refritron: bactericida higienizador 1L a partir de R$19,90')</t>
        </is>
      </c>
      <c r="H74" t="inlineStr">
        <is>
          <t>Referência de entrada de linha; kits mais completos (com espuma + bactericida + pastilha) tendem a custar mais (não quantificado nesta sessão). Página não fetchada diretamente.</t>
        </is>
      </c>
      <c r="I74" t="inlineStr">
        <is>
          <t>baixa</t>
        </is>
      </c>
    </row>
    <row r="75">
      <c r="A75" t="inlineStr">
        <is>
          <t>Materiais - Climatização</t>
        </is>
      </c>
      <c r="B75" t="inlineStr">
        <is>
          <t>Isolamento térmico tubular (tubo/calha para tubulação de cobre)</t>
        </is>
      </c>
      <c r="D75" t="inlineStr">
        <is>
          <t>R$/metro</t>
        </is>
      </c>
      <c r="E75" s="2" t="inlineStr">
        <is>
          <t>-</t>
        </is>
      </c>
      <c r="F75" t="inlineStr">
        <is>
          <t>2026-09-27</t>
        </is>
      </c>
      <c r="G75" t="inlineStr">
        <is>
          <t>não encontrado nesta sessão</t>
        </is>
      </c>
      <c r="H75" t="inlineStr">
        <is>
          <t>ESTIMATIVA sem fonte de mercado consultada: faixa usual de mercado para isolamento elastomérico 1/4"-3/8" fica entre R$3 e R$8/metro. Recomenda-se cotação direta antes de orçar.</t>
        </is>
      </c>
      <c r="I75" t="inlineStr">
        <is>
          <t>baixa</t>
        </is>
      </c>
    </row>
    <row r="76">
      <c r="A76" t="inlineStr">
        <is>
          <t>Materiais - Climatização</t>
        </is>
      </c>
      <c r="B76" t="inlineStr">
        <is>
          <t>Suporte/base para unidade condensadora (split)</t>
        </is>
      </c>
      <c r="D76" t="inlineStr">
        <is>
          <t>R$/unidade</t>
        </is>
      </c>
      <c r="E76" s="2" t="inlineStr">
        <is>
          <t>-</t>
        </is>
      </c>
      <c r="F76" t="inlineStr">
        <is>
          <t>2026-09-27</t>
        </is>
      </c>
      <c r="G76" t="inlineStr">
        <is>
          <t>não encontrado nesta sessão</t>
        </is>
      </c>
      <c r="H76" t="inlineStr">
        <is>
          <t>ESTIMATIVA sem fonte de mercado consultada: suportes de parede em L para condensadoras pequenas/médias costumam variar entre R$60 e R$150 conforme capacidade de carga. Recomenda-se cotação direta.</t>
        </is>
      </c>
      <c r="I76" t="inlineStr">
        <is>
          <t>baixa</t>
        </is>
      </c>
    </row>
    <row r="77">
      <c r="A77" t="inlineStr">
        <is>
          <t>Materiais - Climatização</t>
        </is>
      </c>
      <c r="B77" t="inlineStr">
        <is>
          <t>Filtro (ar-condicionado/refrigeração)</t>
        </is>
      </c>
      <c r="D77" t="inlineStr">
        <is>
          <t>R$/unidade</t>
        </is>
      </c>
      <c r="E77" s="2" t="inlineStr">
        <is>
          <t>-</t>
        </is>
      </c>
      <c r="F77" t="inlineStr">
        <is>
          <t>2026-09-27</t>
        </is>
      </c>
      <c r="G77" t="inlineStr">
        <is>
          <t>não encontrado com item específico nesta sessão</t>
        </is>
      </c>
      <c r="H77" t="inlineStr">
        <is>
          <t>ESTIMATIVA sem fonte de mercado consultada: filtros secadores de linha de líquido para pequenos sistemas costumam variar entre R$15 e R$60 conforme diâmetro/capacidade. Recomenda-se cotação direta.</t>
        </is>
      </c>
      <c r="I77" t="inlineStr">
        <is>
          <t>baixa</t>
        </is>
      </c>
    </row>
    <row r="78">
      <c r="A78" t="inlineStr">
        <is>
          <t>Materiais - Iluminação pública</t>
        </is>
      </c>
      <c r="B78" t="inlineStr">
        <is>
          <t>Reator para vapor de sódio 70W, externo, galvanizado (fabricante: Demape)</t>
        </is>
      </c>
      <c r="C78" t="n">
        <v>70.8</v>
      </c>
      <c r="D78" t="inlineStr">
        <is>
          <t>R$/unidade</t>
        </is>
      </c>
      <c r="E78" s="2" t="inlineStr">
        <is>
          <t>https://demape.com.br/produto/reator-vapor-de-sodio-70w-externo-galvanizado/</t>
        </is>
      </c>
      <c r="F78" t="inlineStr">
        <is>
          <t>2026-09-27</t>
        </is>
      </c>
      <c r="G78" t="inlineStr">
        <is>
          <t>preço exibido na página do produto</t>
        </is>
      </c>
      <c r="H78" t="inlineStr">
        <is>
          <t>Confirmado por leitura direta (fabricante nacional).</t>
        </is>
      </c>
      <c r="I78" t="inlineStr">
        <is>
          <t>alta</t>
        </is>
      </c>
    </row>
    <row r="79">
      <c r="A79" t="inlineStr">
        <is>
          <t>Materiais - Iluminação pública</t>
        </is>
      </c>
      <c r="B79" t="inlineStr">
        <is>
          <t>Reator para vapor de sódio 150W, externo, galvanizado (fabricante: Demape)</t>
        </is>
      </c>
      <c r="C79" t="n">
        <v>91.91</v>
      </c>
      <c r="D79" t="inlineStr">
        <is>
          <t>R$/unidade</t>
        </is>
      </c>
      <c r="E79" s="2" t="inlineStr">
        <is>
          <t>https://demape.com.br/produto/reator-vapor-de-sodio-150w-externo-galvanizado-ence/</t>
        </is>
      </c>
      <c r="F79" t="inlineStr">
        <is>
          <t>2026-09-27</t>
        </is>
      </c>
      <c r="G79" t="inlineStr">
        <is>
          <t>preço exibido na página do produto</t>
        </is>
      </c>
      <c r="H79" t="inlineStr">
        <is>
          <t>Confirmado por leitura direta.</t>
        </is>
      </c>
      <c r="I79" t="inlineStr">
        <is>
          <t>alta</t>
        </is>
      </c>
    </row>
    <row r="80">
      <c r="A80" t="inlineStr">
        <is>
          <t>Materiais - Iluminação pública</t>
        </is>
      </c>
      <c r="B80" t="inlineStr">
        <is>
          <t>Reator para vapor de sódio 70W (loja 2: VLP Comercial, referência de busca)</t>
        </is>
      </c>
      <c r="C80" t="n">
        <v>36.8</v>
      </c>
      <c r="D80" t="inlineStr">
        <is>
          <t>R$/unidade</t>
        </is>
      </c>
      <c r="E80" s="2" t="inlineStr">
        <is>
          <t>https://www.vlpcomercial.com.br/iluminacao/reatores/eletromagnetico/para-lampada-sodio.html</t>
        </is>
      </c>
      <c r="F80" t="inlineStr">
        <is>
          <t>2026-09-27</t>
        </is>
      </c>
      <c r="G80" t="inlineStr">
        <is>
          <t>valor obtido via resultado de busca</t>
        </is>
      </c>
      <c r="H80" t="inlineStr">
        <is>
          <t>confiabilidade menor por não termos aberto a página diretamente.</t>
        </is>
      </c>
      <c r="I80" t="inlineStr">
        <is>
          <t>baixa</t>
        </is>
      </c>
    </row>
    <row r="81">
      <c r="A81" t="inlineStr">
        <is>
          <t>Materiais - Iluminação pública</t>
        </is>
      </c>
      <c r="B81" t="inlineStr">
        <is>
          <t>Lâmpada vapor de sódio 70W/150W tubular ou ovóide E27/E40 (faixa de mercado)</t>
        </is>
      </c>
      <c r="C81" t="inlineStr">
        <is>
          <t>24 a 59 (conforme potência)</t>
        </is>
      </c>
      <c r="D81" t="inlineStr">
        <is>
          <t>R$/unidade</t>
        </is>
      </c>
      <c r="E81" s="2" t="inlineStr">
        <is>
          <t>https://www.ourolux.com.br/produtos/iluminac-o/lampadas-de-descarga/vapor-de-sodio.html</t>
        </is>
      </c>
      <c r="F81" t="inlineStr">
        <is>
          <t>2026-09-27</t>
        </is>
      </c>
      <c r="G81" t="inlineStr">
        <is>
          <t>resultado de busca: 'preços a partir de aproximadamente R$24,00 a R$58,88 para diferentes wattagens (70W, 150W, 250W, 400W, 600W, 1000W)'</t>
        </is>
      </c>
      <c r="H81" t="inlineStr">
        <is>
          <t>Página não fetchada diretamente; faixa ampla e não específica só para 70/150W.</t>
        </is>
      </c>
      <c r="I81" t="inlineStr">
        <is>
          <t>baixa</t>
        </is>
      </c>
    </row>
    <row r="82">
      <c r="A82" t="inlineStr">
        <is>
          <t>Materiais - Iluminação pública</t>
        </is>
      </c>
      <c r="B82" t="inlineStr">
        <is>
          <t>Relé fotoelétrico/fotocélula para iluminação pública (faixa de mercado)</t>
        </is>
      </c>
      <c r="C82" t="inlineStr">
        <is>
          <t>17,55 a 188,48 (grande variação conforme modelo/marca)</t>
        </is>
      </c>
      <c r="D82" t="inlineStr">
        <is>
          <t>R$/unidade</t>
        </is>
      </c>
      <c r="E82" s="2" t="inlineStr">
        <is>
          <t>https://lista.mercadolivre.com.br/rele-fotocelula-para-iluminacao-publica</t>
        </is>
      </c>
      <c r="F82" t="inlineStr">
        <is>
          <t>2026-09-27</t>
        </is>
      </c>
      <c r="G82" t="inlineStr">
        <is>
          <t>resultado de busca consolidando ofertas de Mercado Livre (marcas Qualitronix, Exatron, MarGirius, Techna, Proeletronic)</t>
        </is>
      </c>
      <c r="H82" t="inlineStr">
        <is>
          <t>Faixa muito ampla; recomenda-se cotação de um modelo específico (ex.: relé bivolt padrão NEMA) antes de orçar. Página de busca não fetchada diretamente (proteção anti-bot).</t>
        </is>
      </c>
      <c r="I82" t="inlineStr">
        <is>
          <t>baixa</t>
        </is>
      </c>
    </row>
    <row r="83">
      <c r="A83" t="inlineStr">
        <is>
          <t>Materiais - Iluminação pública</t>
        </is>
      </c>
      <c r="B83" t="inlineStr">
        <is>
          <t>Luminária LED pública 60W-100W (faixa de mercado, referência)</t>
        </is>
      </c>
      <c r="C83" t="inlineStr">
        <is>
          <t>acima de R$100 até acima de R$250, conforme potência/marca</t>
        </is>
      </c>
      <c r="D83" t="inlineStr">
        <is>
          <t>R$/unidade</t>
        </is>
      </c>
      <c r="E83" s="2" t="inlineStr">
        <is>
          <t>https://www.sustentaled.com.br/ ; https://lista.mercadolivre.com.br/luminaria-publica-led-60w</t>
        </is>
      </c>
      <c r="F83" t="inlineStr">
        <is>
          <t>2026-09-27</t>
        </is>
      </c>
      <c r="G83" t="inlineStr">
        <is>
          <t>resultado de busca: 'faixa de preços que variam de até R$100 até acima de R$250' (Mercado Livre, 60W)</t>
        </is>
      </c>
      <c r="H83" t="inlineStr">
        <is>
          <t>Apenas referência ampla, conforme solicitado no escopo ('só como referência'); páginas de produto do Sustenta LED retornaram HTTP 403 ao fetch direto nesta sessão.</t>
        </is>
      </c>
      <c r="I83" t="inlineStr">
        <is>
          <t>baixa</t>
        </is>
      </c>
    </row>
    <row r="84">
      <c r="A84" t="inlineStr">
        <is>
          <t>Materiais - Iluminação pública</t>
        </is>
      </c>
      <c r="B84" t="inlineStr">
        <is>
          <t>Braço para luminária pública, 1m, 2 polegadas, reto (fabricante/loja: Irmãos Soares)</t>
        </is>
      </c>
      <c r="C84" t="n">
        <v>84.90000000000001</v>
      </c>
      <c r="D84" t="inlineStr">
        <is>
          <t>R$/unidade</t>
        </is>
      </c>
      <c r="E84" s="2" t="inlineStr">
        <is>
          <t>https://www.irmaossoares.com.br/braco-para-luminaria-publica-1m-2-polegadas-reto-eletrometa/p</t>
        </is>
      </c>
      <c r="F84" t="inlineStr">
        <is>
          <t>2026-09-27</t>
        </is>
      </c>
      <c r="G84" t="inlineStr">
        <is>
          <t>campo 'price' da página do produto</t>
        </is>
      </c>
      <c r="H84" t="inlineStr">
        <is>
          <t>Confirmado por leitura direta.</t>
        </is>
      </c>
      <c r="I84" t="inlineStr">
        <is>
          <t>alta</t>
        </is>
      </c>
    </row>
    <row r="85">
      <c r="A85" t="inlineStr">
        <is>
          <t>Materiais - Iluminação pública</t>
        </is>
      </c>
      <c r="B85" t="inlineStr">
        <is>
          <t>Cabo e conectores para rede de iluminação pública</t>
        </is>
      </c>
      <c r="D85" t="inlineStr">
        <is>
          <t>R$/metro ou R$/unidade</t>
        </is>
      </c>
      <c r="E85" s="2" t="inlineStr">
        <is>
          <t>-</t>
        </is>
      </c>
      <c r="F85" t="inlineStr">
        <is>
          <t>2026-09-27</t>
        </is>
      </c>
      <c r="G85" t="inlineStr">
        <is>
          <t>não encontrado item específico nesta sessão (tempo de pesquisa esgotado)</t>
        </is>
      </c>
      <c r="H85" t="inlineStr">
        <is>
          <t>Ver itens de 'Elétrica predial' abaixo (cabo 2,5mm² e cabo de cobre nu) como proxy de custo de cabo para redes de baixa tensão; conectores de derivação (tipo cunha/perfurante) tipicamente custam entre R$3 e R$12/unidade no varejo elétrico (ESTIMATIVA sem fonte cotada nesta sessão).</t>
        </is>
      </c>
      <c r="I85" t="inlineStr">
        <is>
          <t>baixa</t>
        </is>
      </c>
    </row>
    <row r="86">
      <c r="A86" t="inlineStr">
        <is>
          <t>Materiais - Elétrica predial</t>
        </is>
      </c>
      <c r="B86" t="inlineStr">
        <is>
          <t>Disjuntor DIN unipolar 25A/32A curva C (faixa de mercado, referência de busca)</t>
        </is>
      </c>
      <c r="C86" t="inlineStr">
        <is>
          <t>7,76 a 9,19</t>
        </is>
      </c>
      <c r="D86" t="inlineStr">
        <is>
          <t>R$/unidade</t>
        </is>
      </c>
      <c r="E86" s="2" t="inlineStr">
        <is>
          <t>https://www.disfer.com.br/disjuntores ; https://www.pjneblina.com.br/produto/disjuntor-mini-din-unipolar-25a-curva-c-3ka-230400v-sdd61c25-steck/5026776</t>
        </is>
      </c>
      <c r="F86" t="inlineStr">
        <is>
          <t>2026-09-27</t>
        </is>
      </c>
      <c r="G86" t="inlineStr">
        <is>
          <t>resultado de busca: 'Disfer: disjuntor unipolar DIN 32A Elitek R$7,76 (R$7,37 Pix), 25A também R$7,76'; 'PJ Neblina: disjuntor mini DIN unipolar 25A R$9,19'</t>
        </is>
      </c>
      <c r="H86" t="inlineStr">
        <is>
          <t>Não conseguimos confirmar com fetch direto (página do Santil não expôs preço no HTML estático; possível carregamento via JS). Faixa de disjuntor unipolar simples de linha residencial/comercial leve.</t>
        </is>
      </c>
      <c r="I86" t="inlineStr">
        <is>
          <t>média</t>
        </is>
      </c>
    </row>
    <row r="87">
      <c r="A87" t="inlineStr">
        <is>
          <t>Materiais - Elétrica predial</t>
        </is>
      </c>
      <c r="B87" t="inlineStr">
        <is>
          <t>Cabo flexível 2,5mm² 750V - rolo de 100 metros (loja: Casa do Eletricista SC)</t>
        </is>
      </c>
      <c r="C87" t="n">
        <v>236.88</v>
      </c>
      <c r="D87" t="inlineStr">
        <is>
          <t>R$/rolo de 100m</t>
        </is>
      </c>
      <c r="E87" s="2" t="inlineStr">
        <is>
          <t>https://www.casadoeletricistasc.com.br/cabo-flexivel-750v-2-5mm2-antichama-preto-corfio-rolo-100m/p/kit611</t>
        </is>
      </c>
      <c r="F87" t="inlineStr">
        <is>
          <t>2026-09-27</t>
        </is>
      </c>
      <c r="G87" t="inlineStr">
        <is>
          <t>campo 'price' da página (preço tabela); variações de preço à vista/parcelado na mesma página: R$229,77 / R$234,51</t>
        </is>
      </c>
      <c r="H87" t="inlineStr">
        <is>
          <t>Confirmado por leitura direta.</t>
        </is>
      </c>
      <c r="I87" t="inlineStr">
        <is>
          <t>alta</t>
        </is>
      </c>
    </row>
    <row r="88">
      <c r="A88" t="inlineStr">
        <is>
          <t>Materiais - Elétrica predial</t>
        </is>
      </c>
      <c r="B88" t="inlineStr">
        <is>
          <t>Cabo flexível 2,5mm² 750V - rolo de 100 metros (loja 2: ACS Materiais Elétricos, referência de busca)</t>
        </is>
      </c>
      <c r="C88" t="n">
        <v>234.9</v>
      </c>
      <c r="D88" t="inlineStr">
        <is>
          <t>R$/rolo de 100m</t>
        </is>
      </c>
      <c r="E88" s="2" t="inlineStr">
        <is>
          <t>https://www.acsmateriaiseletricos.com.br/produtos/cabo-flexivel-25mm-750v-antichama-azul-100-metros/</t>
        </is>
      </c>
      <c r="F88" t="inlineStr">
        <is>
          <t>2026-09-27</t>
        </is>
      </c>
      <c r="G88" t="inlineStr">
        <is>
          <t>valor obtido via resultado de busca</t>
        </is>
      </c>
      <c r="H88" t="inlineStr">
        <is>
          <t>página não fetchada diretamente nesta sessão.</t>
        </is>
      </c>
      <c r="I88" t="inlineStr">
        <is>
          <t>média</t>
        </is>
      </c>
    </row>
    <row r="89">
      <c r="A89" t="inlineStr">
        <is>
          <t>Materiais - Elétrica predial</t>
        </is>
      </c>
      <c r="B89" t="inlineStr">
        <is>
          <t>Cabo flexível 2,5mm² - rolo de 100m - MEDIANA de 2 fontes</t>
        </is>
      </c>
      <c r="C89" t="n">
        <v>235.89</v>
      </c>
      <c r="D89" t="inlineStr">
        <is>
          <t>R$/rolo de 100m</t>
        </is>
      </c>
      <c r="E89" s="2" t="inlineStr">
        <is>
          <t>ver 2 itens acima</t>
        </is>
      </c>
      <c r="F89" t="inlineStr">
        <is>
          <t>2026-09-27</t>
        </is>
      </c>
      <c r="G89" t="inlineStr">
        <is>
          <t>mediana simples de R$236,88 e R$234,90</t>
        </is>
      </c>
      <c r="H89" t="inlineStr"/>
      <c r="I89" t="inlineStr">
        <is>
          <t>média</t>
        </is>
      </c>
    </row>
    <row r="90">
      <c r="A90" t="inlineStr">
        <is>
          <t>Materiais - Elétrica predial</t>
        </is>
      </c>
      <c r="B90" t="inlineStr">
        <is>
          <t>Tomada elétrica 2P+T 10A/20A (padrão NBR 14136)</t>
        </is>
      </c>
      <c r="D90" t="inlineStr">
        <is>
          <t>R$/unidade</t>
        </is>
      </c>
      <c r="E90" s="2" t="inlineStr">
        <is>
          <t>-</t>
        </is>
      </c>
      <c r="F90" t="inlineStr">
        <is>
          <t>2026-09-27</t>
        </is>
      </c>
      <c r="G90" t="inlineStr">
        <is>
          <t>não encontrado com confirmação direta nesta sessão (tempo de pesquisa esgotado)</t>
        </is>
      </c>
      <c r="H90" t="inlineStr">
        <is>
          <t>ESTIMATIVA sem fonte cotada: tomadas de embutir padrão novo (módulo + placa) costumam variar entre R$8 e R$25 conforme linha (popular a intermediária). Recomenda-se cotação direta.</t>
        </is>
      </c>
      <c r="I90" t="inlineStr">
        <is>
          <t>baixa</t>
        </is>
      </c>
    </row>
    <row r="91">
      <c r="A91" t="inlineStr">
        <is>
          <t>Materiais - Elétrica predial / SPDA</t>
        </is>
      </c>
      <c r="B91" t="inlineStr">
        <is>
          <t>Cabo de cobre nu 35mm² (7 fios) - preço por metro (loja: Cetti Materiais Elétricos)</t>
        </is>
      </c>
      <c r="C91" t="n">
        <v>36.76</v>
      </c>
      <c r="D91" t="inlineStr">
        <is>
          <t>R$/metro</t>
        </is>
      </c>
      <c r="E91" s="2" t="inlineStr">
        <is>
          <t>https://cetti.com.br/p/cabo-de-cobre-nu-35-mm2-com-7-fios-solidos-para-aterramento-eletrico-1-metro/</t>
        </is>
      </c>
      <c r="F91" t="inlineStr">
        <is>
          <t>2026-09-27</t>
        </is>
      </c>
      <c r="G91" t="inlineStr">
        <is>
          <t>campo 'price' da página do produto</t>
        </is>
      </c>
      <c r="H91" t="inlineStr">
        <is>
          <t>Confirmado por leitura direta. Preço fortemente atrelado à cotação do cobre (LME), variável.</t>
        </is>
      </c>
      <c r="I91" t="inlineStr">
        <is>
          <t>alta</t>
        </is>
      </c>
    </row>
    <row r="92">
      <c r="A92" t="inlineStr">
        <is>
          <t>Materiais - Elétrica predial / SPDA</t>
        </is>
      </c>
      <c r="B92" t="inlineStr">
        <is>
          <t>Cabo de cobre nu 50mm² - preço por metro</t>
        </is>
      </c>
      <c r="D92" t="inlineStr">
        <is>
          <t>R$/metro</t>
        </is>
      </c>
      <c r="E92" s="2" t="inlineStr">
        <is>
          <t>https://www.lojacentraleletrica.com.br/produto/cabo-de-cobre-nu-50mm-para-aterramento</t>
        </is>
      </c>
      <c r="F92" t="inlineStr">
        <is>
          <t>2026-09-27</t>
        </is>
      </c>
      <c r="G92" t="inlineStr">
        <is>
          <t>não encontrado (página não fetchada com sucesso nesta sessão)</t>
        </is>
      </c>
      <c r="H92" t="inlineStr">
        <is>
          <t>ESTIMATIVA: proporcionalmente ao peso de cobre (50/35 = 1,43x), a partir do valor confirmado de R$36,76/m para 35mm² =&gt; estimativa de R$45 a R$55/metro para 50mm². Confirmar com fornecedor.</t>
        </is>
      </c>
      <c r="I92" t="inlineStr">
        <is>
          <t>baixa</t>
        </is>
      </c>
    </row>
    <row r="93">
      <c r="A93" t="inlineStr">
        <is>
          <t>Materiais - Elétrica predial / SPDA</t>
        </is>
      </c>
      <c r="B93" t="inlineStr">
        <is>
          <t>Haste de aterramento tipo Copperweld 5/8" x 2,40m (loja: Wermar)</t>
        </is>
      </c>
      <c r="C93" t="n">
        <v>36.11</v>
      </c>
      <c r="D93" t="inlineStr">
        <is>
          <t>R$/unidade</t>
        </is>
      </c>
      <c r="E93" s="2" t="inlineStr">
        <is>
          <t>https://www.wermar.com.br/materiais-eletricos/haste-copperweld-para-aterramento-com-conector-2-40m</t>
        </is>
      </c>
      <c r="F93" t="inlineStr">
        <is>
          <t>2026-09-27</t>
        </is>
      </c>
      <c r="G93" t="inlineStr">
        <is>
          <t>um dos preços 'R$36,11' encontrados na página (outra variação/kit na mesma página: R$42,48)</t>
        </is>
      </c>
      <c r="H93" t="inlineStr">
        <is>
          <t>Confirmado por leitura direta, mas página lista mais de um SKU/variação (com/sem conector); valor reportado é o menor encontrado no HTML da página.</t>
        </is>
      </c>
      <c r="I93" t="inlineStr">
        <is>
          <t>média</t>
        </is>
      </c>
    </row>
    <row r="94">
      <c r="A94" t="inlineStr">
        <is>
          <t>Veículos - GOINFRA (Goiás, fonte oficial)</t>
        </is>
      </c>
      <c r="B94" t="inlineStr">
        <is>
          <t>Caminhão Munck 12 toneladas - custo de referência (mínimo 4h/dia)</t>
        </is>
      </c>
      <c r="C94" t="n">
        <v>213.33</v>
      </c>
      <c r="D94" t="inlineStr">
        <is>
          <t>R$/hora</t>
        </is>
      </c>
      <c r="E94" s="2" t="inlineStr">
        <is>
          <t>https://goias.gov.br/goinfra/wp-content/uploads/sites/77/tabela-de-composicao/118/arquivos/OBRAS%20CIVIS%20-%20TABELA%20334%20-%20FEVEREIRO-2026%20-%20SEM%20DESONERA%C3%87%C3%83O%20-%20Publicada%20em%2005-05-2026.%20Clique%20aqui%20para%20download%20em%20PDF%20Clique%20aqui%20para%20download%20em%20XLS.xls</t>
        </is>
      </c>
      <c r="F94" t="inlineStr">
        <is>
          <t>2026-09-27</t>
        </is>
      </c>
      <c r="G94" t="inlineStr">
        <is>
          <t>Código 072080: 'POSTE/TRAFO - CAMINHÃO MUNCK 12 TON. (MÍNIMO 4H/DIA)' = R$213,33/H (planilha 'Relatório', seção de instalações elétricas/rede)</t>
        </is>
      </c>
      <c r="H94" t="inlineStr">
        <is>
          <t>Confirmado por leitura direta da planilha oficial (.xls) da GOINFRA (Agência Goiana de Infraestrutura e Transportes) - 'TABELA DE CUSTOS DE OBRAS CIVIS - T334 - FEVEREIRO/2026 - SEM DESONERAÇÃO', data-base 01/02/2026, publicada em 05/05/2026. O valor já é o custo composto do serviço (equipamento), sem quebra explícita entre CHP/CHI nesta tabela de composições sintéticas; exige contratação mínima de 4h/dia. Esta é a fonte primária de Goiás para o custo do munck - substitui as referências de mercado de SP usadas anteriormente.</t>
        </is>
      </c>
      <c r="I94" t="inlineStr">
        <is>
          <t>alta</t>
        </is>
      </c>
    </row>
    <row r="95">
      <c r="A95" t="inlineStr">
        <is>
          <t>Veículos - GOINFRA (Goiás, fonte oficial)</t>
        </is>
      </c>
      <c r="B95" t="inlineStr">
        <is>
          <t>Guindaste 30 toneladas - custo de referência (mínimo 10h/dia)</t>
        </is>
      </c>
      <c r="C95" t="n">
        <v>400</v>
      </c>
      <c r="D95" t="inlineStr">
        <is>
          <t>R$/hora</t>
        </is>
      </c>
      <c r="E95" s="2" t="inlineStr">
        <is>
          <t>https://goias.gov.br/goinfra/wp-content/uploads/sites/77/tabela-de-composicao/118/arquivos/OBRAS%20CIVIS%20-%20TABELA%20334%20-%20FEVEREIRO-2026%20-%20SEM%20DESONERA%C3%87%C3%83O%20-%20Publicada%20em%2005-05-2026.%20Clique%20aqui%20para%20download%20em%20PDF%20Clique%20aqui%20para%20download%20em%20XLS.xls</t>
        </is>
      </c>
      <c r="F95" t="inlineStr">
        <is>
          <t>2026-09-27</t>
        </is>
      </c>
      <c r="G95" t="inlineStr">
        <is>
          <t>Código 072085: 'POSTE/TRAFO - GUINDASTE 30 TON.(MÍNIMO 10H/DIA)' = R$400,00/H, mesma planilha</t>
        </is>
      </c>
      <c r="H95" t="inlineStr">
        <is>
          <t>Mesma fonte do item acima. Equipamento de maior porte (guindaste 30t, não é o munck comum de 12t), exige contratação mínima de 10h/dia.</t>
        </is>
      </c>
      <c r="I95" t="inlineStr">
        <is>
          <t>alta</t>
        </is>
      </c>
    </row>
    <row r="96">
      <c r="A96" t="inlineStr">
        <is>
          <t>Veículos - SICRO/DNIT (parâmetro nacional + preço em Goiás via agregador)</t>
        </is>
      </c>
      <c r="B96" t="inlineStr">
        <is>
          <t>E9690 - Caminhão guindauto com cesto aéreo simples (elevação 5,7t / carroceria 8,5t / 136kW) - CHP em Goiás</t>
        </is>
      </c>
      <c r="C96" t="n">
        <v>330.89</v>
      </c>
      <c r="D96" t="inlineStr">
        <is>
          <t>R$/hora</t>
        </is>
      </c>
      <c r="E96" s="2" t="inlineStr">
        <is>
          <t>https://buscadorsicro.com.br/go/insumo/E9690</t>
        </is>
      </c>
      <c r="F96" t="inlineStr">
        <is>
          <t>2026-09-27</t>
        </is>
      </c>
      <c r="G96" t="inlineStr">
        <is>
          <t>'Preço em Goiás R$ 330,89 por [hora] · Ref. SICRO Jul/2026 · Média nacional R$ 330,28 (27 estados)'; série histórica na mesma página: Jan/2025 R$327,77, Abr/2025 R$279,67, Jul/2025 R$302,99, Out/2025 R$305,91, Jan/2026 R$305,67, Abr/2026 R$341,97, Jul/2026 R$330,89</t>
        </is>
      </c>
      <c r="H96" t="inlineStr">
        <is>
          <t>Equipamento tecnicamente definido no 'Caderno técnico do SICRO - Parâmetros de Equipamentos' oficial do DNIT (ref. jan/2026, baixado nesta sessão de gov.br/dnit), pág. 66: 'E9690 - Caminhão guindauto com cesto aéreo simples e capacidade de elevação de 5,7 t e carroceria de 8,5 t - 136 kW' (chassi A9308 + cesto aéreo A9329 + guindaste A9330 + carroceria A9296; mão de obra de operação: motorista de veículo especial). O VALOR EM R$/HORA (R$330,89) vem de um agregador (buscadorsicro.com.br) que aplica os parâmetros técnicos oficiais do DNIT aos preços de insumo (combustível, mão de obra) correntes por UF; não é o número literal de uma tabela do DNIT lida diretamente por nós, mas os parâmetros técnicos-base são oficiais e conferidos. É o equipamento tecnicamente mais próximo de 'caminhão com cesto aéreo/plataforma' pedido no escopo.</t>
        </is>
      </c>
      <c r="I96" t="inlineStr">
        <is>
          <t>média</t>
        </is>
      </c>
    </row>
    <row r="97">
      <c r="A97" t="inlineStr">
        <is>
          <t>Veículos - SICRO/DNIT (parâmetro nacional + preço em Goiás via agregador)</t>
        </is>
      </c>
      <c r="B97" t="inlineStr">
        <is>
          <t>E9686 - Caminhão guindauto sem cesto (elevação 6,2t / carroceria 7t / 136kW) - CHP em Goiás</t>
        </is>
      </c>
      <c r="C97" t="n">
        <v>352.92</v>
      </c>
      <c r="D97" t="inlineStr">
        <is>
          <t>R$/hora</t>
        </is>
      </c>
      <c r="E97" s="2" t="inlineStr">
        <is>
          <t>https://buscadorsicro.com.br/go/insumo/E9686</t>
        </is>
      </c>
      <c r="F97" t="inlineStr">
        <is>
          <t>2026-09-27</t>
        </is>
      </c>
      <c r="G97" t="inlineStr">
        <is>
          <t>'Custa R$ 352,92 em Goiás — 0% acima da média nacional de R$ 352,31. Ref. Jul/2026'</t>
        </is>
      </c>
      <c r="H97" t="inlineStr">
        <is>
          <t>Parâmetros técnicos oficiais no Caderno Técnico do SICRO (DNIT, ref. jan/2026), pág. 65: 'E9686 - Caminhão guindauto com capacidade de elevação de 6,2 t e carroceria de 7 t - 136 kW'. Mesma ressalva de metodologia do item anterior (valor em R$ via agregador, parâmetros técnicos oficiais).</t>
        </is>
      </c>
      <c r="I97" t="inlineStr">
        <is>
          <t>média</t>
        </is>
      </c>
    </row>
    <row r="98">
      <c r="A98" t="inlineStr">
        <is>
          <t>Veículos - SICRO/DNIT (parâmetro nacional + preço em Goiás via agregador)</t>
        </is>
      </c>
      <c r="B98" t="inlineStr">
        <is>
          <t>E9041 - Caminhão guindauto de maior porte (elevação 11,9t / carroceria 11,5t / 188kW) - CHP em Goiás</t>
        </is>
      </c>
      <c r="C98" t="n">
        <v>441.43</v>
      </c>
      <c r="D98" t="inlineStr">
        <is>
          <t>R$/hora</t>
        </is>
      </c>
      <c r="E98" s="2" t="inlineStr">
        <is>
          <t>https://buscadorsicro.com.br/go/insumo/E9041</t>
        </is>
      </c>
      <c r="F98" t="inlineStr">
        <is>
          <t>2026-09-27</t>
        </is>
      </c>
      <c r="G98" t="inlineStr">
        <is>
          <t>'Custa R$ 441,43 em Goiás — 0% acima da média nacional de R$ 440,05. Ref. Jul/2026'</t>
        </is>
      </c>
      <c r="H98" t="inlineStr">
        <is>
          <t>Parâmetros técnicos oficiais no Caderno Técnico do SICRO (DNIT, ref. jan/2026), pág. 64: 'E9041 - Caminhão guindauto com capacidade de elevação de 11,9 t e carroceria de 11,5 t - 188 kW'. Mesma ressalva de metodologia dos itens anteriores.</t>
        </is>
      </c>
      <c r="I98" t="inlineStr">
        <is>
          <t>média</t>
        </is>
      </c>
    </row>
    <row r="99">
      <c r="A99" t="inlineStr">
        <is>
          <t>Veículos</t>
        </is>
      </c>
      <c r="B99" t="inlineStr">
        <is>
          <t>Locação de caminhão munck/guindauto com operador - valor hora (referência nacional/mercado SP, mínimo 3h)</t>
        </is>
      </c>
      <c r="C99" t="n">
        <v>250</v>
      </c>
      <c r="D99" t="inlineStr">
        <is>
          <t>R$/hora</t>
        </is>
      </c>
      <c r="E99" s="2" t="inlineStr">
        <is>
          <t>https://www.munk.com.br/locacao-de-caminhao-munck/locacao-de-caminhao-munck-com-operador/valor-de-locacao-de-caminhao-munck-por-hora-osasco</t>
        </is>
      </c>
      <c r="F99" t="inlineStr">
        <is>
          <t>2026-09-27</t>
        </is>
      </c>
      <c r="G99" t="inlineStr">
        <is>
          <t>resultado de busca: 'para serviços cobrados por hora, valor médio de R$250,00/hora, com mínimo de 3 horas de contratação'</t>
        </is>
      </c>
      <c r="H99" t="inlineStr">
        <is>
          <t>Fonte é de locadora de São Paulo (Osasco), não específica de GO/DF. Mantido apenas como cross-check de mercado (locação privada, sem vínculo a tabela pública) frente aos valores oficiais GOINFRA/SICRO acima, que devem ser preferidos para orçamento de licitação.</t>
        </is>
      </c>
      <c r="I99" t="inlineStr">
        <is>
          <t>baixa</t>
        </is>
      </c>
    </row>
    <row r="100">
      <c r="A100" t="inlineStr">
        <is>
          <t>Veículos</t>
        </is>
      </c>
      <c r="B100" t="inlineStr">
        <is>
          <t>Locação de caminhão munck de grande porte com operador - valor diária (referência nacional/mercado SP)</t>
        </is>
      </c>
      <c r="C100" t="inlineStr">
        <is>
          <t>3.500 a 7.000</t>
        </is>
      </c>
      <c r="D100" t="inlineStr">
        <is>
          <t>R$/dia</t>
        </is>
      </c>
      <c r="E100" s="2" t="inlineStr">
        <is>
          <t>https://www.csmmuncksp.com.br/blog/categorias/artigos/quanto-custa-a-locacao-de-um-munck-entenda-os-fatores-que-influenciam-o-preco</t>
        </is>
      </c>
      <c r="F100" t="inlineStr">
        <is>
          <t>2026-09-27</t>
        </is>
      </c>
      <c r="G100" t="inlineStr">
        <is>
          <t>resultado de busca: 'preços para aluguel de muncks de grande porte normalmente ficam entre R$3.500 e R$7.000 por dia'</t>
        </is>
      </c>
      <c r="H100" t="inlineStr">
        <is>
          <t>Mesma ressalva do item acima (fonte SP, não GO/DF específica; usar GOINFRA/SICRO como referência primária).</t>
        </is>
      </c>
      <c r="I100" t="inlineStr">
        <is>
          <t>baixa</t>
        </is>
      </c>
    </row>
    <row r="101">
      <c r="A101" t="inlineStr">
        <is>
          <t>Veículos</t>
        </is>
      </c>
      <c r="B101" t="inlineStr">
        <is>
          <t>Custo por quilômetro rodado - veículo leve (utilitário/pickup) - faixa de mercado 2026</t>
        </is>
      </c>
      <c r="C101" t="inlineStr">
        <is>
          <t>0,80 a 1,50</t>
        </is>
      </c>
      <c r="D101" t="inlineStr">
        <is>
          <t>R$/km</t>
        </is>
      </c>
      <c r="E101" s="2" t="inlineStr">
        <is>
          <t>https://valorfinal.com.br/calculadora-custo-por-km</t>
        </is>
      </c>
      <c r="F101" t="inlineStr">
        <is>
          <t>2026-09-27</t>
        </is>
      </c>
      <c r="G101" t="inlineStr">
        <is>
          <t>resultado de busca: 'na prática, o mercado pratica valores entre R$0,80 e R$1,50 por km em 2026 (combustível + manutenção + depreciação parcial)'</t>
        </is>
      </c>
      <c r="H101" t="inlineStr">
        <is>
          <t>ESTIMATIVA/faixa de referência, não uma tabela oficial. Página não fetchada diretamente (calculadora interativa, sem tabela estática de valores no HTML). Premissas típicas citadas pela fonte: consumo urbano médio Inmetro/Conpet, 15.000km/ano, seguro ~3,5% do valor FIPE, depreciação conforme Tabela FIPE.</t>
        </is>
      </c>
      <c r="I101" t="inlineStr">
        <is>
          <t>baixa</t>
        </is>
      </c>
    </row>
    <row r="102">
      <c r="A102" t="inlineStr">
        <is>
          <t>Combustíveis - ANP (dado primário oficial)</t>
        </is>
      </c>
      <c r="B102" t="inlineStr">
        <is>
          <t>Gasolina comum - preço médio de revenda em Goiás</t>
        </is>
      </c>
      <c r="C102" t="n">
        <v>6.672</v>
      </c>
      <c r="D102" t="inlineStr">
        <is>
          <t>R$/litro</t>
        </is>
      </c>
      <c r="E102" s="2" t="inlineStr">
        <is>
          <t>https://www.gov.br/anp/pt-br/assuntos/precos-e-defesa-da-concorrencia/precos/arquivos-lpc/2026/revendas_lpc_2026-09-20_2026-09-26.xlsx</t>
        </is>
      </c>
      <c r="F102" t="inlineStr">
        <is>
          <t>2026-09-27</t>
        </is>
      </c>
      <c r="G102" t="inlineStr">
        <is>
          <t>Planilha oficial ANP 'Levantamento de Preços de Combustíveis', semana 20/09/2026 a 26/09/2026, filtro ESTADO='GOIAS', PRODUTO='GASOLINA COMUM'; média de 179 postos pesquisados (mediana: R$6,77/L; mín R$5,99; máx R$6,99)</t>
        </is>
      </c>
      <c r="H102" t="inlineStr">
        <is>
          <t>Cálculo próprio a partir dos dados brutos por posto revendedor da planilha oficial da ANP (não é um valor já publicado pronto, e sim calculado por nós a partir do arquivo primário).</t>
        </is>
      </c>
      <c r="I102" t="inlineStr">
        <is>
          <t>alta</t>
        </is>
      </c>
    </row>
    <row r="103">
      <c r="A103" t="inlineStr">
        <is>
          <t>Combustíveis - ANP (dado primário oficial)</t>
        </is>
      </c>
      <c r="B103" t="inlineStr">
        <is>
          <t>Diesel S500 (comum) - preço médio de revenda em Goiás</t>
        </is>
      </c>
      <c r="C103" t="n">
        <v>6.664</v>
      </c>
      <c r="D103" t="inlineStr">
        <is>
          <t>R$/litro</t>
        </is>
      </c>
      <c r="E103" s="2" t="inlineStr">
        <is>
          <t>https://www.gov.br/anp/pt-br/assuntos/precos-e-defesa-da-concorrencia/precos/arquivos-lpc/2026/revendas_lpc_2026-09-20_2026-09-26.xlsx</t>
        </is>
      </c>
      <c r="F103" t="inlineStr">
        <is>
          <t>2026-09-27</t>
        </is>
      </c>
      <c r="G103" t="inlineStr">
        <is>
          <t>mesma planilha, filtro PRODUTO='DIESEL S500'; n=105 postos (mediana: R$6,59/L; mín R$5,99; máx R$7,95)</t>
        </is>
      </c>
      <c r="H103" t="inlineStr">
        <is>
          <t>Cálculo próprio a partir dos dados brutos da planilha oficial ANP.</t>
        </is>
      </c>
      <c r="I103" t="inlineStr">
        <is>
          <t>alta</t>
        </is>
      </c>
    </row>
    <row r="104">
      <c r="A104" t="inlineStr">
        <is>
          <t>Combustíveis - ANP (dado primário oficial)</t>
        </is>
      </c>
      <c r="B104" t="inlineStr">
        <is>
          <t>Diesel S10 - preço médio de revenda em Goiás</t>
        </is>
      </c>
      <c r="C104" t="n">
        <v>7.232</v>
      </c>
      <c r="D104" t="inlineStr">
        <is>
          <t>R$/litro</t>
        </is>
      </c>
      <c r="E104" s="2" t="inlineStr">
        <is>
          <t>https://www.gov.br/anp/pt-br/assuntos/precos-e-defesa-da-concorrencia/precos/arquivos-lpc/2026/revendas_lpc_2026-09-20_2026-09-26.xlsx</t>
        </is>
      </c>
      <c r="F104" t="inlineStr">
        <is>
          <t>2026-09-27</t>
        </is>
      </c>
      <c r="G104" t="inlineStr">
        <is>
          <t>mesma planilha, filtro PRODUTO='DIESEL S10'; n=139 postos (mediana: R$7,19/L; mín R$6,39; máx R$7,99)</t>
        </is>
      </c>
      <c r="H104" t="inlineStr">
        <is>
          <t>Cálculo próprio a partir dos dados brutos da planilha oficial ANP.</t>
        </is>
      </c>
      <c r="I104" t="inlineStr">
        <is>
          <t>alta</t>
        </is>
      </c>
    </row>
    <row r="105">
      <c r="A105" t="inlineStr">
        <is>
          <t>Combustíveis - ANP (dado primário oficial)</t>
        </is>
      </c>
      <c r="B105" t="inlineStr">
        <is>
          <t>Etanol hidratado - preço médio de revenda em Goiás</t>
        </is>
      </c>
      <c r="C105" t="n">
        <v>4.309</v>
      </c>
      <c r="D105" t="inlineStr">
        <is>
          <t>R$/litro</t>
        </is>
      </c>
      <c r="E105" s="2" t="inlineStr">
        <is>
          <t>https://www.gov.br/anp/pt-br/assuntos/precos-e-defesa-da-concorrencia/precos/arquivos-lpc/2026/revendas_lpc_2026-09-20_2026-09-26.xlsx</t>
        </is>
      </c>
      <c r="F105" t="inlineStr">
        <is>
          <t>2026-09-27</t>
        </is>
      </c>
      <c r="G105" t="inlineStr">
        <is>
          <t>mesma planilha, filtro PRODUTO='ETANOL'; n=175 postos (mediana: R$4,47/L)</t>
        </is>
      </c>
      <c r="H105" t="inlineStr">
        <is>
          <t>Cálculo próprio a partir dos dados brutos da planilha oficial ANP.</t>
        </is>
      </c>
      <c r="I105" t="inlineStr">
        <is>
          <t>alta</t>
        </is>
      </c>
    </row>
    <row r="106">
      <c r="A106" t="inlineStr">
        <is>
          <t>Combustíveis - ANP (dado primário oficial)</t>
        </is>
      </c>
      <c r="B106" t="inlineStr">
        <is>
          <t>GLP (botijão 13kg) - preço médio de revenda em Goiás</t>
        </is>
      </c>
      <c r="C106" t="n">
        <v>113.72</v>
      </c>
      <c r="D106" t="inlineStr">
        <is>
          <t>R$/botijão 13kg</t>
        </is>
      </c>
      <c r="E106" s="2" t="inlineStr">
        <is>
          <t>https://www.gov.br/anp/pt-br/assuntos/precos-e-defesa-da-concorrencia/precos/arquivos-lpc/2026/revendas_lpc_2026-09-20_2026-09-26.xlsx</t>
        </is>
      </c>
      <c r="F106" t="inlineStr">
        <is>
          <t>2026-09-27</t>
        </is>
      </c>
      <c r="G106" t="inlineStr">
        <is>
          <t>mesma planilha, filtro PRODUTO='GLP'; n=153 postos/revendas (mediana: R$115,00)</t>
        </is>
      </c>
      <c r="H106" t="inlineStr">
        <is>
          <t>Cálculo próprio a partir dos dados brutos da planilha oficial ANP.</t>
        </is>
      </c>
      <c r="I106" t="inlineStr">
        <is>
          <t>alta</t>
        </is>
      </c>
    </row>
    <row r="107">
      <c r="A107" t="inlineStr">
        <is>
          <t>Combustíveis - ANP (agregador, cross-check)</t>
        </is>
      </c>
      <c r="B107" t="inlineStr">
        <is>
          <t>Gasolina comum - preço médio de revenda em Goiás (cross-check)</t>
        </is>
      </c>
      <c r="C107" t="n">
        <v>6.499</v>
      </c>
      <c r="D107" t="inlineStr">
        <is>
          <t>R$/litro</t>
        </is>
      </c>
      <c r="E107" s="2" t="inlineStr">
        <is>
          <t>https://www.combustiveis-anp.com.br/estado/go</t>
        </is>
      </c>
      <c r="F107" t="inlineStr">
        <is>
          <t>2026-09-27</t>
        </is>
      </c>
      <c r="G107" t="inlineStr">
        <is>
          <t>'considerando estas cidades, a gasolina comum vai de R$5,860/L (Jataí) a R$6,840/L (Trindade)... com média de R$6,499/L' (Setembro/2026, 17 cidades)</t>
        </is>
      </c>
      <c r="H107" t="inlineStr">
        <is>
          <t>Fonte secundária (agregador) baseada nos mesmos dados semanais da ANP, mas com amostra/metodologia de agregação diferente da nossa (média por cidade, não por posto); usada apenas como conferência cruzada do valor primário calculado acima (R$6,672/L).</t>
        </is>
      </c>
      <c r="I107" t="inlineStr">
        <is>
          <t>média</t>
        </is>
      </c>
    </row>
    <row r="108">
      <c r="A108" t="inlineStr">
        <is>
          <t>Garantia contratual / Lei 14.133/2021</t>
        </is>
      </c>
      <c r="B108" t="inlineStr">
        <is>
          <t>Percentual-padrão de garantia contratual exigível</t>
        </is>
      </c>
      <c r="C108" t="inlineStr">
        <is>
          <t>até 5% do valor inicial do contrato, podendo ser majorado para até 10% mediante justificativa (complexidade técnica e riscos); até 30% em obras/serviços de engenharia de grande vulto com cláusula de retomada</t>
        </is>
      </c>
      <c r="D108" t="inlineStr">
        <is>
          <t>%</t>
        </is>
      </c>
      <c r="E108" s="2" t="inlineStr">
        <is>
          <t>https://www.planalto.gov.br/ccivil_03/_ato2019-2022/2021/lei/l14133.htm</t>
        </is>
      </c>
      <c r="F108" t="inlineStr">
        <is>
          <t>2026-09-27</t>
        </is>
      </c>
      <c r="G108" t="inlineStr">
        <is>
          <t>Texto oficial lido diretamente: Art. 98 - 'a garantia poderá ser de até 5% (cinco por cento) do valor inicial do contrato, autorizada a majoração desse percentual para até 10% (dez por cento), desde que justificada mediante análise da complexidade técnica e dos riscos envolvidos.' Art. 99 - 'Nas contratações de obras e serviços de engenharia de grande vulto, poderá ser exigida a prestação de garantia, na modalidade seguro-garantia, com cláusula de retomada prevista no art. 102... em percentual equivalente a até 30% (trinta por cento) do valor inicial do contrato.'</t>
        </is>
      </c>
      <c r="H108" t="inlineStr">
        <is>
          <t>Confirmado por leitura direta da Lei 14.133/2021 no site oficial da Presidência da República (corrige a numeração dos artigos usada anteriormente, que citava 'art. 96 e seguintes' de forma genérica via fonte secundária - o percentual está no art. 98, não no art. 96, que apenas trata da faculdade de exigir garantia e das modalidades). Modalidades de garantia previstas no art. 96: caução em dinheiro/títulos, seguro-garantia, fiança bancária ou título de capitalização.</t>
        </is>
      </c>
      <c r="I108" t="inlineStr">
        <is>
          <t>alta</t>
        </is>
      </c>
    </row>
    <row r="109">
      <c r="A109" t="inlineStr">
        <is>
          <t>Garantia contratual</t>
        </is>
      </c>
      <c r="B109" t="inlineStr">
        <is>
          <t>Seguro-garantia - prêmio anual típico (percentual sobre o valor garantido)</t>
        </is>
      </c>
      <c r="C109" t="inlineStr">
        <is>
          <t>0,40% a 2,00% ao ano (uso comum de mercado: 0,5% a 1,5% a.a.)</t>
        </is>
      </c>
      <c r="D109" t="inlineStr">
        <is>
          <t>% ao ano sobre valor garantido</t>
        </is>
      </c>
      <c r="E109" s="2" t="inlineStr">
        <is>
          <t>https://effecti.com.br/seguro-garantia-licitacoes-publicas/</t>
        </is>
      </c>
      <c r="F109" t="inlineStr">
        <is>
          <t>2026-09-27</t>
        </is>
      </c>
      <c r="G109" t="inlineStr">
        <is>
          <t>resultado de busca: 'o preço do seguro garantia licitação é de cerca de 0,5% a 1,5% do valor da garantia ao ano... outra fonte menciona 0,40% a 2,00% ao ano, variando conforme o perfil da empresa'</t>
        </is>
      </c>
      <c r="H109" t="inlineStr">
        <is>
          <t>Página não fetchada diretamente nesta sessão (artigo comercial de corretora/insurtech), mas é um prêmio de mercado (não definido em lei) consistente com o que é reportado por múltiplas seguradoras/corretoras do mercado brasileiro de seguro-garantia.</t>
        </is>
      </c>
      <c r="I109" t="inlineStr">
        <is>
          <t>média</t>
        </is>
      </c>
    </row>
    <row r="110">
      <c r="A110" t="inlineStr">
        <is>
          <t>Prazo de pagamento / Lei 14.133/2021</t>
        </is>
      </c>
      <c r="B110" t="inlineStr">
        <is>
          <t>O que a Lei manda o contrato prever (não fixa prazo em dias)</t>
        </is>
      </c>
      <c r="C110" t="inlineStr">
        <is>
          <t>a Lei NÃO fixa um número de dias; exige que o CONTRATO defina o prazo de liquidação e pagamento</t>
        </is>
      </c>
      <c r="D110" t="inlineStr">
        <is>
          <t>-</t>
        </is>
      </c>
      <c r="E110" s="2" t="inlineStr">
        <is>
          <t>https://www.planalto.gov.br/ccivil_03/_ato2019-2022/2021/lei/l14133.htm</t>
        </is>
      </c>
      <c r="F110" t="inlineStr">
        <is>
          <t>2026-09-27</t>
        </is>
      </c>
      <c r="G110" t="inlineStr">
        <is>
          <t>Texto oficial lido diretamente: Art. 92 - 'São necessárias em todo contrato cláusulas que estabeleçam:... VI - os critérios e a periodicidade da medição, quando for o caso, e o PRAZO PARA LIQUIDAÇÃO E PARA PAGAMENTO;...'</t>
        </is>
      </c>
      <c r="H110" t="inlineStr">
        <is>
          <t>Confirmado por leitura direta da lei: o art. 92, VI OBRIGA que cada contrato tenha uma cláusula própria fixando o prazo de liquidação e de pagamento, mas a Lei 14.133/2021 NÃO estabelece esse prazo em número de dias em nenhum outro dispositivo (não há um 'teto legal' nacional de X dias). Isso corrige/confirma o achado anterior (baseado em fonte secundária) de que não há prazo único fixado em lei - agora com a citação exata do artigo correto (art. 92, VI), e não mais o art. 141.</t>
        </is>
      </c>
      <c r="I110" t="inlineStr">
        <is>
          <t>alta</t>
        </is>
      </c>
    </row>
    <row r="111">
      <c r="A111" t="inlineStr">
        <is>
          <t>Prazo de pagamento / Lei 14.133/2021</t>
        </is>
      </c>
      <c r="B111" t="inlineStr">
        <is>
          <t>Art. 141 - do que trata (NÃO é sobre prazo em dias)</t>
        </is>
      </c>
      <c r="C111" t="inlineStr">
        <is>
          <t>ordem cronológica de exigibilidade dos pagamentos por categoria de contrato (bens, locações, serviços, obras), não um prazo em dias</t>
        </is>
      </c>
      <c r="D111" t="inlineStr">
        <is>
          <t>-</t>
        </is>
      </c>
      <c r="E111" s="2" t="inlineStr">
        <is>
          <t>https://www.planalto.gov.br/ccivil_03/_ato2019-2022/2021/lei/l14133.htm</t>
        </is>
      </c>
      <c r="F111" t="inlineStr">
        <is>
          <t>2026-09-27</t>
        </is>
      </c>
      <c r="G111" t="inlineStr">
        <is>
          <t>Texto oficial lido diretamente: 'Art. 141. No dever de pagamento pela Administração, será observada a ordem cronológica para cada fonte diferenciada de recursos, subdividida nas seguintes categorias de contratos: I - fornecimento de bens; II - locações; III - prestação de serviços; IV - realização de obras.' (mais os §§ sobre exceções à ordem cronológica e obrigação de publicar mensalmente a ordem de pagamentos no site do órgão)</t>
        </is>
      </c>
      <c r="H111" t="inlineStr">
        <is>
          <t>IMPORTANTE - CORREÇÃO: um levantamento anterior (via fonte secundária/busca) atribuía ao 'art. 141' os prazos de '15 dias úteis para liquidação + 10 dias úteis para pagamento'. Após leitura direta do texto oficial, isso está INCORRETO: o art. 141 trata da ORDEM CRONOLÓGICA DE PAGAMENTOS (evitar 'furar a fila'), não de prazos em dias. O dispositivo correto que exige prazo de pagamento é o art. 92, VI (ver item acima), que delega ao CONTRATO a definição do número de dias - não há um prazo padrão nacional de 15+10 dias na Lei 14.133/2021.</t>
        </is>
      </c>
      <c r="I111" t="inlineStr">
        <is>
          <t>alta</t>
        </is>
      </c>
    </row>
    <row r="112">
      <c r="A112" t="inlineStr">
        <is>
          <t>Prazo de pagamento</t>
        </is>
      </c>
      <c r="B112" t="inlineStr">
        <is>
          <t>Prática municipal/estadual usual observada no mercado (não é texto de lei)</t>
        </is>
      </c>
      <c r="C112" t="inlineStr">
        <is>
          <t>30 dias corridos após liquidação/atesto da nota fiscal é o prazo mais comum adotado em editais municipais e estaduais brasileiros</t>
        </is>
      </c>
      <c r="D112" t="inlineStr">
        <is>
          <t>dias corridos</t>
        </is>
      </c>
      <c r="E112" s="2" t="inlineStr">
        <is>
          <t>https://conlicitacao.com.br/prazo-de-pagamento-na-licitacao/</t>
        </is>
      </c>
      <c r="F112" t="inlineStr">
        <is>
          <t>2026-09-27</t>
        </is>
      </c>
      <c r="G112" t="inlineStr">
        <is>
          <t>resultado de busca sobre práticas de mercado em editais municipais/estaduais</t>
        </is>
      </c>
      <c r="H112" t="inlineStr">
        <is>
          <t>Não é uma regra legal e sim uma prática observada; cada edital/contrato específico prevalece (conforme art. 92, VI da Lei 14.133/2021, acima). Recomenda-se verificar a cláusula de pagamento do edital/minuta de contrato do órgão contratante específico em Goiás antes de assumir este prazo.</t>
        </is>
      </c>
      <c r="I112" t="inlineStr">
        <is>
          <t>baixa</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70" customWidth="1" min="1" max="1"/>
  </cols>
  <sheetData>
    <row r="1">
      <c r="A1" s="1" t="inlineStr">
        <is>
          <t>fonte_url</t>
        </is>
      </c>
      <c r="B1" s="1" t="inlineStr">
        <is>
          <t>data_acesso</t>
        </is>
      </c>
      <c r="C1" s="1" t="inlineStr">
        <is>
          <t>n_registros</t>
        </is>
      </c>
    </row>
    <row r="2">
      <c r="A2" s="2" t="inlineStr">
        <is>
          <t>-</t>
        </is>
      </c>
      <c r="B2" t="inlineStr">
        <is>
          <t>2026-09-27</t>
        </is>
      </c>
      <c r="C2" t="n">
        <v>6</v>
      </c>
    </row>
    <row r="3">
      <c r="A3" s="2" t="inlineStr">
        <is>
          <t>https://buscadorsicro.com.br/go/insumo/E9041</t>
        </is>
      </c>
      <c r="B3" t="inlineStr">
        <is>
          <t>2026-09-27</t>
        </is>
      </c>
      <c r="C3" t="n">
        <v>1</v>
      </c>
    </row>
    <row r="4">
      <c r="A4" s="2" t="inlineStr">
        <is>
          <t>https://buscadorsicro.com.br/go/insumo/E9686</t>
        </is>
      </c>
      <c r="B4" t="inlineStr">
        <is>
          <t>2026-09-27</t>
        </is>
      </c>
      <c r="C4" t="n">
        <v>1</v>
      </c>
    </row>
    <row r="5">
      <c r="A5" s="2" t="inlineStr">
        <is>
          <t>https://buscadorsicro.com.br/go/insumo/E9690</t>
        </is>
      </c>
      <c r="B5" t="inlineStr">
        <is>
          <t>2026-09-27</t>
        </is>
      </c>
      <c r="C5" t="n">
        <v>1</v>
      </c>
    </row>
    <row r="6">
      <c r="A6" s="2" t="inlineStr">
        <is>
          <t>https://cetti.com.br/p/cabo-de-cobre-nu-35-mm2-com-7-fios-solidos-para-aterramento-eletrico-1-metro/</t>
        </is>
      </c>
      <c r="B6" t="inlineStr">
        <is>
          <t>2026-09-27</t>
        </is>
      </c>
      <c r="C6" t="n">
        <v>1</v>
      </c>
    </row>
    <row r="7">
      <c r="A7" s="2" t="inlineStr">
        <is>
          <t>https://conlicitacao.com.br/prazo-de-pagamento-na-licitacao/</t>
        </is>
      </c>
      <c r="B7" t="inlineStr">
        <is>
          <t>2026-09-27</t>
        </is>
      </c>
      <c r="C7" t="n">
        <v>1</v>
      </c>
    </row>
    <row r="8">
      <c r="A8" s="2" t="inlineStr">
        <is>
          <t>https://demape.com.br/produto/reator-vapor-de-sodio-150w-externo-galvanizado-ence/</t>
        </is>
      </c>
      <c r="B8" t="inlineStr">
        <is>
          <t>2026-09-27</t>
        </is>
      </c>
      <c r="C8" t="n">
        <v>1</v>
      </c>
    </row>
    <row r="9">
      <c r="A9" s="2" t="inlineStr">
        <is>
          <t>https://demape.com.br/produto/reator-vapor-de-sodio-70w-externo-galvanizado/</t>
        </is>
      </c>
      <c r="B9" t="inlineStr">
        <is>
          <t>2026-09-27</t>
        </is>
      </c>
      <c r="C9" t="n">
        <v>1</v>
      </c>
    </row>
    <row r="10">
      <c r="A10" s="2" t="inlineStr">
        <is>
          <t>https://effecti.com.br/seguro-garantia-licitacoes-publicas/</t>
        </is>
      </c>
      <c r="B10" t="inlineStr">
        <is>
          <t>2026-09-27</t>
        </is>
      </c>
      <c r="C10" t="n">
        <v>1</v>
      </c>
    </row>
    <row r="11">
      <c r="A11" s="2" t="inlineStr">
        <is>
          <t>https://febrac.org.br/wp-content/uploads/2026/01/GO001031.2025C-CCT-2026-2027-LIMPEZA-AMBIENTAL-ESTADO-DE-GOIAS-REGISTRADA.pdf</t>
        </is>
      </c>
      <c r="B11" t="inlineStr">
        <is>
          <t>2026-09-27</t>
        </is>
      </c>
      <c r="C11" t="n">
        <v>1</v>
      </c>
    </row>
    <row r="12">
      <c r="A12" s="2" t="inlineStr">
        <is>
          <t>https://geofrio.com.br/produtos/gas-refrigerante-r134-ar-condicionado-automotivo-botija-13kg/</t>
        </is>
      </c>
      <c r="B12" t="inlineStr">
        <is>
          <t>2026-09-27</t>
        </is>
      </c>
      <c r="C12" t="n">
        <v>1</v>
      </c>
    </row>
    <row r="13">
      <c r="A13" s="2" t="inlineStr">
        <is>
          <t>https://goias.gov.br/goinfra/wp-content/uploads/sites/77/tabela-de-composicao/118/arquivos/OBRAS%20CIVIS%20-%20TABELA%20334%20-%20FEVEREIRO-2026%20-%20SEM%20DESONERA%C3%87%C3%83O%20-%20Publicada%20em%2005-05-2026.%20Clique%20aqui%20para%20download%20em%20PDF%20Clique%20aqui%20para%20download%20em%20XLS.xls</t>
        </is>
      </c>
      <c r="B13" t="inlineStr">
        <is>
          <t>2026-09-27</t>
        </is>
      </c>
      <c r="C13" t="n">
        <v>2</v>
      </c>
    </row>
    <row r="14">
      <c r="A14" s="2" t="inlineStr">
        <is>
          <t>https://goias.gov.br/seinfra/wp-content/uploads/sites/6/2025/09/ANEXO-3.pdf</t>
        </is>
      </c>
      <c r="B14" t="inlineStr">
        <is>
          <t>2026-09-27</t>
        </is>
      </c>
      <c r="C14" t="n">
        <v>7</v>
      </c>
    </row>
    <row r="15">
      <c r="A15" s="2" t="inlineStr">
        <is>
          <t>https://lista.mercadolivre.com.br/rele-fotocelula-para-iluminacao-publica</t>
        </is>
      </c>
      <c r="B15" t="inlineStr">
        <is>
          <t>2026-09-27</t>
        </is>
      </c>
      <c r="C15" t="n">
        <v>1</v>
      </c>
    </row>
    <row r="16">
      <c r="A16" s="2" t="inlineStr">
        <is>
          <t>https://sindipesa.org.br/wp-content/uploads/2025/09/CCT-SINDICARGAS-2025.2026-REGISTRADA.pdf</t>
        </is>
      </c>
      <c r="B16" t="inlineStr">
        <is>
          <t>2026-09-27</t>
        </is>
      </c>
      <c r="C16" t="n">
        <v>2</v>
      </c>
    </row>
    <row r="17">
      <c r="A17" s="2" t="inlineStr">
        <is>
          <t>https://sindmetalgo.com.br/wp-content/uploads/2024/04/Mediador_-_Extrato_Convencao_Coletiva_SIMELGO_ULTIMA_assinado_assinado.pdf</t>
        </is>
      </c>
      <c r="B17" t="inlineStr">
        <is>
          <t>2026-09-27</t>
        </is>
      </c>
      <c r="C17" t="n">
        <v>1</v>
      </c>
    </row>
    <row r="18">
      <c r="A18" s="2" t="inlineStr">
        <is>
          <t>https://valorfinal.com.br/calculadora-custo-por-km</t>
        </is>
      </c>
      <c r="B18" t="inlineStr">
        <is>
          <t>2026-09-27</t>
        </is>
      </c>
      <c r="C18" t="n">
        <v>1</v>
      </c>
    </row>
    <row r="19">
      <c r="A19" s="2" t="inlineStr">
        <is>
          <t>https://www.acsmateriaiseletricos.com.br/produtos/cabo-flexivel-25mm-750v-antichama-azul-100-metros/</t>
        </is>
      </c>
      <c r="B19" t="inlineStr">
        <is>
          <t>2026-09-27</t>
        </is>
      </c>
      <c r="C19" t="n">
        <v>1</v>
      </c>
    </row>
    <row r="20">
      <c r="A20" s="2" t="inlineStr">
        <is>
          <t>https://www.caixa.gov.br/Downloads/sinapi-metodologia/Livro_SINAPI_Calculos_Parametros.pdf</t>
        </is>
      </c>
      <c r="B20" t="inlineStr">
        <is>
          <t>2026-09-27</t>
        </is>
      </c>
      <c r="C20" t="n">
        <v>5</v>
      </c>
    </row>
    <row r="21">
      <c r="A21" s="2" t="inlineStr">
        <is>
          <t>https://www.casadoeletricistasc.com.br/cabo-flexivel-750v-2-5mm2-antichama-preto-corfio-rolo-100m/p/kit611</t>
        </is>
      </c>
      <c r="B21" t="inlineStr">
        <is>
          <t>2026-09-27</t>
        </is>
      </c>
      <c r="C21" t="n">
        <v>1</v>
      </c>
    </row>
    <row r="22">
      <c r="A22" s="2" t="inlineStr">
        <is>
          <t>https://www.casaeletropecas.com.br/pecas-geladeira/termostato</t>
        </is>
      </c>
      <c r="B22" t="inlineStr">
        <is>
          <t>2026-09-27</t>
        </is>
      </c>
      <c r="C22" t="n">
        <v>1</v>
      </c>
    </row>
    <row r="23">
      <c r="A23" s="2" t="inlineStr">
        <is>
          <t>https://www.combustiveis-anp.com.br/estado/go</t>
        </is>
      </c>
      <c r="B23" t="inlineStr">
        <is>
          <t>2026-09-27</t>
        </is>
      </c>
      <c r="C23" t="n">
        <v>1</v>
      </c>
    </row>
    <row r="24">
      <c r="A24" s="2" t="inlineStr">
        <is>
          <t>https://www.csmmuncksp.com.br/blog/categorias/artigos/quanto-custa-a-locacao-de-um-munck-entenda-os-fatores-que-influenciam-o-preco</t>
        </is>
      </c>
      <c r="B24" t="inlineStr">
        <is>
          <t>2026-09-27</t>
        </is>
      </c>
      <c r="C24" t="n">
        <v>1</v>
      </c>
    </row>
    <row r="25">
      <c r="A25" s="2" t="inlineStr">
        <is>
          <t>https://www.disfer.com.br/disjuntores ; https://www.pjneblina.com.br/produto/disjuntor-mini-din-unipolar-25a-curva-c-3ka-230400v-sdd61c25-steck/5026776</t>
        </is>
      </c>
      <c r="B25" t="inlineStr">
        <is>
          <t>2026-09-27</t>
        </is>
      </c>
      <c r="C25" t="n">
        <v>1</v>
      </c>
    </row>
    <row r="26">
      <c r="A26" s="2" t="inlineStr">
        <is>
          <t>https://www.dsfrio.com.br/gas-refrigerante-r134a-botija-cilindro-de-136kg</t>
        </is>
      </c>
      <c r="B26" t="inlineStr">
        <is>
          <t>2026-09-27</t>
        </is>
      </c>
      <c r="C26" t="n">
        <v>1</v>
      </c>
    </row>
    <row r="27">
      <c r="A27" s="2" t="inlineStr">
        <is>
          <t>https://www.editais.uff.br/sites/default/files/arquivos/Base%20BDI%20-%20Ac%C3%B3rd%C3%A3o-2622-2013.pdf</t>
        </is>
      </c>
      <c r="B27" t="inlineStr">
        <is>
          <t>2026-09-27</t>
        </is>
      </c>
      <c r="C27" t="n">
        <v>21</v>
      </c>
    </row>
    <row r="28">
      <c r="A28" s="2" t="inlineStr">
        <is>
          <t>https://www.eletroarbc.com.br/produtos/tubo-de-cobre-1-4-para-ar-condicionado-preco-de-1-metro/</t>
        </is>
      </c>
      <c r="B28" t="inlineStr">
        <is>
          <t>2026-09-27</t>
        </is>
      </c>
      <c r="C28" t="n">
        <v>1</v>
      </c>
    </row>
    <row r="29">
      <c r="A29" s="2" t="inlineStr">
        <is>
          <t>https://www.eletrofrigor.com.br/produto/compressor-1-4-hp-r134a-220v-1f-reciproco-hermetico-embraco-emr80hlr-6975</t>
        </is>
      </c>
      <c r="B29" t="inlineStr">
        <is>
          <t>2026-09-27</t>
        </is>
      </c>
      <c r="C29" t="n">
        <v>1</v>
      </c>
    </row>
    <row r="30">
      <c r="A30" s="2" t="inlineStr">
        <is>
          <t>https://www.eletrofrigor.com.br/produto/gas-fluido-refrigerante-r404a-botija-10-9kg-friven-1712</t>
        </is>
      </c>
      <c r="B30" t="inlineStr">
        <is>
          <t>2026-09-27</t>
        </is>
      </c>
      <c r="C30" t="n">
        <v>1</v>
      </c>
    </row>
    <row r="31">
      <c r="A31" s="2" t="inlineStr">
        <is>
          <t>https://www.frigelar.com.br/gas-refrigerante-r410a-eos-cilindro-de-1134kg/p/kit5357</t>
        </is>
      </c>
      <c r="B31" t="inlineStr">
        <is>
          <t>2026-09-27</t>
        </is>
      </c>
      <c r="C31" t="n">
        <v>1</v>
      </c>
    </row>
    <row r="32">
      <c r="A32" s="2" t="inlineStr">
        <is>
          <t>https://www.goiania.go.gov.br/download/financas/novoctm.pdf</t>
        </is>
      </c>
      <c r="B32" t="inlineStr">
        <is>
          <t>2026-09-27</t>
        </is>
      </c>
      <c r="C32" t="n">
        <v>1</v>
      </c>
    </row>
    <row r="33">
      <c r="A33" s="2" t="inlineStr">
        <is>
          <t>https://www.gov.br/anp/pt-br/assuntos/precos-e-defesa-da-concorrencia/precos/arquivos-lpc/2026/revendas_lpc_2026-09-20_2026-09-26.xlsx</t>
        </is>
      </c>
      <c r="B33" t="inlineStr">
        <is>
          <t>2026-09-27</t>
        </is>
      </c>
      <c r="C33" t="n">
        <v>5</v>
      </c>
    </row>
    <row r="34">
      <c r="A34" s="2" t="inlineStr">
        <is>
          <t>https://www.irmaossoares.com.br/braco-para-luminaria-publica-1m-2-polegadas-reto-eletrometa/p</t>
        </is>
      </c>
      <c r="B34" t="inlineStr">
        <is>
          <t>2026-09-27</t>
        </is>
      </c>
      <c r="C34" t="n">
        <v>1</v>
      </c>
    </row>
    <row r="35">
      <c r="A35" s="2" t="inlineStr">
        <is>
          <t>https://www.lojacentraleletrica.com.br/produto/cabo-de-cobre-nu-50mm-para-aterramento</t>
        </is>
      </c>
      <c r="B35" t="inlineStr">
        <is>
          <t>2026-09-27</t>
        </is>
      </c>
      <c r="C35" t="n">
        <v>1</v>
      </c>
    </row>
    <row r="36">
      <c r="A36" s="2" t="inlineStr">
        <is>
          <t>https://www.lojamincarone.com.br/MLB-3206717017-botija-de-gas-fluido-refrigerante-r404a-genetron-10896kg-_JM</t>
        </is>
      </c>
      <c r="B36" t="inlineStr">
        <is>
          <t>2026-09-27</t>
        </is>
      </c>
      <c r="C36" t="n">
        <v>1</v>
      </c>
    </row>
    <row r="37">
      <c r="A37" s="2" t="inlineStr">
        <is>
          <t>https://www.marciobalduchi.com.br/diversos-servicos-de-instalacao-e-manutencao-tributados-no-anexo-iii-do-simples-nacional/</t>
        </is>
      </c>
      <c r="B37" t="inlineStr">
        <is>
          <t>2026-09-27</t>
        </is>
      </c>
      <c r="C37" t="n">
        <v>1</v>
      </c>
    </row>
    <row r="38">
      <c r="A38" s="2" t="inlineStr">
        <is>
          <t>https://www.multifrioshop.com/fluidos-refrigerantes/gas-r22-refrigerante-original-botija-13-6kg-generico</t>
        </is>
      </c>
      <c r="B38" t="inlineStr">
        <is>
          <t>2026-09-27</t>
        </is>
      </c>
      <c r="C38" t="n">
        <v>1</v>
      </c>
    </row>
    <row r="39">
      <c r="A39" s="2" t="inlineStr">
        <is>
          <t>https://www.multifrioshop.com/fluidos-refrigerantes/gas-r410a-botija-11-35kg-r410-410a-refrigerante</t>
        </is>
      </c>
      <c r="B39" t="inlineStr">
        <is>
          <t>2026-09-27</t>
        </is>
      </c>
      <c r="C39" t="n">
        <v>1</v>
      </c>
    </row>
    <row r="40">
      <c r="A40" s="2" t="inlineStr">
        <is>
          <t>https://www.munk.com.br/locacao-de-caminhao-munck/locacao-de-caminhao-munck-com-operador/valor-de-locacao-de-caminhao-munck-por-hora-osasco</t>
        </is>
      </c>
      <c r="B40" t="inlineStr">
        <is>
          <t>2026-09-27</t>
        </is>
      </c>
      <c r="C40" t="n">
        <v>1</v>
      </c>
    </row>
    <row r="41">
      <c r="A41" s="2" t="inlineStr">
        <is>
          <t>https://www.ourolux.com.br/produtos/iluminac-o/lampadas-de-descarga/vapor-de-sodio.html</t>
        </is>
      </c>
      <c r="B41" t="inlineStr">
        <is>
          <t>2026-09-27</t>
        </is>
      </c>
      <c r="C41" t="n">
        <v>1</v>
      </c>
    </row>
    <row r="42">
      <c r="A42" s="2" t="inlineStr">
        <is>
          <t>https://www.planalto.gov.br/ccivil_03/_ato2019-2022/2021/lei/l14133.htm</t>
        </is>
      </c>
      <c r="B42" t="inlineStr">
        <is>
          <t>2026-09-27</t>
        </is>
      </c>
      <c r="C42" t="n">
        <v>3</v>
      </c>
    </row>
    <row r="43">
      <c r="A43" s="2" t="inlineStr">
        <is>
          <t>https://www.planalto.gov.br/ccivil_03/_ato2023-2026/2025/decreto/d12797.htm</t>
        </is>
      </c>
      <c r="B43" t="inlineStr">
        <is>
          <t>2026-09-27</t>
        </is>
      </c>
      <c r="C43" t="n">
        <v>1</v>
      </c>
    </row>
    <row r="44">
      <c r="A44" s="2" t="inlineStr">
        <is>
          <t>https://www.planalto.gov.br/ccivil_03/leis/l4950a.htm</t>
        </is>
      </c>
      <c r="B44" t="inlineStr">
        <is>
          <t>2026-09-27</t>
        </is>
      </c>
      <c r="C44" t="n">
        <v>2</v>
      </c>
    </row>
    <row r="45">
      <c r="A45" s="2" t="inlineStr">
        <is>
          <t>https://www.refricenter.com.br/linha-da-gases/fluido-refrigerante-ou-gas-eos-r22-cilindro-13-62-kg</t>
        </is>
      </c>
      <c r="B45" t="inlineStr">
        <is>
          <t>2026-09-27</t>
        </is>
      </c>
      <c r="C45" t="n">
        <v>1</v>
      </c>
    </row>
    <row r="46">
      <c r="A46" s="2" t="inlineStr">
        <is>
          <t>https://www.refritron.com.br/material-de-instalacao-e-manutencao/produtos-de-limpeza-e-higienizacao</t>
        </is>
      </c>
      <c r="B46" t="inlineStr">
        <is>
          <t>2026-09-27</t>
        </is>
      </c>
      <c r="C46" t="n">
        <v>1</v>
      </c>
    </row>
    <row r="47">
      <c r="A47" s="2" t="inlineStr">
        <is>
          <t>https://www.rlrefrigeracao.com.br/produto/botija-gas-r410a-113kg.html</t>
        </is>
      </c>
      <c r="B47" t="inlineStr">
        <is>
          <t>2026-09-27</t>
        </is>
      </c>
      <c r="C47" t="n">
        <v>1</v>
      </c>
    </row>
    <row r="48">
      <c r="A48" s="2" t="inlineStr">
        <is>
          <t>https://www.rlrefrigeracao.com.br/produto/gas-r22-cilindro-botija-136kg.html</t>
        </is>
      </c>
      <c r="B48" t="inlineStr">
        <is>
          <t>2026-09-27</t>
        </is>
      </c>
      <c r="C48" t="n">
        <v>1</v>
      </c>
    </row>
    <row r="49">
      <c r="A49" s="2" t="inlineStr">
        <is>
          <t>https://www.setceg.org.br/wp-content/uploads/2026/05/CCT-CARGA-2026-2028.pdf</t>
        </is>
      </c>
      <c r="B49" t="inlineStr">
        <is>
          <t>2026-09-27</t>
        </is>
      </c>
      <c r="C49" t="n">
        <v>4</v>
      </c>
    </row>
    <row r="50">
      <c r="A50" s="2" t="inlineStr">
        <is>
          <t>https://www.sintracomgoiania.com.br/images/convencoes_arquivos/construcao-civil/CCT_2025_2027_Divulgacao_Conjunta_Sinduscon_e_Sintracom_Goias_assinado.pdf</t>
        </is>
      </c>
      <c r="B50" t="inlineStr">
        <is>
          <t>2026-09-27</t>
        </is>
      </c>
      <c r="C50" t="n">
        <v>9</v>
      </c>
    </row>
    <row r="51">
      <c r="A51" s="2" t="inlineStr">
        <is>
          <t>https://www.sustentaled.com.br/ ; https://lista.mercadolivre.com.br/luminaria-publica-led-60w</t>
        </is>
      </c>
      <c r="B51" t="inlineStr">
        <is>
          <t>2026-09-27</t>
        </is>
      </c>
      <c r="C51" t="n">
        <v>1</v>
      </c>
    </row>
    <row r="52">
      <c r="A52" s="2" t="inlineStr">
        <is>
          <t>https://www.tudoar.com.br/quanto-custa-um-capacitor-de-ar-condicionado ; https://www.friopecas.com.br/pecas-e-servicos/pecas-ar-condicionado/capacitores</t>
        </is>
      </c>
      <c r="B52" t="inlineStr">
        <is>
          <t>2026-09-27</t>
        </is>
      </c>
      <c r="C52" t="n">
        <v>1</v>
      </c>
    </row>
    <row r="53">
      <c r="A53" s="2" t="inlineStr">
        <is>
          <t>https://www.vlpcomercial.com.br/iluminacao/reatores/eletromagnetico/para-lampada-sodio.html</t>
        </is>
      </c>
      <c r="B53" t="inlineStr">
        <is>
          <t>2026-09-27</t>
        </is>
      </c>
      <c r="C53" t="n">
        <v>1</v>
      </c>
    </row>
    <row r="54">
      <c r="A54" s="2" t="inlineStr">
        <is>
          <t>https://www.wermar.com.br/materiais-eletricos/haste-copperweld-para-aterramento-com-conector-2-40m</t>
        </is>
      </c>
      <c r="B54" t="inlineStr">
        <is>
          <t>2026-09-27</t>
        </is>
      </c>
      <c r="C54" t="n">
        <v>1</v>
      </c>
    </row>
    <row r="55">
      <c r="A55" s="2" t="inlineStr">
        <is>
          <t>ver 2 itens acima</t>
        </is>
      </c>
      <c r="B55" t="inlineStr">
        <is>
          <t>2026-09-27</t>
        </is>
      </c>
      <c r="C55" t="n">
        <v>1</v>
      </c>
    </row>
    <row r="56">
      <c r="A56" s="2" t="inlineStr">
        <is>
          <t>ver 2 itens acima (Multifrio R$961,28 tabela / R$865,15 Pix; Frigelar ~R$890 Pix)</t>
        </is>
      </c>
      <c r="B56" t="inlineStr">
        <is>
          <t>2026-09-27</t>
        </is>
      </c>
      <c r="C56" t="n">
        <v>1</v>
      </c>
    </row>
    <row r="57">
      <c r="A57" s="2" t="inlineStr">
        <is>
          <t>ver 3 itens acima</t>
        </is>
      </c>
      <c r="B57" t="inlineStr">
        <is>
          <t>2026-09-27</t>
        </is>
      </c>
      <c r="C57" t="n">
        <v>1</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2026-09-27T18:41:48Z</dcterms:created>
  <dcterms:modified xsi:type="dcterms:W3CDTF">2026-09-27T18:41:49Z</dcterms:modified>
</cp:coreProperties>
</file>